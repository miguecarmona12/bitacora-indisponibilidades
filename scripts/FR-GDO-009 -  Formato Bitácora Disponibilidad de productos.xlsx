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8.xml" ContentType="application/vnd.openxmlformats-officedocument.drawing+xml"/>
  <Override PartName="/xl/comments12.xml" ContentType="application/vnd.openxmlformats-officedocument.spreadsheetml.comments+xml"/>
  <Override PartName="/xl/drawings/drawing9.xml" ContentType="application/vnd.openxmlformats-officedocument.drawing+xml"/>
  <Override PartName="/xl/comments13.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omments14.xml" ContentType="application/vnd.openxmlformats-officedocument.spreadsheetml.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1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mc:AlternateContent xmlns:mc="http://schemas.openxmlformats.org/markup-compatibility/2006">
    <mc:Choice Requires="x15">
      <x15ac:absPath xmlns:x15ac="http://schemas.microsoft.com/office/spreadsheetml/2010/11/ac" url="https://uxtechnology365.sharepoint.com/sites/UX-GestionOperaciones/Documentos compartidos/Direccion Operaciones/4. Indicadores/4.4 Medición de Disponibilidad/BITACORA 2024/"/>
    </mc:Choice>
  </mc:AlternateContent>
  <xr:revisionPtr revIDLastSave="9046" documentId="8_{83762ED5-E576-4F5E-96A4-389ED73AD950}" xr6:coauthVersionLast="47" xr6:coauthVersionMax="47" xr10:uidLastSave="{D9822500-7278-41B1-86C2-6DF1AA528231}"/>
  <bookViews>
    <workbookView xWindow="20370" yWindow="-120" windowWidth="29040" windowHeight="15720" tabRatio="998" xr2:uid="{00000000-000D-0000-FFFF-FFFF00000000}"/>
  </bookViews>
  <sheets>
    <sheet name="BD indisponibilidad" sheetId="1" r:id="rId1"/>
    <sheet name="SuChance - Huila" sheetId="22" r:id="rId2"/>
    <sheet name="Jer - Boyaca" sheetId="18" r:id="rId3"/>
    <sheet name="Novedades dia a dia" sheetId="34" state="hidden" r:id="rId4"/>
    <sheet name="Gana Gana - Tolima1" sheetId="27" state="hidden" r:id="rId5"/>
    <sheet name="Hoja2" sheetId="42" r:id="rId6"/>
    <sheet name="MatrixRedes____" sheetId="29" state="hidden" r:id="rId7"/>
    <sheet name="Gana - Antioquia" sheetId="14" r:id="rId8"/>
    <sheet name="Acertemos - Cauca" sheetId="15" r:id="rId9"/>
    <sheet name="MatrixRedes" sheetId="38" r:id="rId10"/>
    <sheet name="Inverapuestas - Guajira" sheetId="24" state="hidden" r:id="rId11"/>
    <sheet name="APP" sheetId="33" state="hidden" r:id="rId12"/>
    <sheet name="Santander - LaPerla" sheetId="35" r:id="rId13"/>
    <sheet name="Gana Gana - Tolima" sheetId="39" r:id="rId14"/>
    <sheet name="Resumen" sheetId="32" r:id="rId15"/>
    <sheet name="CONTROL DE CAMBIOS" sheetId="40" r:id="rId16"/>
    <sheet name="Maestro" sheetId="6" r:id="rId17"/>
    <sheet name="Hoja1" sheetId="36" r:id="rId18"/>
    <sheet name="Ayuda Gana" sheetId="41" r:id="rId19"/>
  </sheets>
  <externalReferences>
    <externalReference r:id="rId20"/>
  </externalReferences>
  <definedNames>
    <definedName name="_xlnm._FilterDatabase" localSheetId="0" hidden="1">'BD indisponibilidad'!$A$6:$AB$6</definedName>
    <definedName name="Afecta" localSheetId="11">[1]Maestro!$I$2:$I$3</definedName>
    <definedName name="Afecta">Maestro!$I$8:$I$9</definedName>
    <definedName name="Res_Falla" localSheetId="11">[1]Maestro!$H$2:$H$3</definedName>
    <definedName name="Res_Falla">Maestro!$H$8:$H$9</definedName>
    <definedName name="Tipo_Afect" localSheetId="11">[1]Maestro!$G$2:$G$3</definedName>
    <definedName name="Tipo_Afect">Maestro!$G$8:$G$9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 l="1"/>
  <c r="F47" i="1"/>
  <c r="F41" i="1"/>
  <c r="F31" i="1"/>
  <c r="F29" i="1"/>
  <c r="F28" i="1"/>
  <c r="F46" i="1"/>
  <c r="F48" i="1"/>
  <c r="F49" i="1"/>
  <c r="F27" i="1"/>
  <c r="F34" i="1"/>
  <c r="F35" i="1"/>
  <c r="F36" i="1"/>
  <c r="F37" i="1"/>
  <c r="F38" i="1"/>
  <c r="F39" i="1"/>
  <c r="F40" i="1"/>
  <c r="F42" i="1"/>
  <c r="F43" i="1"/>
  <c r="F44" i="1"/>
  <c r="F45"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33" i="1"/>
  <c r="F32" i="1"/>
  <c r="F26" i="1"/>
  <c r="F23" i="1"/>
  <c r="F22" i="1"/>
  <c r="F20" i="1"/>
  <c r="F18" i="1"/>
  <c r="F19" i="1"/>
  <c r="F21" i="1"/>
  <c r="F17" i="1"/>
  <c r="F14" i="1"/>
  <c r="F15" i="1"/>
  <c r="F11" i="1"/>
  <c r="F10" i="1"/>
  <c r="F13" i="1"/>
  <c r="F12" i="1"/>
  <c r="F9" i="1"/>
  <c r="F8" i="1"/>
  <c r="F25" i="1"/>
  <c r="F24" i="1"/>
  <c r="F16" i="1"/>
  <c r="AR17" i="14"/>
  <c r="AR18" i="14" s="1"/>
  <c r="AR12" i="14"/>
  <c r="AR13" i="14" s="1"/>
  <c r="Q18" i="32"/>
  <c r="C9" i="14"/>
  <c r="H9" i="14" s="1"/>
  <c r="E9" i="14"/>
  <c r="F9" i="14"/>
  <c r="G9" i="14"/>
  <c r="C11" i="35"/>
  <c r="D11" i="35"/>
  <c r="E11" i="35"/>
  <c r="G11" i="35"/>
  <c r="H11" i="35"/>
  <c r="I11" i="35"/>
  <c r="J11" i="35"/>
  <c r="L11" i="35"/>
  <c r="M11" i="35"/>
  <c r="N11" i="35"/>
  <c r="O11" i="35"/>
  <c r="P11" i="35"/>
  <c r="Q11" i="35"/>
  <c r="R11" i="35"/>
  <c r="C12" i="35"/>
  <c r="D12" i="35"/>
  <c r="E12" i="35"/>
  <c r="G12" i="35"/>
  <c r="H12" i="35"/>
  <c r="I12" i="35"/>
  <c r="J12" i="35"/>
  <c r="L12" i="35"/>
  <c r="M12" i="35"/>
  <c r="P12" i="35"/>
  <c r="Q12" i="35"/>
  <c r="U40" i="32"/>
  <c r="V40" i="32" s="1"/>
  <c r="W40" i="32" s="1"/>
  <c r="X40" i="32" s="1"/>
  <c r="Y40" i="32" s="1"/>
  <c r="S39" i="32"/>
  <c r="T39" i="32" s="1"/>
  <c r="U39" i="32" s="1"/>
  <c r="O33" i="32"/>
  <c r="T35" i="32"/>
  <c r="T33" i="32"/>
  <c r="T31" i="32"/>
  <c r="T30" i="32"/>
  <c r="S29" i="32"/>
  <c r="Q27" i="32"/>
  <c r="O23" i="32"/>
  <c r="P25" i="32"/>
  <c r="R24" i="32"/>
  <c r="S24" i="32" s="1"/>
  <c r="T24" i="32" s="1"/>
  <c r="R23" i="32"/>
  <c r="C11" i="36"/>
  <c r="C10" i="36"/>
  <c r="C9" i="36"/>
  <c r="T10" i="36"/>
  <c r="H15" i="14"/>
  <c r="H1" i="42"/>
  <c r="L14" i="42"/>
  <c r="L13" i="42"/>
  <c r="L29" i="41"/>
  <c r="G29" i="41"/>
  <c r="Q28" i="41"/>
  <c r="L28" i="41"/>
  <c r="G28" i="41"/>
  <c r="Q27" i="41"/>
  <c r="L27" i="41"/>
  <c r="G27" i="41"/>
  <c r="Q26" i="41"/>
  <c r="L26" i="41"/>
  <c r="G26" i="41"/>
  <c r="Q25" i="41"/>
  <c r="L25" i="41"/>
  <c r="G25" i="41"/>
  <c r="Q24" i="41"/>
  <c r="L24" i="41"/>
  <c r="G24" i="41"/>
  <c r="Q23" i="41"/>
  <c r="L23" i="41"/>
  <c r="G23" i="41"/>
  <c r="Q22" i="41"/>
  <c r="L22" i="41"/>
  <c r="G22" i="41"/>
  <c r="Q21" i="41"/>
  <c r="L21" i="41"/>
  <c r="G21" i="41"/>
  <c r="K7" i="15"/>
  <c r="N7" i="14"/>
  <c r="C13" i="18"/>
  <c r="P17" i="38"/>
  <c r="T13" i="14"/>
  <c r="K7" i="39"/>
  <c r="K7" i="38"/>
  <c r="D12" i="6"/>
  <c r="C12" i="38" s="1"/>
  <c r="K7" i="35"/>
  <c r="F15" i="14" l="1"/>
  <c r="O9" i="14"/>
  <c r="P9" i="14"/>
  <c r="Q9" i="14"/>
  <c r="R36" i="32"/>
  <c r="R34" i="32"/>
  <c r="R9" i="14"/>
  <c r="S9" i="14" s="1"/>
  <c r="V9" i="14"/>
  <c r="J9" i="14"/>
  <c r="K9" i="14"/>
  <c r="L9" i="14"/>
  <c r="M9" i="14"/>
  <c r="T9" i="14"/>
  <c r="D9" i="14"/>
  <c r="N12" i="35"/>
  <c r="O12" i="35" s="1"/>
  <c r="R12" i="35"/>
  <c r="F11" i="35"/>
  <c r="K11" i="35"/>
  <c r="F12" i="35"/>
  <c r="K12" i="35"/>
  <c r="T9" i="36"/>
  <c r="P22" i="32"/>
  <c r="Q22" i="32" s="1"/>
  <c r="S27" i="32"/>
  <c r="T11" i="36"/>
  <c r="U9" i="36"/>
  <c r="U10" i="36"/>
  <c r="U11" i="36"/>
  <c r="P14" i="38"/>
  <c r="P18" i="38"/>
  <c r="T15" i="14"/>
  <c r="P13" i="35"/>
  <c r="T16" i="14"/>
  <c r="P8" i="38"/>
  <c r="T18" i="14"/>
  <c r="P10" i="38"/>
  <c r="T8" i="14"/>
  <c r="T17" i="14"/>
  <c r="P9" i="38"/>
  <c r="T11" i="14"/>
  <c r="P8" i="35"/>
  <c r="P13" i="38"/>
  <c r="T14" i="14"/>
  <c r="T12" i="14"/>
  <c r="P9" i="35"/>
  <c r="P10" i="35"/>
  <c r="P11" i="38"/>
  <c r="P19" i="38"/>
  <c r="P12" i="38"/>
  <c r="T10" i="14"/>
  <c r="P14" i="35"/>
  <c r="P15" i="38"/>
  <c r="P16" i="38"/>
  <c r="C12" i="14"/>
  <c r="D12" i="38"/>
  <c r="E12" i="38"/>
  <c r="G12" i="38"/>
  <c r="H12" i="38"/>
  <c r="J12" i="14"/>
  <c r="I12" i="38"/>
  <c r="K12" i="14"/>
  <c r="J12" i="38"/>
  <c r="C12" i="39"/>
  <c r="N12" i="38"/>
  <c r="R12" i="14"/>
  <c r="G12" i="14" l="1"/>
  <c r="H12" i="14"/>
  <c r="T11" i="35"/>
  <c r="M12" i="14"/>
  <c r="F12" i="14"/>
  <c r="E12" i="14"/>
  <c r="L12" i="14"/>
  <c r="D12" i="14"/>
  <c r="J12" i="39"/>
  <c r="G12" i="39"/>
  <c r="E12" i="39"/>
  <c r="D12" i="39"/>
  <c r="N12" i="39"/>
  <c r="F12" i="38"/>
  <c r="D8" i="33"/>
  <c r="F12" i="39" l="1"/>
  <c r="P19" i="39" l="1"/>
  <c r="P18" i="39"/>
  <c r="P17" i="39"/>
  <c r="P16" i="39"/>
  <c r="P15" i="39"/>
  <c r="P14" i="39"/>
  <c r="P13" i="39"/>
  <c r="P12" i="39"/>
  <c r="Q12" i="39" s="1"/>
  <c r="P11" i="39"/>
  <c r="P10" i="39"/>
  <c r="P9" i="39"/>
  <c r="P8" i="39"/>
  <c r="I12" i="39"/>
  <c r="H12" i="39"/>
  <c r="P19" i="35"/>
  <c r="P18" i="35"/>
  <c r="P17" i="35"/>
  <c r="P16" i="35"/>
  <c r="P15" i="35"/>
  <c r="L12" i="39"/>
  <c r="M12" i="39"/>
  <c r="R12" i="39"/>
  <c r="M12" i="38"/>
  <c r="R9" i="38"/>
  <c r="L12" i="38"/>
  <c r="R11" i="38"/>
  <c r="R17" i="38"/>
  <c r="T12" i="36"/>
  <c r="P9" i="18"/>
  <c r="R14" i="39"/>
  <c r="R8" i="39"/>
  <c r="P14" i="18"/>
  <c r="R14" i="38"/>
  <c r="R8" i="38"/>
  <c r="R19" i="39"/>
  <c r="R13" i="39"/>
  <c r="R19" i="38"/>
  <c r="R13" i="38"/>
  <c r="R18" i="39"/>
  <c r="R10" i="38"/>
  <c r="R18" i="38"/>
  <c r="R12" i="38"/>
  <c r="R17" i="39"/>
  <c r="R11" i="39"/>
  <c r="Q12" i="38"/>
  <c r="R16" i="39"/>
  <c r="R10" i="39"/>
  <c r="R15" i="39"/>
  <c r="R9" i="39"/>
  <c r="R16" i="38"/>
  <c r="R15" i="38"/>
  <c r="P12" i="14"/>
  <c r="Q12" i="14"/>
  <c r="R15" i="35"/>
  <c r="R17" i="35"/>
  <c r="R19" i="35"/>
  <c r="V16" i="14"/>
  <c r="R10" i="35"/>
  <c r="R9" i="35"/>
  <c r="R13" i="35"/>
  <c r="R16" i="35"/>
  <c r="R18" i="35"/>
  <c r="R14" i="35"/>
  <c r="R8" i="35"/>
  <c r="C11" i="32"/>
  <c r="C9" i="27"/>
  <c r="C9" i="29"/>
  <c r="C9" i="24"/>
  <c r="C12" i="22"/>
  <c r="O11" i="32" l="1"/>
  <c r="O12" i="38"/>
  <c r="K12" i="38"/>
  <c r="O12" i="39"/>
  <c r="K12" i="39"/>
  <c r="P11" i="32" l="1"/>
  <c r="P11" i="36"/>
  <c r="O12" i="14"/>
  <c r="V14" i="14"/>
  <c r="V15" i="14"/>
  <c r="V17" i="14"/>
  <c r="V18" i="14"/>
  <c r="V8" i="14"/>
  <c r="V10" i="14"/>
  <c r="V11" i="14"/>
  <c r="V12" i="14"/>
  <c r="V13" i="14"/>
  <c r="E12" i="22"/>
  <c r="Y10" i="22" s="1"/>
  <c r="D12" i="22"/>
  <c r="Y9" i="22" s="1"/>
  <c r="G12" i="22"/>
  <c r="N12" i="22"/>
  <c r="L12" i="22"/>
  <c r="Y18" i="22" s="1"/>
  <c r="M12" i="22"/>
  <c r="Y19" i="22" s="1"/>
  <c r="Q8" i="33"/>
  <c r="P8" i="33"/>
  <c r="O8" i="33"/>
  <c r="N8" i="33"/>
  <c r="M8" i="33"/>
  <c r="K8" i="33"/>
  <c r="J8" i="33"/>
  <c r="I8" i="33"/>
  <c r="H8" i="33"/>
  <c r="G8" i="33"/>
  <c r="E8" i="33"/>
  <c r="F8" i="33" s="1"/>
  <c r="V6" i="27"/>
  <c r="V7" i="27"/>
  <c r="V8" i="27"/>
  <c r="V9" i="27"/>
  <c r="V10" i="27"/>
  <c r="V11" i="27"/>
  <c r="V12" i="27"/>
  <c r="V13" i="27"/>
  <c r="V14" i="27"/>
  <c r="V15" i="27"/>
  <c r="V16" i="27"/>
  <c r="V5" i="27"/>
  <c r="V6" i="29"/>
  <c r="V7" i="29"/>
  <c r="V8" i="29"/>
  <c r="V9" i="29"/>
  <c r="V10" i="29"/>
  <c r="V11" i="29"/>
  <c r="V12" i="29"/>
  <c r="V13" i="29"/>
  <c r="V14" i="29"/>
  <c r="V15" i="29"/>
  <c r="V16" i="29"/>
  <c r="V5" i="29"/>
  <c r="P9" i="22"/>
  <c r="P10" i="22"/>
  <c r="P11" i="22"/>
  <c r="P12" i="22"/>
  <c r="P13" i="22"/>
  <c r="P14" i="22"/>
  <c r="P15" i="22"/>
  <c r="P16" i="22"/>
  <c r="P17" i="22"/>
  <c r="P18" i="22"/>
  <c r="P19" i="22"/>
  <c r="V6" i="24"/>
  <c r="V7" i="24"/>
  <c r="V8" i="24"/>
  <c r="V9" i="24"/>
  <c r="V10" i="24"/>
  <c r="V11" i="24"/>
  <c r="V12" i="24"/>
  <c r="V13" i="24"/>
  <c r="V14" i="24"/>
  <c r="V15" i="24"/>
  <c r="V16" i="24"/>
  <c r="V5" i="24"/>
  <c r="P8" i="22"/>
  <c r="P10" i="18"/>
  <c r="P11" i="18"/>
  <c r="P12" i="18"/>
  <c r="P13" i="18"/>
  <c r="P15" i="18"/>
  <c r="P16" i="18"/>
  <c r="P17" i="18"/>
  <c r="P18" i="18"/>
  <c r="P19" i="18"/>
  <c r="P8" i="18"/>
  <c r="U5" i="33"/>
  <c r="U6" i="33"/>
  <c r="U7" i="33"/>
  <c r="U8" i="33"/>
  <c r="U9" i="33"/>
  <c r="U10" i="33"/>
  <c r="U11" i="33"/>
  <c r="U12" i="33"/>
  <c r="U13" i="33"/>
  <c r="U14" i="33"/>
  <c r="U15" i="33"/>
  <c r="U4" i="33"/>
  <c r="S5" i="33"/>
  <c r="S6" i="33"/>
  <c r="S7" i="33"/>
  <c r="S8" i="33"/>
  <c r="T8" i="33" s="1"/>
  <c r="S9" i="33"/>
  <c r="S10" i="33"/>
  <c r="S11" i="33"/>
  <c r="S12" i="33"/>
  <c r="S13" i="33"/>
  <c r="S14" i="33"/>
  <c r="S15" i="33"/>
  <c r="S4" i="33"/>
  <c r="T10" i="32"/>
  <c r="T12" i="32"/>
  <c r="T9" i="32"/>
  <c r="T11" i="32"/>
  <c r="U11" i="32" s="1"/>
  <c r="T16" i="32"/>
  <c r="T8" i="32"/>
  <c r="T13" i="32"/>
  <c r="T15" i="32"/>
  <c r="T17" i="32"/>
  <c r="T14" i="32"/>
  <c r="T18" i="32"/>
  <c r="C12" i="18"/>
  <c r="D12" i="18" s="1"/>
  <c r="C12" i="15"/>
  <c r="M12" i="15" s="1"/>
  <c r="Y19" i="15" s="1"/>
  <c r="O12" i="22" l="1"/>
  <c r="E12" i="18"/>
  <c r="L12" i="15"/>
  <c r="Y18" i="15" s="1"/>
  <c r="D12" i="15"/>
  <c r="Y9" i="15" s="1"/>
  <c r="N12" i="15"/>
  <c r="S12" i="14"/>
  <c r="L8" i="33"/>
  <c r="X8" i="33"/>
  <c r="R8" i="33"/>
  <c r="W4" i="33"/>
  <c r="W15" i="33"/>
  <c r="W14" i="33"/>
  <c r="W13" i="33"/>
  <c r="W12" i="33"/>
  <c r="W11" i="33"/>
  <c r="W10" i="33"/>
  <c r="W9" i="33"/>
  <c r="V8" i="33"/>
  <c r="W8" i="33"/>
  <c r="W7" i="33"/>
  <c r="W6" i="33"/>
  <c r="W5" i="33"/>
  <c r="N12" i="14" l="1"/>
  <c r="Q11" i="32" s="1"/>
  <c r="R10" i="18"/>
  <c r="R18" i="18"/>
  <c r="R11" i="18"/>
  <c r="R19" i="18"/>
  <c r="R12" i="18"/>
  <c r="R13" i="18"/>
  <c r="R14" i="18"/>
  <c r="T7" i="32"/>
  <c r="R15" i="18"/>
  <c r="R17" i="18"/>
  <c r="R16" i="18"/>
  <c r="R9" i="18"/>
  <c r="X15" i="24"/>
  <c r="X16" i="24"/>
  <c r="X15" i="29"/>
  <c r="X14" i="24"/>
  <c r="X16" i="29"/>
  <c r="X15" i="27"/>
  <c r="X14" i="29"/>
  <c r="X16" i="27"/>
  <c r="R17" i="22"/>
  <c r="X14" i="27"/>
  <c r="R18" i="22"/>
  <c r="R19" i="22"/>
  <c r="S9" i="29"/>
  <c r="O4" i="29"/>
  <c r="T9" i="24"/>
  <c r="M9" i="24"/>
  <c r="N9" i="27"/>
  <c r="O4" i="27"/>
  <c r="O4" i="24"/>
  <c r="D9" i="24"/>
  <c r="K7" i="22"/>
  <c r="F12" i="22" s="1"/>
  <c r="F11" i="36" s="1"/>
  <c r="K7" i="18"/>
  <c r="E12" i="15"/>
  <c r="Y10" i="15" s="1"/>
  <c r="D24" i="6"/>
  <c r="C24" i="6"/>
  <c r="Q11" i="36" l="1"/>
  <c r="F9" i="29"/>
  <c r="N9" i="24"/>
  <c r="S12" i="18"/>
  <c r="M9" i="27"/>
  <c r="Q9" i="27"/>
  <c r="D9" i="27"/>
  <c r="P9" i="27"/>
  <c r="L9" i="27"/>
  <c r="K9" i="27"/>
  <c r="J9" i="27"/>
  <c r="I9" i="27"/>
  <c r="T9" i="27"/>
  <c r="G9" i="27"/>
  <c r="S9" i="27"/>
  <c r="F9" i="27"/>
  <c r="R9" i="27"/>
  <c r="E9" i="27"/>
  <c r="E9" i="29"/>
  <c r="L9" i="29"/>
  <c r="R9" i="29"/>
  <c r="T9" i="29"/>
  <c r="K9" i="29"/>
  <c r="Q9" i="29"/>
  <c r="N9" i="29"/>
  <c r="J9" i="29"/>
  <c r="P9" i="29"/>
  <c r="I9" i="29"/>
  <c r="G9" i="29"/>
  <c r="D9" i="29"/>
  <c r="M9" i="29"/>
  <c r="L9" i="24"/>
  <c r="S9" i="24"/>
  <c r="K9" i="24"/>
  <c r="R9" i="24"/>
  <c r="J9" i="24"/>
  <c r="Q9" i="24"/>
  <c r="I9" i="24"/>
  <c r="F9" i="24"/>
  <c r="P9" i="24"/>
  <c r="E9" i="24"/>
  <c r="N12" i="18"/>
  <c r="M12" i="18"/>
  <c r="L12" i="18"/>
  <c r="C9" i="6"/>
  <c r="C10" i="6"/>
  <c r="C11" i="6"/>
  <c r="C12" i="6"/>
  <c r="C13" i="6"/>
  <c r="C14" i="6"/>
  <c r="C15" i="6"/>
  <c r="C16" i="6"/>
  <c r="C17" i="6"/>
  <c r="C18" i="6"/>
  <c r="C19" i="6"/>
  <c r="C8" i="6"/>
  <c r="D8" i="6"/>
  <c r="D9" i="6"/>
  <c r="D10" i="6"/>
  <c r="D11" i="6"/>
  <c r="D13" i="6"/>
  <c r="D14" i="6"/>
  <c r="D15" i="6"/>
  <c r="D16" i="6"/>
  <c r="D17" i="6"/>
  <c r="D18" i="6"/>
  <c r="D19" i="6"/>
  <c r="C17" i="38" l="1"/>
  <c r="C17" i="35"/>
  <c r="C17" i="39"/>
  <c r="D13" i="33"/>
  <c r="C17" i="22"/>
  <c r="H17" i="22" s="1"/>
  <c r="C17" i="14"/>
  <c r="H17" i="14" s="1"/>
  <c r="C14" i="27"/>
  <c r="C16" i="32"/>
  <c r="U16" i="32" s="1"/>
  <c r="C14" i="24"/>
  <c r="C14" i="29"/>
  <c r="C17" i="15"/>
  <c r="C17" i="18"/>
  <c r="C10" i="38"/>
  <c r="C10" i="39"/>
  <c r="C10" i="35"/>
  <c r="D6" i="33"/>
  <c r="C10" i="14"/>
  <c r="H10" i="14" s="1"/>
  <c r="C9" i="32"/>
  <c r="U9" i="32" s="1"/>
  <c r="C10" i="22"/>
  <c r="C7" i="24"/>
  <c r="W7" i="24" s="1"/>
  <c r="C7" i="29"/>
  <c r="W7" i="29" s="1"/>
  <c r="C7" i="27"/>
  <c r="W7" i="27" s="1"/>
  <c r="C10" i="15"/>
  <c r="G10" i="15" s="1"/>
  <c r="C10" i="18"/>
  <c r="H10" i="18" s="1"/>
  <c r="C8" i="38"/>
  <c r="C8" i="35"/>
  <c r="C8" i="39"/>
  <c r="D4" i="33"/>
  <c r="C8" i="14"/>
  <c r="H8" i="14" s="1"/>
  <c r="C8" i="22"/>
  <c r="G8" i="22" s="1"/>
  <c r="C5" i="24"/>
  <c r="C5" i="29"/>
  <c r="W5" i="29" s="1"/>
  <c r="C5" i="27"/>
  <c r="K5" i="27" s="1"/>
  <c r="C7" i="32"/>
  <c r="U7" i="32" s="1"/>
  <c r="C8" i="15"/>
  <c r="G8" i="15" s="1"/>
  <c r="C8" i="18"/>
  <c r="C9" i="38"/>
  <c r="C9" i="39"/>
  <c r="C19" i="39"/>
  <c r="C19" i="35"/>
  <c r="C19" i="38"/>
  <c r="D15" i="33"/>
  <c r="C18" i="14"/>
  <c r="H18" i="14" s="1"/>
  <c r="C18" i="32"/>
  <c r="U18" i="32" s="1"/>
  <c r="C19" i="22"/>
  <c r="G19" i="22" s="1"/>
  <c r="C16" i="24"/>
  <c r="G16" i="24" s="1"/>
  <c r="C16" i="29"/>
  <c r="C16" i="27"/>
  <c r="C19" i="15"/>
  <c r="C19" i="18"/>
  <c r="H19" i="18" s="1"/>
  <c r="C18" i="39"/>
  <c r="C18" i="38"/>
  <c r="C18" i="35"/>
  <c r="D14" i="33"/>
  <c r="C15" i="29"/>
  <c r="W15" i="29" s="1"/>
  <c r="C17" i="32"/>
  <c r="U17" i="32" s="1"/>
  <c r="C15" i="24"/>
  <c r="G15" i="24" s="1"/>
  <c r="C18" i="22"/>
  <c r="C15" i="27"/>
  <c r="C18" i="18"/>
  <c r="I18" i="18" s="1"/>
  <c r="C18" i="15"/>
  <c r="C16" i="38"/>
  <c r="C16" i="35"/>
  <c r="C16" i="39"/>
  <c r="D12" i="33"/>
  <c r="C16" i="22"/>
  <c r="G16" i="22" s="1"/>
  <c r="C13" i="24"/>
  <c r="W13" i="24" s="1"/>
  <c r="C13" i="27"/>
  <c r="W13" i="27" s="1"/>
  <c r="C16" i="14"/>
  <c r="C15" i="32"/>
  <c r="U15" i="32" s="1"/>
  <c r="C13" i="29"/>
  <c r="W13" i="29" s="1"/>
  <c r="C16" i="15"/>
  <c r="I16" i="15" s="1"/>
  <c r="C16" i="18"/>
  <c r="Q16" i="18" s="1"/>
  <c r="C14" i="35"/>
  <c r="C14" i="39"/>
  <c r="C14" i="38"/>
  <c r="D10" i="33"/>
  <c r="C14" i="22"/>
  <c r="I14" i="22" s="1"/>
  <c r="C11" i="24"/>
  <c r="W11" i="24" s="1"/>
  <c r="C11" i="27"/>
  <c r="W11" i="27" s="1"/>
  <c r="C11" i="29"/>
  <c r="W11" i="29" s="1"/>
  <c r="C14" i="14"/>
  <c r="H14" i="14" s="1"/>
  <c r="C13" i="32"/>
  <c r="U13" i="32" s="1"/>
  <c r="C14" i="18"/>
  <c r="C14" i="15"/>
  <c r="C13" i="38"/>
  <c r="C13" i="39"/>
  <c r="C13" i="35"/>
  <c r="D9" i="33"/>
  <c r="C13" i="22"/>
  <c r="H13" i="22" s="1"/>
  <c r="C10" i="24"/>
  <c r="G10" i="24" s="1"/>
  <c r="C10" i="27"/>
  <c r="W10" i="27" s="1"/>
  <c r="C10" i="29"/>
  <c r="W10" i="29" s="1"/>
  <c r="C13" i="14"/>
  <c r="H13" i="14" s="1"/>
  <c r="C12" i="32"/>
  <c r="U12" i="32" s="1"/>
  <c r="C13" i="15"/>
  <c r="C15" i="39"/>
  <c r="C15" i="38"/>
  <c r="C15" i="35"/>
  <c r="D11" i="33"/>
  <c r="C15" i="22"/>
  <c r="H15" i="22" s="1"/>
  <c r="C12" i="29"/>
  <c r="W12" i="29" s="1"/>
  <c r="C12" i="27"/>
  <c r="W12" i="27" s="1"/>
  <c r="C15" i="14"/>
  <c r="C12" i="24"/>
  <c r="W12" i="24" s="1"/>
  <c r="C14" i="32"/>
  <c r="U14" i="32" s="1"/>
  <c r="C15" i="18"/>
  <c r="D15" i="18" s="1"/>
  <c r="C15" i="15"/>
  <c r="C11" i="38"/>
  <c r="C11" i="39"/>
  <c r="C12" i="36"/>
  <c r="U12" i="36" s="1"/>
  <c r="D7" i="33"/>
  <c r="C11" i="22"/>
  <c r="J11" i="22" s="1"/>
  <c r="C8" i="24"/>
  <c r="G8" i="24" s="1"/>
  <c r="C8" i="29"/>
  <c r="W8" i="29" s="1"/>
  <c r="C8" i="27"/>
  <c r="W8" i="27" s="1"/>
  <c r="C10" i="32"/>
  <c r="U10" i="32" s="1"/>
  <c r="C11" i="14"/>
  <c r="H11" i="14" s="1"/>
  <c r="C11" i="18"/>
  <c r="D11" i="18" s="1"/>
  <c r="C11" i="15"/>
  <c r="C9" i="35"/>
  <c r="D5" i="33"/>
  <c r="C6" i="27"/>
  <c r="W6" i="27" s="1"/>
  <c r="C6" i="24"/>
  <c r="W6" i="24" s="1"/>
  <c r="C6" i="29"/>
  <c r="C9" i="22"/>
  <c r="C8" i="32"/>
  <c r="U8" i="32" s="1"/>
  <c r="C9" i="15"/>
  <c r="C9" i="18"/>
  <c r="H9" i="18" s="1"/>
  <c r="Y11" i="18" s="1"/>
  <c r="O9" i="24"/>
  <c r="H9" i="29"/>
  <c r="O9" i="29"/>
  <c r="H9" i="27"/>
  <c r="W14" i="29"/>
  <c r="G5" i="24"/>
  <c r="W16" i="29"/>
  <c r="X11" i="29"/>
  <c r="X13" i="29"/>
  <c r="X9" i="29"/>
  <c r="W9" i="29"/>
  <c r="G9" i="24"/>
  <c r="H9" i="24" s="1"/>
  <c r="F11" i="32"/>
  <c r="X7" i="29"/>
  <c r="X5" i="29"/>
  <c r="X6" i="29"/>
  <c r="G14" i="24"/>
  <c r="X12" i="29"/>
  <c r="X10" i="29"/>
  <c r="X8" i="29"/>
  <c r="U9" i="29"/>
  <c r="J5" i="27"/>
  <c r="W16" i="27"/>
  <c r="X13" i="27"/>
  <c r="X8" i="27"/>
  <c r="X11" i="27"/>
  <c r="X6" i="27"/>
  <c r="W15" i="27"/>
  <c r="X12" i="27"/>
  <c r="X10" i="27"/>
  <c r="X5" i="27"/>
  <c r="W9" i="27"/>
  <c r="X7" i="27"/>
  <c r="W14" i="27"/>
  <c r="X9" i="27"/>
  <c r="I12" i="22"/>
  <c r="Y15" i="22" s="1"/>
  <c r="G12" i="18"/>
  <c r="I12" i="18"/>
  <c r="G17" i="22"/>
  <c r="I17" i="22"/>
  <c r="H12" i="15"/>
  <c r="Y11" i="15" s="1"/>
  <c r="G12" i="15"/>
  <c r="N8" i="15"/>
  <c r="H12" i="22"/>
  <c r="Y11" i="22" s="1"/>
  <c r="H12" i="18"/>
  <c r="I12" i="15"/>
  <c r="Y15" i="15" s="1"/>
  <c r="X5" i="24"/>
  <c r="R16" i="22"/>
  <c r="R8" i="22"/>
  <c r="R15" i="15"/>
  <c r="P8" i="15"/>
  <c r="X10" i="24"/>
  <c r="X8" i="24"/>
  <c r="W5" i="24"/>
  <c r="R13" i="22"/>
  <c r="R17" i="15"/>
  <c r="P15" i="15"/>
  <c r="R12" i="15"/>
  <c r="R10" i="15"/>
  <c r="X13" i="24"/>
  <c r="R10" i="22"/>
  <c r="Q12" i="18"/>
  <c r="P17" i="15"/>
  <c r="P12" i="15"/>
  <c r="Q12" i="15" s="1"/>
  <c r="P10" i="15"/>
  <c r="W15" i="24"/>
  <c r="X6" i="24"/>
  <c r="R15" i="22"/>
  <c r="R19" i="15"/>
  <c r="R14" i="15"/>
  <c r="X11" i="24"/>
  <c r="R12" i="22"/>
  <c r="P19" i="15"/>
  <c r="Q19" i="15" s="1"/>
  <c r="R16" i="15"/>
  <c r="P14" i="15"/>
  <c r="R11" i="15"/>
  <c r="R9" i="15"/>
  <c r="Q12" i="22"/>
  <c r="R9" i="22"/>
  <c r="P16" i="15"/>
  <c r="P11" i="15"/>
  <c r="Q11" i="15" s="1"/>
  <c r="P9" i="15"/>
  <c r="W14" i="24"/>
  <c r="X9" i="24"/>
  <c r="X7" i="24"/>
  <c r="Q17" i="22"/>
  <c r="R14" i="22"/>
  <c r="R8" i="18"/>
  <c r="S8" i="18" s="1"/>
  <c r="R18" i="15"/>
  <c r="R13" i="15"/>
  <c r="X12" i="24"/>
  <c r="W9" i="24"/>
  <c r="R11" i="22"/>
  <c r="Q8" i="18"/>
  <c r="P18" i="15"/>
  <c r="P13" i="15"/>
  <c r="R8" i="15"/>
  <c r="J12" i="22"/>
  <c r="Y16" i="22" s="1"/>
  <c r="J14" i="18"/>
  <c r="J18" i="22"/>
  <c r="J12" i="18"/>
  <c r="J17" i="22"/>
  <c r="J12" i="15"/>
  <c r="Y16" i="15" s="1"/>
  <c r="U8" i="14"/>
  <c r="U12" i="14"/>
  <c r="G16" i="14" l="1"/>
  <c r="H16" i="14"/>
  <c r="Z14" i="14" s="1"/>
  <c r="U9" i="14"/>
  <c r="W9" i="14"/>
  <c r="S11" i="35"/>
  <c r="S12" i="35"/>
  <c r="F11" i="14"/>
  <c r="G11" i="14"/>
  <c r="G15" i="14"/>
  <c r="F13" i="14"/>
  <c r="G13" i="14"/>
  <c r="F14" i="14"/>
  <c r="G14" i="14"/>
  <c r="F18" i="14"/>
  <c r="G18" i="14"/>
  <c r="F8" i="14"/>
  <c r="G8" i="14"/>
  <c r="F10" i="14"/>
  <c r="G10" i="14"/>
  <c r="F17" i="14"/>
  <c r="G17" i="14"/>
  <c r="F16" i="14"/>
  <c r="D16" i="14"/>
  <c r="E8" i="14"/>
  <c r="D8" i="14"/>
  <c r="H11" i="32"/>
  <c r="H11" i="36"/>
  <c r="G11" i="32"/>
  <c r="G11" i="36"/>
  <c r="M8" i="15"/>
  <c r="M5" i="27"/>
  <c r="N5" i="27"/>
  <c r="W16" i="24"/>
  <c r="I5" i="27"/>
  <c r="Q8" i="15"/>
  <c r="J16" i="18"/>
  <c r="I19" i="22"/>
  <c r="U18" i="14"/>
  <c r="M18" i="14"/>
  <c r="L18" i="14"/>
  <c r="K18" i="14"/>
  <c r="J18" i="14"/>
  <c r="E18" i="14"/>
  <c r="D18" i="14"/>
  <c r="J16" i="22"/>
  <c r="Q15" i="22"/>
  <c r="G13" i="24"/>
  <c r="W5" i="27"/>
  <c r="G11" i="24"/>
  <c r="E15" i="35"/>
  <c r="J15" i="35"/>
  <c r="I15" i="35"/>
  <c r="H15" i="35"/>
  <c r="G15" i="35"/>
  <c r="D15" i="35"/>
  <c r="D13" i="35"/>
  <c r="J13" i="35"/>
  <c r="I13" i="35"/>
  <c r="H13" i="35"/>
  <c r="G13" i="35"/>
  <c r="E13" i="35"/>
  <c r="H14" i="38"/>
  <c r="G14" i="38"/>
  <c r="E14" i="38"/>
  <c r="D14" i="38"/>
  <c r="J14" i="38"/>
  <c r="I14" i="38"/>
  <c r="J16" i="39"/>
  <c r="I16" i="39"/>
  <c r="H16" i="39"/>
  <c r="G16" i="39"/>
  <c r="E16" i="39"/>
  <c r="D16" i="39"/>
  <c r="E18" i="35"/>
  <c r="J18" i="35"/>
  <c r="D18" i="35"/>
  <c r="I18" i="35"/>
  <c r="H18" i="35"/>
  <c r="G18" i="35"/>
  <c r="J19" i="38"/>
  <c r="I19" i="38"/>
  <c r="H19" i="38"/>
  <c r="G19" i="38"/>
  <c r="E19" i="38"/>
  <c r="D19" i="38"/>
  <c r="J19" i="22"/>
  <c r="W10" i="24"/>
  <c r="I9" i="35"/>
  <c r="H9" i="35"/>
  <c r="G9" i="35"/>
  <c r="E9" i="35"/>
  <c r="D9" i="35"/>
  <c r="J9" i="35"/>
  <c r="J11" i="39"/>
  <c r="D11" i="39"/>
  <c r="I11" i="39"/>
  <c r="H11" i="39"/>
  <c r="G11" i="39"/>
  <c r="E11" i="39"/>
  <c r="J15" i="38"/>
  <c r="I15" i="38"/>
  <c r="D15" i="38"/>
  <c r="H15" i="38"/>
  <c r="G15" i="38"/>
  <c r="E15" i="38"/>
  <c r="E13" i="39"/>
  <c r="D13" i="39"/>
  <c r="I13" i="39"/>
  <c r="J13" i="39"/>
  <c r="H13" i="39"/>
  <c r="G13" i="39"/>
  <c r="H14" i="39"/>
  <c r="G14" i="39"/>
  <c r="E14" i="39"/>
  <c r="D14" i="39"/>
  <c r="J14" i="39"/>
  <c r="I14" i="39"/>
  <c r="H16" i="35"/>
  <c r="G16" i="35"/>
  <c r="E16" i="35"/>
  <c r="D16" i="35"/>
  <c r="J16" i="35"/>
  <c r="I16" i="35"/>
  <c r="H18" i="38"/>
  <c r="G18" i="38"/>
  <c r="E18" i="38"/>
  <c r="D18" i="38"/>
  <c r="J18" i="38"/>
  <c r="I18" i="38"/>
  <c r="J19" i="35"/>
  <c r="I19" i="35"/>
  <c r="H19" i="35"/>
  <c r="G19" i="35"/>
  <c r="E19" i="35"/>
  <c r="D19" i="35"/>
  <c r="M8" i="14"/>
  <c r="L8" i="14"/>
  <c r="K8" i="14"/>
  <c r="J8" i="14"/>
  <c r="J13" i="22"/>
  <c r="Q19" i="22"/>
  <c r="W8" i="24"/>
  <c r="D11" i="38"/>
  <c r="J11" i="38"/>
  <c r="I11" i="38"/>
  <c r="H11" i="38"/>
  <c r="G11" i="38"/>
  <c r="E11" i="38"/>
  <c r="J15" i="39"/>
  <c r="I15" i="39"/>
  <c r="D15" i="39"/>
  <c r="H15" i="39"/>
  <c r="G15" i="39"/>
  <c r="E15" i="39"/>
  <c r="I13" i="38"/>
  <c r="E13" i="38"/>
  <c r="D13" i="38"/>
  <c r="J13" i="38"/>
  <c r="H13" i="38"/>
  <c r="G13" i="38"/>
  <c r="J14" i="35"/>
  <c r="I14" i="35"/>
  <c r="H14" i="35"/>
  <c r="G14" i="35"/>
  <c r="E14" i="35"/>
  <c r="D14" i="35"/>
  <c r="J16" i="38"/>
  <c r="I16" i="38"/>
  <c r="H16" i="38"/>
  <c r="G16" i="38"/>
  <c r="E16" i="38"/>
  <c r="D16" i="38"/>
  <c r="H18" i="39"/>
  <c r="G18" i="39"/>
  <c r="E18" i="39"/>
  <c r="D18" i="39"/>
  <c r="J18" i="39"/>
  <c r="I18" i="39"/>
  <c r="J19" i="39"/>
  <c r="I19" i="39"/>
  <c r="H19" i="39"/>
  <c r="G19" i="39"/>
  <c r="E19" i="39"/>
  <c r="D19" i="39"/>
  <c r="U10" i="14"/>
  <c r="M10" i="14"/>
  <c r="D10" i="14"/>
  <c r="L10" i="14"/>
  <c r="K10" i="14"/>
  <c r="J10" i="14"/>
  <c r="E10" i="14"/>
  <c r="U17" i="14"/>
  <c r="D17" i="14"/>
  <c r="M17" i="14"/>
  <c r="L17" i="14"/>
  <c r="K17" i="14"/>
  <c r="J17" i="14"/>
  <c r="E17" i="14"/>
  <c r="I9" i="39"/>
  <c r="E9" i="39"/>
  <c r="D9" i="39"/>
  <c r="J9" i="39"/>
  <c r="H9" i="39"/>
  <c r="G9" i="39"/>
  <c r="J8" i="39"/>
  <c r="I8" i="39"/>
  <c r="H8" i="39"/>
  <c r="G8" i="39"/>
  <c r="E8" i="39"/>
  <c r="D8" i="39"/>
  <c r="U11" i="14"/>
  <c r="J11" i="14"/>
  <c r="E11" i="14"/>
  <c r="D11" i="14"/>
  <c r="M11" i="14"/>
  <c r="L11" i="14"/>
  <c r="K11" i="14"/>
  <c r="E9" i="38"/>
  <c r="D9" i="38"/>
  <c r="H9" i="38"/>
  <c r="J9" i="38"/>
  <c r="I9" i="38"/>
  <c r="G9" i="38"/>
  <c r="H8" i="35"/>
  <c r="J8" i="35"/>
  <c r="G8" i="35"/>
  <c r="I8" i="35"/>
  <c r="E8" i="35"/>
  <c r="D8" i="35"/>
  <c r="D10" i="35"/>
  <c r="Y9" i="35" s="1"/>
  <c r="J10" i="35"/>
  <c r="Y16" i="35" s="1"/>
  <c r="I10" i="35"/>
  <c r="Y15" i="35" s="1"/>
  <c r="H10" i="35"/>
  <c r="Y11" i="35" s="1"/>
  <c r="G10" i="35"/>
  <c r="E10" i="35"/>
  <c r="Y10" i="35" s="1"/>
  <c r="J8" i="38"/>
  <c r="I8" i="38"/>
  <c r="H8" i="38"/>
  <c r="G8" i="38"/>
  <c r="E8" i="38"/>
  <c r="D8" i="38"/>
  <c r="I17" i="39"/>
  <c r="H17" i="39"/>
  <c r="E17" i="39"/>
  <c r="D17" i="39"/>
  <c r="J17" i="39"/>
  <c r="G17" i="39"/>
  <c r="I15" i="22"/>
  <c r="L5" i="27"/>
  <c r="U13" i="14"/>
  <c r="D13" i="14"/>
  <c r="K13" i="14"/>
  <c r="M13" i="14"/>
  <c r="L13" i="14"/>
  <c r="J13" i="14"/>
  <c r="E13" i="14"/>
  <c r="U14" i="14"/>
  <c r="M14" i="14"/>
  <c r="L14" i="14"/>
  <c r="K14" i="14"/>
  <c r="J14" i="14"/>
  <c r="E14" i="14"/>
  <c r="D14" i="14"/>
  <c r="H10" i="39"/>
  <c r="G10" i="39"/>
  <c r="E10" i="39"/>
  <c r="D10" i="39"/>
  <c r="J10" i="39"/>
  <c r="I10" i="39"/>
  <c r="J17" i="35"/>
  <c r="I17" i="35"/>
  <c r="H17" i="35"/>
  <c r="G17" i="35"/>
  <c r="E17" i="35"/>
  <c r="D17" i="35"/>
  <c r="Q10" i="15"/>
  <c r="H19" i="22"/>
  <c r="U15" i="14"/>
  <c r="E15" i="14"/>
  <c r="M15" i="14"/>
  <c r="L15" i="14"/>
  <c r="K15" i="14"/>
  <c r="J15" i="14"/>
  <c r="D15" i="14"/>
  <c r="U16" i="14"/>
  <c r="K16" i="14"/>
  <c r="J16" i="14"/>
  <c r="E16" i="14"/>
  <c r="M16" i="14"/>
  <c r="L16" i="14"/>
  <c r="H10" i="38"/>
  <c r="G10" i="38"/>
  <c r="E10" i="38"/>
  <c r="D10" i="38"/>
  <c r="J10" i="38"/>
  <c r="I10" i="38"/>
  <c r="E17" i="38"/>
  <c r="D17" i="38"/>
  <c r="H17" i="38"/>
  <c r="I17" i="38"/>
  <c r="J17" i="38"/>
  <c r="G17" i="38"/>
  <c r="Q11" i="18"/>
  <c r="J11" i="18"/>
  <c r="J18" i="18"/>
  <c r="I16" i="18"/>
  <c r="G9" i="18"/>
  <c r="G11" i="18"/>
  <c r="Q10" i="18"/>
  <c r="I9" i="18"/>
  <c r="Y15" i="18" s="1"/>
  <c r="J10" i="18"/>
  <c r="H18" i="18"/>
  <c r="H11" i="18"/>
  <c r="J9" i="18"/>
  <c r="Y16" i="18" s="1"/>
  <c r="J17" i="18"/>
  <c r="H16" i="18"/>
  <c r="G8" i="18"/>
  <c r="E8" i="18"/>
  <c r="J19" i="18"/>
  <c r="Q13" i="18"/>
  <c r="H13" i="18"/>
  <c r="I10" i="18"/>
  <c r="G14" i="18"/>
  <c r="G16" i="18"/>
  <c r="I8" i="18"/>
  <c r="I15" i="18"/>
  <c r="J13" i="18"/>
  <c r="Q9" i="18"/>
  <c r="Q15" i="18"/>
  <c r="H14" i="18"/>
  <c r="G13" i="18"/>
  <c r="G10" i="18"/>
  <c r="I17" i="18"/>
  <c r="D8" i="18"/>
  <c r="Q14" i="18"/>
  <c r="H17" i="18"/>
  <c r="I11" i="18"/>
  <c r="H15" i="18"/>
  <c r="D13" i="18"/>
  <c r="J15" i="18"/>
  <c r="H8" i="18"/>
  <c r="G15" i="18"/>
  <c r="D16" i="18"/>
  <c r="D10" i="18"/>
  <c r="I13" i="18"/>
  <c r="Q9" i="15"/>
  <c r="H14" i="22"/>
  <c r="G14" i="22"/>
  <c r="Q13" i="22"/>
  <c r="Q14" i="22"/>
  <c r="J15" i="22"/>
  <c r="H16" i="22"/>
  <c r="I16" i="22"/>
  <c r="Q16" i="22"/>
  <c r="G15" i="22"/>
  <c r="L8" i="15"/>
  <c r="O8" i="15" s="1"/>
  <c r="I8" i="15"/>
  <c r="G11" i="15"/>
  <c r="H11" i="15"/>
  <c r="I9" i="15"/>
  <c r="G15" i="15"/>
  <c r="Q15" i="15"/>
  <c r="J8" i="15"/>
  <c r="J11" i="15"/>
  <c r="I10" i="15"/>
  <c r="G9" i="15"/>
  <c r="H8" i="15"/>
  <c r="I15" i="15"/>
  <c r="S19" i="15"/>
  <c r="H9" i="15"/>
  <c r="J9" i="15"/>
  <c r="I11" i="15"/>
  <c r="Q14" i="15"/>
  <c r="G16" i="15"/>
  <c r="J15" i="15"/>
  <c r="G6" i="24"/>
  <c r="H16" i="15"/>
  <c r="J16" i="15"/>
  <c r="J13" i="15"/>
  <c r="J8" i="22"/>
  <c r="Q16" i="15"/>
  <c r="Q17" i="15"/>
  <c r="I14" i="15"/>
  <c r="G19" i="18"/>
  <c r="S18" i="15"/>
  <c r="I19" i="18"/>
  <c r="Q13" i="15"/>
  <c r="G13" i="15"/>
  <c r="S17" i="15"/>
  <c r="G7" i="24"/>
  <c r="Q18" i="15"/>
  <c r="G14" i="15"/>
  <c r="H14" i="15"/>
  <c r="J10" i="15"/>
  <c r="H10" i="15"/>
  <c r="J14" i="15"/>
  <c r="H13" i="15"/>
  <c r="I13" i="15"/>
  <c r="H15" i="15"/>
  <c r="J14" i="22"/>
  <c r="G13" i="22"/>
  <c r="H18" i="22"/>
  <c r="Q18" i="22"/>
  <c r="G18" i="22"/>
  <c r="I11" i="22"/>
  <c r="I18" i="22"/>
  <c r="Q11" i="22"/>
  <c r="G11" i="22"/>
  <c r="H11" i="22"/>
  <c r="S11" i="22"/>
  <c r="H10" i="22"/>
  <c r="G10" i="22"/>
  <c r="Q8" i="22"/>
  <c r="Q10" i="22"/>
  <c r="H8" i="22"/>
  <c r="J10" i="22"/>
  <c r="I10" i="22"/>
  <c r="E9" i="18"/>
  <c r="Y10" i="18" s="1"/>
  <c r="I14" i="18"/>
  <c r="D9" i="18"/>
  <c r="Y9" i="18" s="1"/>
  <c r="G12" i="24"/>
  <c r="N13" i="15"/>
  <c r="L13" i="15"/>
  <c r="M13" i="15"/>
  <c r="D13" i="15"/>
  <c r="E13" i="15"/>
  <c r="N14" i="15"/>
  <c r="M14" i="15"/>
  <c r="L14" i="15"/>
  <c r="D14" i="15"/>
  <c r="E14" i="15"/>
  <c r="L14" i="35"/>
  <c r="N14" i="35"/>
  <c r="M14" i="35"/>
  <c r="Q14" i="35"/>
  <c r="N16" i="35"/>
  <c r="L16" i="35"/>
  <c r="M16" i="35"/>
  <c r="Q16" i="35"/>
  <c r="M18" i="35"/>
  <c r="N18" i="35"/>
  <c r="L18" i="35"/>
  <c r="S18" i="35"/>
  <c r="Q18" i="35"/>
  <c r="I15" i="33"/>
  <c r="E15" i="33"/>
  <c r="F15" i="33" s="1"/>
  <c r="J15" i="33"/>
  <c r="K15" i="33"/>
  <c r="M15" i="33"/>
  <c r="N15" i="33"/>
  <c r="Q15" i="33"/>
  <c r="O15" i="33"/>
  <c r="P15" i="33"/>
  <c r="H15" i="33"/>
  <c r="G15" i="33"/>
  <c r="V15" i="33"/>
  <c r="T15" i="33"/>
  <c r="J7" i="27"/>
  <c r="D7" i="27"/>
  <c r="P7" i="27"/>
  <c r="L7" i="27"/>
  <c r="K7" i="27"/>
  <c r="R7" i="27"/>
  <c r="T7" i="27"/>
  <c r="I7" i="27"/>
  <c r="N7" i="27"/>
  <c r="G7" i="27"/>
  <c r="F7" i="27"/>
  <c r="E7" i="27"/>
  <c r="S7" i="27"/>
  <c r="Q7" i="27"/>
  <c r="M7" i="27"/>
  <c r="N17" i="15"/>
  <c r="M17" i="15"/>
  <c r="L17" i="15"/>
  <c r="H17" i="15"/>
  <c r="D17" i="15"/>
  <c r="J17" i="15"/>
  <c r="E17" i="15"/>
  <c r="I17" i="15"/>
  <c r="G17" i="15"/>
  <c r="L8" i="27"/>
  <c r="N8" i="27"/>
  <c r="F8" i="27"/>
  <c r="M8" i="27"/>
  <c r="J8" i="27"/>
  <c r="E8" i="27"/>
  <c r="R8" i="27"/>
  <c r="Q8" i="27"/>
  <c r="I8" i="27"/>
  <c r="D8" i="27"/>
  <c r="P8" i="27"/>
  <c r="G8" i="27"/>
  <c r="T8" i="27"/>
  <c r="K8" i="27"/>
  <c r="S8" i="27"/>
  <c r="M12" i="24"/>
  <c r="L12" i="24"/>
  <c r="S12" i="24"/>
  <c r="R12" i="24"/>
  <c r="E12" i="24"/>
  <c r="J12" i="24"/>
  <c r="F12" i="24"/>
  <c r="N12" i="24"/>
  <c r="I12" i="24"/>
  <c r="P12" i="24"/>
  <c r="D12" i="24"/>
  <c r="T12" i="24"/>
  <c r="Q12" i="24"/>
  <c r="K12" i="24"/>
  <c r="E14" i="18"/>
  <c r="D14" i="18"/>
  <c r="S14" i="18"/>
  <c r="L14" i="18"/>
  <c r="N14" i="18"/>
  <c r="M14" i="18"/>
  <c r="E16" i="18"/>
  <c r="L16" i="18"/>
  <c r="S16" i="18"/>
  <c r="N16" i="18"/>
  <c r="M16" i="18"/>
  <c r="M16" i="38"/>
  <c r="N16" i="38"/>
  <c r="L16" i="38"/>
  <c r="O15" i="32" s="1"/>
  <c r="Q16" i="38"/>
  <c r="Q18" i="38"/>
  <c r="N18" i="38"/>
  <c r="L18" i="38"/>
  <c r="O17" i="32" s="1"/>
  <c r="M18" i="38"/>
  <c r="M19" i="38"/>
  <c r="N19" i="38"/>
  <c r="L19" i="38"/>
  <c r="O18" i="32" s="1"/>
  <c r="Q19" i="38"/>
  <c r="P5" i="24"/>
  <c r="J5" i="24"/>
  <c r="F5" i="24"/>
  <c r="I5" i="24"/>
  <c r="L5" i="24"/>
  <c r="S5" i="24"/>
  <c r="D5" i="24"/>
  <c r="E5" i="24"/>
  <c r="R5" i="24"/>
  <c r="M5" i="24"/>
  <c r="Q5" i="24"/>
  <c r="T5" i="24"/>
  <c r="N5" i="24"/>
  <c r="K5" i="24"/>
  <c r="I7" i="29"/>
  <c r="K7" i="29"/>
  <c r="G7" i="29"/>
  <c r="L7" i="29"/>
  <c r="E7" i="29"/>
  <c r="T7" i="29"/>
  <c r="N7" i="29"/>
  <c r="F7" i="29"/>
  <c r="S7" i="29"/>
  <c r="M7" i="29"/>
  <c r="D7" i="29"/>
  <c r="J7" i="29"/>
  <c r="R7" i="29"/>
  <c r="Q7" i="29"/>
  <c r="P7" i="29"/>
  <c r="P14" i="29"/>
  <c r="E14" i="29"/>
  <c r="F14" i="29"/>
  <c r="Q14" i="29"/>
  <c r="K14" i="29"/>
  <c r="I14" i="29"/>
  <c r="G14" i="29"/>
  <c r="L14" i="29"/>
  <c r="R14" i="29"/>
  <c r="M14" i="29"/>
  <c r="S14" i="29"/>
  <c r="D14" i="29"/>
  <c r="N14" i="29"/>
  <c r="T14" i="29"/>
  <c r="J14" i="29"/>
  <c r="P8" i="29"/>
  <c r="Q8" i="29"/>
  <c r="L8" i="29"/>
  <c r="G8" i="29"/>
  <c r="N8" i="29"/>
  <c r="F8" i="29"/>
  <c r="T8" i="29"/>
  <c r="E8" i="29"/>
  <c r="S8" i="29"/>
  <c r="K8" i="29"/>
  <c r="J8" i="29"/>
  <c r="D8" i="29"/>
  <c r="M8" i="29"/>
  <c r="I8" i="29"/>
  <c r="R8" i="29"/>
  <c r="O15" i="14"/>
  <c r="R15" i="14"/>
  <c r="Q15" i="14"/>
  <c r="P15" i="14"/>
  <c r="W15" i="14"/>
  <c r="R13" i="14"/>
  <c r="Q13" i="14"/>
  <c r="O13" i="14"/>
  <c r="P13" i="14"/>
  <c r="N16" i="15"/>
  <c r="L16" i="15"/>
  <c r="M16" i="15"/>
  <c r="E16" i="15"/>
  <c r="D16" i="15"/>
  <c r="N18" i="15"/>
  <c r="L18" i="15"/>
  <c r="M18" i="15"/>
  <c r="I18" i="15"/>
  <c r="H18" i="15"/>
  <c r="D18" i="15"/>
  <c r="E18" i="15"/>
  <c r="G18" i="15"/>
  <c r="J18" i="15"/>
  <c r="Q18" i="39"/>
  <c r="L18" i="39"/>
  <c r="N18" i="39"/>
  <c r="M18" i="39"/>
  <c r="M19" i="35"/>
  <c r="N19" i="35"/>
  <c r="L19" i="35"/>
  <c r="S19" i="35"/>
  <c r="Q19" i="35"/>
  <c r="M8" i="22"/>
  <c r="I8" i="22"/>
  <c r="L8" i="22"/>
  <c r="N8" i="22"/>
  <c r="E8" i="22"/>
  <c r="D8" i="22"/>
  <c r="P7" i="24"/>
  <c r="N7" i="24"/>
  <c r="T7" i="24"/>
  <c r="E7" i="24"/>
  <c r="M7" i="24"/>
  <c r="J7" i="24"/>
  <c r="R7" i="24"/>
  <c r="Q7" i="24"/>
  <c r="L7" i="24"/>
  <c r="D7" i="24"/>
  <c r="H7" i="24" s="1"/>
  <c r="K7" i="24"/>
  <c r="S7" i="24"/>
  <c r="I7" i="24"/>
  <c r="F7" i="24"/>
  <c r="I14" i="24"/>
  <c r="P14" i="24"/>
  <c r="K14" i="24"/>
  <c r="L14" i="24"/>
  <c r="E14" i="24"/>
  <c r="F14" i="24"/>
  <c r="Q14" i="24"/>
  <c r="R14" i="24"/>
  <c r="D14" i="24"/>
  <c r="J14" i="24"/>
  <c r="S14" i="24"/>
  <c r="T14" i="24"/>
  <c r="M14" i="24"/>
  <c r="N14" i="24"/>
  <c r="S8" i="24"/>
  <c r="P8" i="24"/>
  <c r="Q8" i="24"/>
  <c r="N8" i="24"/>
  <c r="E8" i="24"/>
  <c r="T8" i="24"/>
  <c r="J8" i="24"/>
  <c r="L8" i="24"/>
  <c r="F8" i="24"/>
  <c r="M8" i="24"/>
  <c r="D8" i="24"/>
  <c r="I8" i="24"/>
  <c r="R8" i="24"/>
  <c r="K8" i="24"/>
  <c r="Q10" i="29"/>
  <c r="F10" i="29"/>
  <c r="S10" i="29"/>
  <c r="T10" i="29"/>
  <c r="K10" i="29"/>
  <c r="G10" i="29"/>
  <c r="J10" i="29"/>
  <c r="I10" i="29"/>
  <c r="R10" i="29"/>
  <c r="N10" i="29"/>
  <c r="E10" i="29"/>
  <c r="M10" i="29"/>
  <c r="D10" i="29"/>
  <c r="L10" i="29"/>
  <c r="P10" i="29"/>
  <c r="O14" i="14"/>
  <c r="R14" i="14"/>
  <c r="P14" i="14"/>
  <c r="Q14" i="14"/>
  <c r="E13" i="29"/>
  <c r="F13" i="29"/>
  <c r="P13" i="29"/>
  <c r="Q13" i="29"/>
  <c r="N13" i="29"/>
  <c r="M13" i="29"/>
  <c r="L13" i="29"/>
  <c r="D13" i="29"/>
  <c r="T13" i="29"/>
  <c r="S13" i="29"/>
  <c r="R13" i="29"/>
  <c r="K13" i="29"/>
  <c r="J13" i="29"/>
  <c r="G13" i="29"/>
  <c r="I13" i="29"/>
  <c r="E18" i="18"/>
  <c r="S18" i="18"/>
  <c r="G18" i="18"/>
  <c r="N18" i="18"/>
  <c r="Q18" i="18"/>
  <c r="M18" i="18"/>
  <c r="D18" i="18"/>
  <c r="L18" i="18"/>
  <c r="E19" i="18"/>
  <c r="N19" i="18"/>
  <c r="D19" i="18"/>
  <c r="L19" i="18"/>
  <c r="Q19" i="18"/>
  <c r="S19" i="18"/>
  <c r="M19" i="18"/>
  <c r="M19" i="39"/>
  <c r="N19" i="39"/>
  <c r="L19" i="39"/>
  <c r="Q19" i="39"/>
  <c r="O8" i="14"/>
  <c r="P8" i="14"/>
  <c r="Q8" i="14"/>
  <c r="R8" i="14"/>
  <c r="N10" i="22"/>
  <c r="M10" i="22"/>
  <c r="L10" i="22"/>
  <c r="D10" i="22"/>
  <c r="E10" i="22"/>
  <c r="N11" i="22"/>
  <c r="L11" i="22"/>
  <c r="M11" i="22"/>
  <c r="D11" i="22"/>
  <c r="E11" i="22"/>
  <c r="L12" i="27"/>
  <c r="E12" i="27"/>
  <c r="Q12" i="27"/>
  <c r="I12" i="27"/>
  <c r="T12" i="27"/>
  <c r="S12" i="27"/>
  <c r="D12" i="27"/>
  <c r="R12" i="27"/>
  <c r="G12" i="27"/>
  <c r="P12" i="27"/>
  <c r="N12" i="27"/>
  <c r="K12" i="27"/>
  <c r="J12" i="27"/>
  <c r="F12" i="27"/>
  <c r="M12" i="27"/>
  <c r="L15" i="27"/>
  <c r="S15" i="27"/>
  <c r="Q15" i="27"/>
  <c r="M15" i="27"/>
  <c r="J15" i="27"/>
  <c r="F15" i="27"/>
  <c r="T15" i="27"/>
  <c r="N15" i="27"/>
  <c r="R15" i="27"/>
  <c r="D15" i="27"/>
  <c r="K15" i="27"/>
  <c r="G15" i="27"/>
  <c r="P15" i="27"/>
  <c r="I15" i="27"/>
  <c r="E15" i="27"/>
  <c r="M19" i="15"/>
  <c r="N19" i="15"/>
  <c r="L19" i="15"/>
  <c r="G19" i="15"/>
  <c r="H19" i="15"/>
  <c r="I19" i="15"/>
  <c r="D19" i="15"/>
  <c r="J19" i="15"/>
  <c r="E19" i="15"/>
  <c r="Q9" i="39"/>
  <c r="M9" i="39"/>
  <c r="N9" i="39"/>
  <c r="L9" i="39"/>
  <c r="H4" i="33"/>
  <c r="I4" i="33"/>
  <c r="J4" i="33"/>
  <c r="K4" i="33"/>
  <c r="M4" i="33"/>
  <c r="N4" i="33"/>
  <c r="P4" i="33"/>
  <c r="O4" i="33"/>
  <c r="Q4" i="33"/>
  <c r="G4" i="33"/>
  <c r="E4" i="33"/>
  <c r="F4" i="33" s="1"/>
  <c r="V4" i="33"/>
  <c r="T4" i="33"/>
  <c r="J14" i="27"/>
  <c r="F14" i="27"/>
  <c r="P14" i="27"/>
  <c r="K14" i="27"/>
  <c r="D14" i="27"/>
  <c r="S14" i="27"/>
  <c r="N14" i="27"/>
  <c r="T14" i="27"/>
  <c r="G14" i="27"/>
  <c r="Q14" i="27"/>
  <c r="L14" i="27"/>
  <c r="E14" i="27"/>
  <c r="I14" i="27"/>
  <c r="M14" i="27"/>
  <c r="R14" i="27"/>
  <c r="Q7" i="33"/>
  <c r="E7" i="33"/>
  <c r="F7" i="33" s="1"/>
  <c r="G7" i="33"/>
  <c r="H7" i="33"/>
  <c r="I7" i="33"/>
  <c r="M7" i="33"/>
  <c r="N7" i="33"/>
  <c r="J7" i="33"/>
  <c r="K7" i="33"/>
  <c r="O7" i="33"/>
  <c r="P7" i="33"/>
  <c r="T7" i="33"/>
  <c r="V7" i="33"/>
  <c r="M12" i="29"/>
  <c r="T12" i="29"/>
  <c r="L12" i="29"/>
  <c r="R12" i="29"/>
  <c r="P12" i="29"/>
  <c r="K12" i="29"/>
  <c r="N12" i="29"/>
  <c r="G12" i="29"/>
  <c r="F12" i="29"/>
  <c r="Q12" i="29"/>
  <c r="J12" i="29"/>
  <c r="E12" i="29"/>
  <c r="I12" i="29"/>
  <c r="D12" i="29"/>
  <c r="S12" i="29"/>
  <c r="I10" i="27"/>
  <c r="N10" i="27"/>
  <c r="F10" i="27"/>
  <c r="E10" i="27"/>
  <c r="P10" i="27"/>
  <c r="S10" i="27"/>
  <c r="M10" i="27"/>
  <c r="D10" i="27"/>
  <c r="L10" i="27"/>
  <c r="G10" i="27"/>
  <c r="R10" i="27"/>
  <c r="T10" i="27"/>
  <c r="K10" i="27"/>
  <c r="Q10" i="27"/>
  <c r="J10" i="27"/>
  <c r="F11" i="29"/>
  <c r="Q11" i="29"/>
  <c r="R11" i="29"/>
  <c r="M11" i="29"/>
  <c r="L11" i="29"/>
  <c r="D11" i="29"/>
  <c r="S11" i="29"/>
  <c r="J11" i="29"/>
  <c r="I11" i="29"/>
  <c r="T11" i="29"/>
  <c r="N11" i="29"/>
  <c r="G11" i="29"/>
  <c r="P11" i="29"/>
  <c r="E11" i="29"/>
  <c r="K11" i="29"/>
  <c r="R16" i="14"/>
  <c r="Q16" i="14"/>
  <c r="O16" i="14"/>
  <c r="P16" i="14"/>
  <c r="D18" i="22"/>
  <c r="L18" i="22"/>
  <c r="N18" i="22"/>
  <c r="M18" i="22"/>
  <c r="E18" i="22"/>
  <c r="N16" i="27"/>
  <c r="F16" i="27"/>
  <c r="T16" i="27"/>
  <c r="L16" i="27"/>
  <c r="D16" i="27"/>
  <c r="Q16" i="27"/>
  <c r="R16" i="27"/>
  <c r="I16" i="27"/>
  <c r="G16" i="27"/>
  <c r="J16" i="27"/>
  <c r="M16" i="27"/>
  <c r="E16" i="27"/>
  <c r="S16" i="27"/>
  <c r="K16" i="27"/>
  <c r="P16" i="27"/>
  <c r="M9" i="38"/>
  <c r="Q9" i="38"/>
  <c r="L9" i="38"/>
  <c r="O8" i="32" s="1"/>
  <c r="N9" i="38"/>
  <c r="N8" i="39"/>
  <c r="S14" i="39"/>
  <c r="L8" i="39"/>
  <c r="Q8" i="39"/>
  <c r="S10" i="39"/>
  <c r="S8" i="39"/>
  <c r="S19" i="39"/>
  <c r="S17" i="39"/>
  <c r="S12" i="39"/>
  <c r="S13" i="39"/>
  <c r="S18" i="39"/>
  <c r="S16" i="39"/>
  <c r="M8" i="39"/>
  <c r="S11" i="39"/>
  <c r="S9" i="39"/>
  <c r="S15" i="39"/>
  <c r="R10" i="14"/>
  <c r="P10" i="14"/>
  <c r="Q10" i="14"/>
  <c r="O10" i="14"/>
  <c r="O17" i="14"/>
  <c r="P17" i="14"/>
  <c r="Q17" i="14"/>
  <c r="R17" i="14"/>
  <c r="M15" i="22"/>
  <c r="N15" i="22"/>
  <c r="E15" i="22"/>
  <c r="D15" i="22"/>
  <c r="L15" i="22"/>
  <c r="Q10" i="24"/>
  <c r="R10" i="24"/>
  <c r="I10" i="24"/>
  <c r="K10" i="24"/>
  <c r="N10" i="24"/>
  <c r="D10" i="24"/>
  <c r="P10" i="24"/>
  <c r="J10" i="24"/>
  <c r="F10" i="24"/>
  <c r="T10" i="24"/>
  <c r="S10" i="24"/>
  <c r="E10" i="24"/>
  <c r="L10" i="24"/>
  <c r="M10" i="24"/>
  <c r="J11" i="27"/>
  <c r="K11" i="27"/>
  <c r="S11" i="27"/>
  <c r="R11" i="27"/>
  <c r="D11" i="27"/>
  <c r="I11" i="27"/>
  <c r="Q11" i="27"/>
  <c r="P11" i="27"/>
  <c r="N11" i="27"/>
  <c r="G11" i="27"/>
  <c r="M11" i="27"/>
  <c r="F11" i="27"/>
  <c r="E11" i="27"/>
  <c r="T11" i="27"/>
  <c r="L11" i="27"/>
  <c r="M16" i="29"/>
  <c r="L16" i="29"/>
  <c r="S16" i="29"/>
  <c r="F16" i="29"/>
  <c r="G16" i="29"/>
  <c r="P16" i="29"/>
  <c r="T16" i="29"/>
  <c r="I16" i="29"/>
  <c r="Q16" i="29"/>
  <c r="D16" i="29"/>
  <c r="N16" i="29"/>
  <c r="J16" i="29"/>
  <c r="R16" i="29"/>
  <c r="K16" i="29"/>
  <c r="E16" i="29"/>
  <c r="L8" i="35"/>
  <c r="M8" i="35"/>
  <c r="N8" i="35"/>
  <c r="S14" i="35"/>
  <c r="S15" i="35"/>
  <c r="S16" i="35"/>
  <c r="S10" i="35"/>
  <c r="S13" i="35"/>
  <c r="S9" i="35"/>
  <c r="S8" i="35"/>
  <c r="Q8" i="35"/>
  <c r="E6" i="33"/>
  <c r="F6" i="33" s="1"/>
  <c r="G6" i="33"/>
  <c r="H6" i="33"/>
  <c r="I6" i="33"/>
  <c r="J6" i="33"/>
  <c r="N6" i="33"/>
  <c r="O6" i="33"/>
  <c r="K6" i="33"/>
  <c r="M6" i="33"/>
  <c r="P6" i="33"/>
  <c r="Q6" i="33"/>
  <c r="T6" i="33"/>
  <c r="V6" i="33"/>
  <c r="N11" i="33"/>
  <c r="J11" i="33"/>
  <c r="O11" i="33"/>
  <c r="P11" i="33"/>
  <c r="Q11" i="33"/>
  <c r="G11" i="33"/>
  <c r="E11" i="33"/>
  <c r="F11" i="33" s="1"/>
  <c r="I11" i="33"/>
  <c r="H11" i="33"/>
  <c r="M11" i="33"/>
  <c r="K11" i="33"/>
  <c r="T11" i="33"/>
  <c r="V11" i="33"/>
  <c r="I13" i="22"/>
  <c r="K13" i="22" s="1"/>
  <c r="M13" i="22"/>
  <c r="E13" i="22"/>
  <c r="N13" i="22"/>
  <c r="L13" i="22"/>
  <c r="D13" i="22"/>
  <c r="T11" i="24"/>
  <c r="M11" i="24"/>
  <c r="P11" i="24"/>
  <c r="L11" i="24"/>
  <c r="K11" i="24"/>
  <c r="R11" i="24"/>
  <c r="E11" i="24"/>
  <c r="I11" i="24"/>
  <c r="S11" i="24"/>
  <c r="F11" i="24"/>
  <c r="N11" i="24"/>
  <c r="Q11" i="24"/>
  <c r="D11" i="24"/>
  <c r="J11" i="24"/>
  <c r="N13" i="27"/>
  <c r="Q13" i="27"/>
  <c r="P13" i="27"/>
  <c r="T13" i="27"/>
  <c r="K13" i="27"/>
  <c r="M13" i="27"/>
  <c r="J13" i="27"/>
  <c r="G13" i="27"/>
  <c r="S13" i="27"/>
  <c r="I13" i="27"/>
  <c r="F13" i="27"/>
  <c r="E13" i="27"/>
  <c r="R13" i="27"/>
  <c r="D13" i="27"/>
  <c r="L13" i="27"/>
  <c r="R15" i="24"/>
  <c r="K15" i="24"/>
  <c r="D15" i="24"/>
  <c r="S15" i="24"/>
  <c r="M15" i="24"/>
  <c r="L15" i="24"/>
  <c r="E15" i="24"/>
  <c r="N15" i="24"/>
  <c r="J15" i="24"/>
  <c r="P15" i="24"/>
  <c r="Q15" i="24"/>
  <c r="F15" i="24"/>
  <c r="I15" i="24"/>
  <c r="T15" i="24"/>
  <c r="P16" i="24"/>
  <c r="U16" i="24" s="1"/>
  <c r="K16" i="24"/>
  <c r="L16" i="24"/>
  <c r="D16" i="24"/>
  <c r="M16" i="24"/>
  <c r="N16" i="24"/>
  <c r="E16" i="24"/>
  <c r="F16" i="24"/>
  <c r="Q16" i="24"/>
  <c r="R16" i="24"/>
  <c r="S16" i="24"/>
  <c r="T16" i="24"/>
  <c r="I16" i="24"/>
  <c r="J16" i="24"/>
  <c r="M8" i="18"/>
  <c r="N8" i="18"/>
  <c r="L8" i="18"/>
  <c r="J8" i="18"/>
  <c r="N8" i="38"/>
  <c r="L8" i="38"/>
  <c r="O7" i="32" s="1"/>
  <c r="S16" i="38"/>
  <c r="S13" i="38"/>
  <c r="S17" i="38"/>
  <c r="S15" i="38"/>
  <c r="S11" i="38"/>
  <c r="M8" i="38"/>
  <c r="S19" i="38"/>
  <c r="S14" i="38"/>
  <c r="Q8" i="38"/>
  <c r="S9" i="38"/>
  <c r="S10" i="38"/>
  <c r="S12" i="38"/>
  <c r="S18" i="38"/>
  <c r="S8" i="38"/>
  <c r="L10" i="35"/>
  <c r="Y18" i="35" s="1"/>
  <c r="N10" i="35"/>
  <c r="M10" i="35"/>
  <c r="Y19" i="35" s="1"/>
  <c r="Q10" i="35"/>
  <c r="D17" i="22"/>
  <c r="E17" i="22"/>
  <c r="L17" i="22"/>
  <c r="N17" i="22"/>
  <c r="M17" i="22"/>
  <c r="E11" i="15"/>
  <c r="M11" i="15"/>
  <c r="L11" i="15"/>
  <c r="N11" i="15"/>
  <c r="D11" i="15"/>
  <c r="N11" i="39"/>
  <c r="M11" i="39"/>
  <c r="L11" i="39"/>
  <c r="Q11" i="39"/>
  <c r="L15" i="35"/>
  <c r="M15" i="35"/>
  <c r="N15" i="35"/>
  <c r="Q15" i="35"/>
  <c r="P9" i="33"/>
  <c r="E9" i="33"/>
  <c r="F9" i="33" s="1"/>
  <c r="K9" i="33"/>
  <c r="M9" i="33"/>
  <c r="Q9" i="33"/>
  <c r="G9" i="33"/>
  <c r="I9" i="33"/>
  <c r="J9" i="33"/>
  <c r="H9" i="33"/>
  <c r="N9" i="33"/>
  <c r="O9" i="33"/>
  <c r="V9" i="33"/>
  <c r="T9" i="33"/>
  <c r="M14" i="22"/>
  <c r="E14" i="22"/>
  <c r="N14" i="22"/>
  <c r="D14" i="22"/>
  <c r="L14" i="22"/>
  <c r="R13" i="24"/>
  <c r="P13" i="24"/>
  <c r="Q13" i="24"/>
  <c r="M13" i="24"/>
  <c r="N13" i="24"/>
  <c r="L13" i="24"/>
  <c r="E13" i="24"/>
  <c r="F13" i="24"/>
  <c r="K13" i="24"/>
  <c r="I13" i="24"/>
  <c r="D13" i="24"/>
  <c r="J13" i="24"/>
  <c r="T13" i="24"/>
  <c r="S13" i="24"/>
  <c r="M19" i="22"/>
  <c r="L19" i="22"/>
  <c r="N19" i="22"/>
  <c r="D19" i="22"/>
  <c r="E19" i="22"/>
  <c r="D8" i="15"/>
  <c r="E8" i="15"/>
  <c r="K13" i="33"/>
  <c r="O13" i="33"/>
  <c r="H13" i="33"/>
  <c r="M13" i="33"/>
  <c r="N13" i="33"/>
  <c r="P13" i="33"/>
  <c r="E13" i="33"/>
  <c r="F13" i="33" s="1"/>
  <c r="G13" i="33"/>
  <c r="Q13" i="33"/>
  <c r="I13" i="33"/>
  <c r="J13" i="33"/>
  <c r="V13" i="33"/>
  <c r="T13" i="33"/>
  <c r="E11" i="18"/>
  <c r="F11" i="18" s="1"/>
  <c r="M11" i="18"/>
  <c r="L11" i="18"/>
  <c r="S11" i="18"/>
  <c r="N11" i="18"/>
  <c r="M11" i="38"/>
  <c r="Q11" i="38"/>
  <c r="N11" i="38"/>
  <c r="L11" i="38"/>
  <c r="L15" i="38"/>
  <c r="O14" i="32" s="1"/>
  <c r="N15" i="38"/>
  <c r="M15" i="38"/>
  <c r="Q15" i="38"/>
  <c r="L13" i="35"/>
  <c r="N13" i="35"/>
  <c r="M13" i="35"/>
  <c r="Q13" i="35"/>
  <c r="O10" i="33"/>
  <c r="K10" i="33"/>
  <c r="P10" i="33"/>
  <c r="Q10" i="33"/>
  <c r="E10" i="33"/>
  <c r="F10" i="33" s="1"/>
  <c r="H10" i="33"/>
  <c r="I10" i="33"/>
  <c r="G10" i="33"/>
  <c r="J10" i="33"/>
  <c r="M10" i="33"/>
  <c r="N10" i="33"/>
  <c r="V10" i="33"/>
  <c r="T10" i="33"/>
  <c r="E16" i="22"/>
  <c r="N16" i="22"/>
  <c r="M16" i="22"/>
  <c r="D16" i="22"/>
  <c r="L16" i="22"/>
  <c r="E10" i="18"/>
  <c r="M10" i="18"/>
  <c r="S10" i="18"/>
  <c r="L10" i="18"/>
  <c r="N10" i="18"/>
  <c r="L10" i="39"/>
  <c r="N10" i="39"/>
  <c r="Q10" i="39"/>
  <c r="M10" i="39"/>
  <c r="N17" i="39"/>
  <c r="Q17" i="39"/>
  <c r="M17" i="39"/>
  <c r="L17" i="39"/>
  <c r="R11" i="14"/>
  <c r="P11" i="14"/>
  <c r="Q11" i="14"/>
  <c r="O11" i="14"/>
  <c r="N15" i="15"/>
  <c r="M15" i="15"/>
  <c r="L15" i="15"/>
  <c r="D15" i="15"/>
  <c r="E15" i="15"/>
  <c r="L15" i="39"/>
  <c r="N15" i="39"/>
  <c r="M15" i="39"/>
  <c r="Q15" i="39"/>
  <c r="N13" i="39"/>
  <c r="M13" i="39"/>
  <c r="L13" i="39"/>
  <c r="Q13" i="39"/>
  <c r="Q14" i="38"/>
  <c r="M14" i="38"/>
  <c r="N14" i="38"/>
  <c r="L14" i="38"/>
  <c r="O13" i="32" s="1"/>
  <c r="M12" i="33"/>
  <c r="I12" i="33"/>
  <c r="N12" i="33"/>
  <c r="O12" i="33"/>
  <c r="P12" i="33"/>
  <c r="E12" i="33"/>
  <c r="F12" i="33" s="1"/>
  <c r="G12" i="33"/>
  <c r="Q12" i="33"/>
  <c r="H12" i="33"/>
  <c r="K12" i="33"/>
  <c r="J12" i="33"/>
  <c r="V12" i="33"/>
  <c r="T12" i="33"/>
  <c r="E15" i="29"/>
  <c r="F15" i="29"/>
  <c r="Q15" i="29"/>
  <c r="G15" i="29"/>
  <c r="R15" i="29"/>
  <c r="S15" i="29"/>
  <c r="I15" i="29"/>
  <c r="J15" i="29"/>
  <c r="T15" i="29"/>
  <c r="P15" i="29"/>
  <c r="M15" i="29"/>
  <c r="K15" i="29"/>
  <c r="N15" i="29"/>
  <c r="D15" i="29"/>
  <c r="L15" i="29"/>
  <c r="R18" i="14"/>
  <c r="O18" i="14"/>
  <c r="P18" i="14"/>
  <c r="Q18" i="14"/>
  <c r="F5" i="27"/>
  <c r="E5" i="27"/>
  <c r="Q5" i="27"/>
  <c r="G5" i="27"/>
  <c r="P5" i="27"/>
  <c r="R5" i="27"/>
  <c r="S5" i="27"/>
  <c r="D5" i="27"/>
  <c r="T5" i="27"/>
  <c r="N10" i="15"/>
  <c r="L10" i="15"/>
  <c r="M10" i="15"/>
  <c r="D10" i="15"/>
  <c r="E10" i="15"/>
  <c r="Q10" i="38"/>
  <c r="L10" i="38"/>
  <c r="O9" i="36" s="1"/>
  <c r="N10" i="38"/>
  <c r="M10" i="38"/>
  <c r="M17" i="35"/>
  <c r="N17" i="35"/>
  <c r="L17" i="35"/>
  <c r="S17" i="35"/>
  <c r="Q17" i="35"/>
  <c r="E15" i="18"/>
  <c r="L15" i="18"/>
  <c r="N15" i="18"/>
  <c r="S15" i="18"/>
  <c r="M15" i="18"/>
  <c r="E13" i="18"/>
  <c r="N13" i="18"/>
  <c r="M13" i="18"/>
  <c r="L13" i="18"/>
  <c r="S13" i="18"/>
  <c r="L13" i="38"/>
  <c r="O12" i="32" s="1"/>
  <c r="M13" i="38"/>
  <c r="N13" i="38"/>
  <c r="Q13" i="38"/>
  <c r="M14" i="39"/>
  <c r="N14" i="39"/>
  <c r="L14" i="39"/>
  <c r="Q14" i="39"/>
  <c r="M16" i="39"/>
  <c r="L16" i="39"/>
  <c r="Q16" i="39"/>
  <c r="N16" i="39"/>
  <c r="J14" i="33"/>
  <c r="G14" i="33"/>
  <c r="K14" i="33"/>
  <c r="M14" i="33"/>
  <c r="N14" i="33"/>
  <c r="O14" i="33"/>
  <c r="Q14" i="33"/>
  <c r="P14" i="33"/>
  <c r="E14" i="33"/>
  <c r="F14" i="33" s="1"/>
  <c r="I14" i="33"/>
  <c r="H14" i="33"/>
  <c r="V14" i="33"/>
  <c r="T14" i="33"/>
  <c r="M5" i="29"/>
  <c r="N5" i="29"/>
  <c r="L5" i="29"/>
  <c r="R5" i="29"/>
  <c r="P5" i="29"/>
  <c r="K5" i="29"/>
  <c r="I5" i="29"/>
  <c r="Q5" i="29"/>
  <c r="J5" i="29"/>
  <c r="S5" i="29"/>
  <c r="D5" i="29"/>
  <c r="E5" i="29"/>
  <c r="F5" i="29"/>
  <c r="T5" i="29"/>
  <c r="G5" i="29"/>
  <c r="E17" i="18"/>
  <c r="G17" i="18"/>
  <c r="S17" i="18"/>
  <c r="Q17" i="18"/>
  <c r="L17" i="18"/>
  <c r="D17" i="18"/>
  <c r="N17" i="18"/>
  <c r="M17" i="18"/>
  <c r="N17" i="38"/>
  <c r="M17" i="38"/>
  <c r="L17" i="38"/>
  <c r="O16" i="32" s="1"/>
  <c r="Q17" i="38"/>
  <c r="M9" i="22"/>
  <c r="L9" i="22"/>
  <c r="N9" i="22"/>
  <c r="D9" i="22"/>
  <c r="E9" i="22"/>
  <c r="R6" i="29"/>
  <c r="G6" i="29"/>
  <c r="J6" i="29"/>
  <c r="T6" i="29"/>
  <c r="F6" i="29"/>
  <c r="L6" i="29"/>
  <c r="K6" i="29"/>
  <c r="S6" i="29"/>
  <c r="Q6" i="29"/>
  <c r="E6" i="29"/>
  <c r="D6" i="29"/>
  <c r="P6" i="29"/>
  <c r="N6" i="29"/>
  <c r="I6" i="29"/>
  <c r="M6" i="29"/>
  <c r="Q9" i="22"/>
  <c r="G9" i="22"/>
  <c r="E6" i="24"/>
  <c r="T6" i="24"/>
  <c r="K6" i="24"/>
  <c r="N6" i="24"/>
  <c r="R6" i="24"/>
  <c r="M6" i="24"/>
  <c r="F6" i="24"/>
  <c r="Q6" i="24"/>
  <c r="D6" i="24"/>
  <c r="S6" i="24"/>
  <c r="L6" i="24"/>
  <c r="I6" i="24"/>
  <c r="P6" i="24"/>
  <c r="J6" i="24"/>
  <c r="J9" i="22"/>
  <c r="Q6" i="27"/>
  <c r="G6" i="27"/>
  <c r="M6" i="27"/>
  <c r="L6" i="27"/>
  <c r="T6" i="27"/>
  <c r="S6" i="27"/>
  <c r="R6" i="27"/>
  <c r="I6" i="27"/>
  <c r="F6" i="27"/>
  <c r="E6" i="27"/>
  <c r="K6" i="27"/>
  <c r="J6" i="27"/>
  <c r="P6" i="27"/>
  <c r="D6" i="27"/>
  <c r="N6" i="27"/>
  <c r="H9" i="22"/>
  <c r="W6" i="29"/>
  <c r="N9" i="18"/>
  <c r="S9" i="18"/>
  <c r="L9" i="18"/>
  <c r="Y18" i="18" s="1"/>
  <c r="M9" i="18"/>
  <c r="Y19" i="18" s="1"/>
  <c r="I9" i="22"/>
  <c r="N9" i="15"/>
  <c r="D9" i="15"/>
  <c r="L9" i="15"/>
  <c r="M9" i="15"/>
  <c r="E9" i="15"/>
  <c r="P5" i="33"/>
  <c r="N5" i="33"/>
  <c r="K5" i="33"/>
  <c r="I5" i="33"/>
  <c r="G5" i="33"/>
  <c r="M5" i="33"/>
  <c r="J5" i="33"/>
  <c r="H5" i="33"/>
  <c r="E5" i="33"/>
  <c r="F5" i="33" s="1"/>
  <c r="O5" i="33"/>
  <c r="Q5" i="33"/>
  <c r="T5" i="33"/>
  <c r="V5" i="33"/>
  <c r="M9" i="35"/>
  <c r="N9" i="35"/>
  <c r="L9" i="35"/>
  <c r="Q9" i="35"/>
  <c r="K12" i="15"/>
  <c r="Y17" i="15" s="1"/>
  <c r="F12" i="15"/>
  <c r="F12" i="18"/>
  <c r="K12" i="18"/>
  <c r="K17" i="22"/>
  <c r="N16" i="32" s="1"/>
  <c r="K12" i="22"/>
  <c r="Y17" i="22" s="1"/>
  <c r="Y16" i="29"/>
  <c r="Y9" i="29"/>
  <c r="Y15" i="29"/>
  <c r="Y7" i="29"/>
  <c r="Y5" i="29"/>
  <c r="Y10" i="29"/>
  <c r="Y8" i="29"/>
  <c r="Y13" i="29"/>
  <c r="Y12" i="29"/>
  <c r="Y6" i="29"/>
  <c r="Y14" i="29"/>
  <c r="Y11" i="29"/>
  <c r="Y16" i="27"/>
  <c r="Y10" i="27"/>
  <c r="Y11" i="27"/>
  <c r="Y5" i="27"/>
  <c r="Y12" i="27"/>
  <c r="Y13" i="27"/>
  <c r="Y6" i="27"/>
  <c r="Y9" i="27"/>
  <c r="Y15" i="27"/>
  <c r="Y7" i="27"/>
  <c r="Y14" i="27"/>
  <c r="Y8" i="27"/>
  <c r="O12" i="18"/>
  <c r="U9" i="27"/>
  <c r="O12" i="15"/>
  <c r="U9" i="24"/>
  <c r="Y16" i="24"/>
  <c r="Y5" i="24"/>
  <c r="Y9" i="24"/>
  <c r="Y13" i="24"/>
  <c r="Y6" i="24"/>
  <c r="Y10" i="24"/>
  <c r="Y14" i="24"/>
  <c r="Y8" i="24"/>
  <c r="Y7" i="24"/>
  <c r="Y11" i="24"/>
  <c r="Y15" i="24"/>
  <c r="Y12" i="24"/>
  <c r="S15" i="22"/>
  <c r="S16" i="22"/>
  <c r="S14" i="22"/>
  <c r="S13" i="22"/>
  <c r="S18" i="22"/>
  <c r="S8" i="22"/>
  <c r="S9" i="22"/>
  <c r="S19" i="22"/>
  <c r="S10" i="22"/>
  <c r="S12" i="22"/>
  <c r="S17" i="22"/>
  <c r="S14" i="15"/>
  <c r="S15" i="15"/>
  <c r="S11" i="15"/>
  <c r="S16" i="15"/>
  <c r="S8" i="15"/>
  <c r="S9" i="15"/>
  <c r="S12" i="15"/>
  <c r="S13" i="15"/>
  <c r="S10" i="15"/>
  <c r="W16" i="14"/>
  <c r="W10" i="14"/>
  <c r="W17" i="14"/>
  <c r="W8" i="14"/>
  <c r="W14" i="14"/>
  <c r="W18" i="14"/>
  <c r="W12" i="14"/>
  <c r="W11" i="14"/>
  <c r="W13" i="14"/>
  <c r="Y19" i="39" l="1"/>
  <c r="Y18" i="39"/>
  <c r="Y15" i="39"/>
  <c r="Y16" i="39"/>
  <c r="Y9" i="39"/>
  <c r="Y10" i="39"/>
  <c r="Y11" i="39"/>
  <c r="Z13" i="14"/>
  <c r="Z19" i="14"/>
  <c r="Z20" i="14"/>
  <c r="Z21" i="14"/>
  <c r="Z22" i="14"/>
  <c r="Z11" i="14"/>
  <c r="Z10" i="14"/>
  <c r="Z12" i="14"/>
  <c r="Y10" i="38"/>
  <c r="Y11" i="38"/>
  <c r="Y12" i="38"/>
  <c r="Y13" i="38"/>
  <c r="Y9" i="38"/>
  <c r="Y18" i="38"/>
  <c r="Y19" i="38"/>
  <c r="Y20" i="38"/>
  <c r="Y21" i="38"/>
  <c r="Y17" i="38"/>
  <c r="S8" i="14"/>
  <c r="N11" i="32"/>
  <c r="O11" i="36"/>
  <c r="N11" i="36"/>
  <c r="M11" i="32"/>
  <c r="M11" i="36"/>
  <c r="E11" i="32"/>
  <c r="E11" i="36"/>
  <c r="D11" i="32"/>
  <c r="D11" i="36"/>
  <c r="L11" i="32"/>
  <c r="L11" i="36"/>
  <c r="O10" i="32"/>
  <c r="O10" i="36"/>
  <c r="E10" i="32"/>
  <c r="E10" i="36"/>
  <c r="K19" i="22"/>
  <c r="N18" i="32" s="1"/>
  <c r="F13" i="18"/>
  <c r="E12" i="32" s="1"/>
  <c r="K10" i="18"/>
  <c r="O19" i="22"/>
  <c r="K9" i="18"/>
  <c r="O18" i="22"/>
  <c r="U15" i="27"/>
  <c r="O10" i="22"/>
  <c r="F9" i="18"/>
  <c r="O14" i="22"/>
  <c r="O15" i="22"/>
  <c r="K16" i="22"/>
  <c r="N15" i="32" s="1"/>
  <c r="O8" i="22"/>
  <c r="K18" i="18"/>
  <c r="M17" i="32" s="1"/>
  <c r="K16" i="18"/>
  <c r="M15" i="32" s="1"/>
  <c r="O16" i="22"/>
  <c r="O17" i="22"/>
  <c r="H15" i="24"/>
  <c r="O11" i="22"/>
  <c r="U13" i="27"/>
  <c r="O13" i="22"/>
  <c r="F8" i="18"/>
  <c r="E7" i="32" s="1"/>
  <c r="O9" i="22"/>
  <c r="K14" i="18"/>
  <c r="M13" i="32" s="1"/>
  <c r="K13" i="18"/>
  <c r="M12" i="36" s="1"/>
  <c r="K11" i="18"/>
  <c r="K8" i="18"/>
  <c r="M7" i="32" s="1"/>
  <c r="K17" i="18"/>
  <c r="M16" i="32" s="1"/>
  <c r="K15" i="18"/>
  <c r="M14" i="32" s="1"/>
  <c r="F16" i="18"/>
  <c r="E15" i="32" s="1"/>
  <c r="K15" i="22"/>
  <c r="N14" i="32" s="1"/>
  <c r="F10" i="18"/>
  <c r="H10" i="24"/>
  <c r="S16" i="14"/>
  <c r="K18" i="22"/>
  <c r="N17" i="32" s="1"/>
  <c r="K19" i="18"/>
  <c r="M18" i="32" s="1"/>
  <c r="U15" i="24"/>
  <c r="H12" i="29"/>
  <c r="G14" i="32" s="1"/>
  <c r="U12" i="27"/>
  <c r="H12" i="24"/>
  <c r="K11" i="15"/>
  <c r="K8" i="22"/>
  <c r="N7" i="32" s="1"/>
  <c r="F15" i="18"/>
  <c r="E14" i="32" s="1"/>
  <c r="U14" i="27"/>
  <c r="U10" i="27"/>
  <c r="U7" i="24"/>
  <c r="L4" i="33"/>
  <c r="O18" i="18"/>
  <c r="U16" i="27"/>
  <c r="U5" i="27"/>
  <c r="H15" i="29"/>
  <c r="G17" i="32" s="1"/>
  <c r="U12" i="24"/>
  <c r="U8" i="27"/>
  <c r="O14" i="18"/>
  <c r="K14" i="22"/>
  <c r="N13" i="32" s="1"/>
  <c r="H5" i="24"/>
  <c r="K8" i="15"/>
  <c r="L7" i="32" s="1"/>
  <c r="K16" i="15"/>
  <c r="L15" i="32" s="1"/>
  <c r="K15" i="15"/>
  <c r="L14" i="32" s="1"/>
  <c r="O13" i="15"/>
  <c r="K14" i="15"/>
  <c r="L13" i="32" s="1"/>
  <c r="K9" i="15"/>
  <c r="L8" i="32" s="1"/>
  <c r="F18" i="15"/>
  <c r="D17" i="32" s="1"/>
  <c r="F14" i="15"/>
  <c r="D13" i="32" s="1"/>
  <c r="O17" i="15"/>
  <c r="K13" i="15"/>
  <c r="L12" i="32" s="1"/>
  <c r="O10" i="15"/>
  <c r="O19" i="15"/>
  <c r="K10" i="15"/>
  <c r="K8" i="38"/>
  <c r="F17" i="15"/>
  <c r="D16" i="32" s="1"/>
  <c r="F19" i="15"/>
  <c r="D18" i="32" s="1"/>
  <c r="U14" i="24"/>
  <c r="U5" i="24"/>
  <c r="O16" i="18"/>
  <c r="F14" i="18"/>
  <c r="E13" i="32" s="1"/>
  <c r="U7" i="27"/>
  <c r="O19" i="18"/>
  <c r="U8" i="24"/>
  <c r="L13" i="33"/>
  <c r="L12" i="33"/>
  <c r="F13" i="15"/>
  <c r="D12" i="32" s="1"/>
  <c r="F17" i="35"/>
  <c r="I16" i="32" s="1"/>
  <c r="O10" i="18"/>
  <c r="O11" i="18"/>
  <c r="U11" i="27"/>
  <c r="U10" i="24"/>
  <c r="U11" i="29"/>
  <c r="U13" i="24"/>
  <c r="H11" i="24"/>
  <c r="U11" i="24"/>
  <c r="S18" i="14"/>
  <c r="H13" i="24"/>
  <c r="H16" i="24"/>
  <c r="F16" i="15"/>
  <c r="D15" i="32" s="1"/>
  <c r="K10" i="22"/>
  <c r="N9" i="36" s="1"/>
  <c r="O18" i="15"/>
  <c r="O16" i="15"/>
  <c r="O14" i="15"/>
  <c r="O11" i="15"/>
  <c r="O15" i="15"/>
  <c r="K11" i="22"/>
  <c r="F10" i="22"/>
  <c r="F19" i="22"/>
  <c r="F18" i="32" s="1"/>
  <c r="O17" i="18"/>
  <c r="O8" i="18"/>
  <c r="O13" i="18"/>
  <c r="O15" i="18"/>
  <c r="O8" i="39"/>
  <c r="P7" i="32" s="1"/>
  <c r="S15" i="14"/>
  <c r="S17" i="14"/>
  <c r="L10" i="33"/>
  <c r="O15" i="38"/>
  <c r="F15" i="39"/>
  <c r="F10" i="39"/>
  <c r="K19" i="15"/>
  <c r="L18" i="32" s="1"/>
  <c r="H15" i="27"/>
  <c r="H17" i="32" s="1"/>
  <c r="H12" i="27"/>
  <c r="H14" i="32" s="1"/>
  <c r="O8" i="24"/>
  <c r="O16" i="35"/>
  <c r="H8" i="24"/>
  <c r="L11" i="33"/>
  <c r="L7" i="33"/>
  <c r="O16" i="24"/>
  <c r="U14" i="29"/>
  <c r="F10" i="15"/>
  <c r="D9" i="36" s="1"/>
  <c r="F14" i="38"/>
  <c r="K11" i="38"/>
  <c r="U10" i="29"/>
  <c r="H14" i="29"/>
  <c r="G16" i="32" s="1"/>
  <c r="U7" i="29"/>
  <c r="R12" i="33"/>
  <c r="O17" i="39"/>
  <c r="P16" i="32" s="1"/>
  <c r="F11" i="15"/>
  <c r="D10" i="36" s="1"/>
  <c r="O19" i="35"/>
  <c r="L15" i="33"/>
  <c r="F14" i="35"/>
  <c r="I13" i="32" s="1"/>
  <c r="O17" i="35"/>
  <c r="K10" i="38"/>
  <c r="F15" i="15"/>
  <c r="D14" i="32" s="1"/>
  <c r="F11" i="38"/>
  <c r="R13" i="33"/>
  <c r="F19" i="35"/>
  <c r="I18" i="32" s="1"/>
  <c r="K17" i="15"/>
  <c r="L16" i="32" s="1"/>
  <c r="F16" i="35"/>
  <c r="I15" i="32" s="1"/>
  <c r="O14" i="39"/>
  <c r="P13" i="32" s="1"/>
  <c r="L14" i="33"/>
  <c r="O15" i="29"/>
  <c r="O8" i="35"/>
  <c r="H14" i="24"/>
  <c r="F8" i="22"/>
  <c r="H7" i="29"/>
  <c r="G9" i="36" s="1"/>
  <c r="O18" i="38"/>
  <c r="O16" i="38"/>
  <c r="F15" i="35"/>
  <c r="I14" i="32" s="1"/>
  <c r="O10" i="35"/>
  <c r="H8" i="27"/>
  <c r="H5" i="29"/>
  <c r="G7" i="32" s="1"/>
  <c r="O15" i="39"/>
  <c r="P14" i="32" s="1"/>
  <c r="F14" i="22"/>
  <c r="F13" i="32" s="1"/>
  <c r="R9" i="33"/>
  <c r="H16" i="29"/>
  <c r="G18" i="32" s="1"/>
  <c r="O18" i="39"/>
  <c r="P17" i="32" s="1"/>
  <c r="K16" i="35"/>
  <c r="K14" i="39"/>
  <c r="U15" i="29"/>
  <c r="K15" i="39"/>
  <c r="K15" i="38"/>
  <c r="O11" i="38"/>
  <c r="R6" i="33"/>
  <c r="K8" i="39"/>
  <c r="F8" i="39"/>
  <c r="O9" i="38"/>
  <c r="O19" i="39"/>
  <c r="P18" i="32" s="1"/>
  <c r="F19" i="18"/>
  <c r="E18" i="32" s="1"/>
  <c r="F18" i="39"/>
  <c r="N13" i="14"/>
  <c r="K19" i="38"/>
  <c r="O14" i="35"/>
  <c r="O17" i="38"/>
  <c r="K17" i="38"/>
  <c r="K14" i="38"/>
  <c r="K17" i="39"/>
  <c r="X9" i="33"/>
  <c r="F8" i="38"/>
  <c r="O16" i="29"/>
  <c r="H14" i="27"/>
  <c r="H16" i="32" s="1"/>
  <c r="F19" i="39"/>
  <c r="H10" i="29"/>
  <c r="O14" i="24"/>
  <c r="K18" i="15"/>
  <c r="L17" i="32" s="1"/>
  <c r="F17" i="38"/>
  <c r="X14" i="33"/>
  <c r="O13" i="38"/>
  <c r="F17" i="39"/>
  <c r="O13" i="35"/>
  <c r="O15" i="35"/>
  <c r="F11" i="39"/>
  <c r="O11" i="24"/>
  <c r="F8" i="35"/>
  <c r="H11" i="27"/>
  <c r="H13" i="32" s="1"/>
  <c r="R15" i="33"/>
  <c r="O5" i="29"/>
  <c r="R14" i="33"/>
  <c r="O14" i="38"/>
  <c r="X6" i="33"/>
  <c r="U16" i="29"/>
  <c r="F9" i="38"/>
  <c r="R7" i="33"/>
  <c r="K9" i="39"/>
  <c r="O13" i="29"/>
  <c r="U13" i="29"/>
  <c r="O7" i="24"/>
  <c r="O19" i="38"/>
  <c r="O11" i="39"/>
  <c r="O15" i="24"/>
  <c r="X11" i="33"/>
  <c r="N10" i="14"/>
  <c r="F18" i="22"/>
  <c r="F17" i="32" s="1"/>
  <c r="U12" i="29"/>
  <c r="O5" i="24"/>
  <c r="K18" i="38"/>
  <c r="U5" i="29"/>
  <c r="F13" i="38"/>
  <c r="X12" i="33"/>
  <c r="K13" i="39"/>
  <c r="L6" i="33"/>
  <c r="H16" i="27"/>
  <c r="H18" i="32" s="1"/>
  <c r="R4" i="33"/>
  <c r="F11" i="22"/>
  <c r="F18" i="18"/>
  <c r="E17" i="32" s="1"/>
  <c r="O7" i="29"/>
  <c r="O18" i="35"/>
  <c r="O16" i="39"/>
  <c r="P15" i="32" s="1"/>
  <c r="K16" i="39"/>
  <c r="K17" i="35"/>
  <c r="H5" i="27"/>
  <c r="S11" i="14"/>
  <c r="O10" i="39"/>
  <c r="F16" i="22"/>
  <c r="F15" i="32" s="1"/>
  <c r="X13" i="33"/>
  <c r="L9" i="33"/>
  <c r="H13" i="27"/>
  <c r="H15" i="32" s="1"/>
  <c r="O10" i="24"/>
  <c r="K9" i="38"/>
  <c r="O11" i="29"/>
  <c r="O9" i="39"/>
  <c r="P8" i="32" s="1"/>
  <c r="K19" i="39"/>
  <c r="S14" i="14"/>
  <c r="O10" i="29"/>
  <c r="K16" i="38"/>
  <c r="O12" i="24"/>
  <c r="X15" i="33"/>
  <c r="O10" i="38"/>
  <c r="O13" i="39"/>
  <c r="P12" i="32" s="1"/>
  <c r="R10" i="33"/>
  <c r="X10" i="33"/>
  <c r="R11" i="33"/>
  <c r="O12" i="29"/>
  <c r="X7" i="33"/>
  <c r="O8" i="29"/>
  <c r="F19" i="38"/>
  <c r="F16" i="38"/>
  <c r="F18" i="35"/>
  <c r="I17" i="32" s="1"/>
  <c r="F17" i="18"/>
  <c r="E16" i="32" s="1"/>
  <c r="K13" i="38"/>
  <c r="F10" i="38"/>
  <c r="N11" i="14"/>
  <c r="Q10" i="32" s="1"/>
  <c r="F15" i="38"/>
  <c r="K11" i="39"/>
  <c r="F17" i="22"/>
  <c r="F16" i="32" s="1"/>
  <c r="O8" i="38"/>
  <c r="H11" i="29"/>
  <c r="G13" i="32" s="1"/>
  <c r="S13" i="14"/>
  <c r="U8" i="29"/>
  <c r="O14" i="29"/>
  <c r="F18" i="38"/>
  <c r="F16" i="39"/>
  <c r="F14" i="39"/>
  <c r="F13" i="39"/>
  <c r="K10" i="39"/>
  <c r="O13" i="24"/>
  <c r="F13" i="22"/>
  <c r="F15" i="22"/>
  <c r="F14" i="32" s="1"/>
  <c r="S10" i="14"/>
  <c r="H10" i="27"/>
  <c r="X4" i="33"/>
  <c r="F9" i="39"/>
  <c r="H13" i="29"/>
  <c r="G15" i="32" s="1"/>
  <c r="H8" i="29"/>
  <c r="H7" i="27"/>
  <c r="H9" i="36" s="1"/>
  <c r="K18" i="35"/>
  <c r="N12" i="32"/>
  <c r="N12" i="36"/>
  <c r="K9" i="22"/>
  <c r="O9" i="18"/>
  <c r="U6" i="27"/>
  <c r="O9" i="15"/>
  <c r="F9" i="15"/>
  <c r="D8" i="32" s="1"/>
  <c r="O6" i="24"/>
  <c r="L5" i="33"/>
  <c r="F9" i="22"/>
  <c r="U6" i="24"/>
  <c r="H6" i="24"/>
  <c r="O6" i="29"/>
  <c r="R5" i="33"/>
  <c r="U6" i="29"/>
  <c r="H6" i="29"/>
  <c r="X5" i="33"/>
  <c r="O9" i="35"/>
  <c r="H6" i="27"/>
  <c r="R11" i="36" l="1"/>
  <c r="Q9" i="36"/>
  <c r="Q9" i="32"/>
  <c r="Q12" i="32"/>
  <c r="M8" i="32"/>
  <c r="Y17" i="18"/>
  <c r="G10" i="32"/>
  <c r="G10" i="36"/>
  <c r="I10" i="32"/>
  <c r="I10" i="36"/>
  <c r="Q10" i="36"/>
  <c r="P9" i="32"/>
  <c r="P9" i="36"/>
  <c r="F10" i="32"/>
  <c r="F10" i="36"/>
  <c r="P10" i="32"/>
  <c r="P10" i="36"/>
  <c r="H10" i="32"/>
  <c r="H10" i="36"/>
  <c r="F9" i="32"/>
  <c r="F9" i="36"/>
  <c r="N10" i="32"/>
  <c r="N10" i="36"/>
  <c r="L9" i="32"/>
  <c r="L9" i="36"/>
  <c r="L10" i="32"/>
  <c r="L10" i="36"/>
  <c r="E9" i="32"/>
  <c r="E9" i="36"/>
  <c r="M10" i="32"/>
  <c r="M10" i="36"/>
  <c r="M9" i="32"/>
  <c r="M9" i="36"/>
  <c r="E8" i="32"/>
  <c r="Y10" i="32" s="1"/>
  <c r="N9" i="32"/>
  <c r="O9" i="32"/>
  <c r="D10" i="32"/>
  <c r="T11" i="15"/>
  <c r="E12" i="36"/>
  <c r="M12" i="32"/>
  <c r="D12" i="36"/>
  <c r="L12" i="36"/>
  <c r="D9" i="32"/>
  <c r="F7" i="32"/>
  <c r="T11" i="22"/>
  <c r="G9" i="32"/>
  <c r="G12" i="36"/>
  <c r="G12" i="32"/>
  <c r="H9" i="32"/>
  <c r="O12" i="36"/>
  <c r="I7" i="32"/>
  <c r="Q12" i="36"/>
  <c r="H7" i="32"/>
  <c r="H12" i="32"/>
  <c r="H12" i="36"/>
  <c r="F12" i="36"/>
  <c r="F12" i="32"/>
  <c r="H8" i="32"/>
  <c r="G8" i="32"/>
  <c r="F8" i="32"/>
  <c r="N8" i="32"/>
  <c r="N14" i="14"/>
  <c r="N15" i="14"/>
  <c r="N17" i="14"/>
  <c r="Q16" i="32" s="1"/>
  <c r="N18" i="14"/>
  <c r="Q17" i="32" s="1"/>
  <c r="N8" i="14"/>
  <c r="O6" i="27"/>
  <c r="O7" i="27"/>
  <c r="O8" i="27"/>
  <c r="O9" i="27"/>
  <c r="O10" i="27"/>
  <c r="O11" i="27"/>
  <c r="O12" i="27"/>
  <c r="O13" i="27"/>
  <c r="O14" i="27"/>
  <c r="O15" i="27"/>
  <c r="O16" i="27"/>
  <c r="O5" i="27"/>
  <c r="Y11" i="32" l="1"/>
  <c r="Y13" i="32"/>
  <c r="Y12" i="32"/>
  <c r="Q14" i="32"/>
  <c r="Q13" i="32"/>
  <c r="R10" i="36"/>
  <c r="R9" i="36"/>
  <c r="P12" i="36"/>
  <c r="R9" i="32"/>
  <c r="Q7" i="32"/>
  <c r="R11" i="32"/>
  <c r="R10" i="32"/>
  <c r="R16" i="32"/>
  <c r="R14" i="32"/>
  <c r="R13" i="32"/>
  <c r="R17" i="32"/>
  <c r="R18" i="32"/>
  <c r="F9" i="35"/>
  <c r="K9" i="35"/>
  <c r="F10" i="35"/>
  <c r="K10" i="35"/>
  <c r="Y17" i="35" s="1"/>
  <c r="F13" i="35"/>
  <c r="K13" i="35"/>
  <c r="K14" i="35"/>
  <c r="K15" i="35"/>
  <c r="K19" i="35"/>
  <c r="K8" i="35"/>
  <c r="I9" i="36" l="1"/>
  <c r="I11" i="32"/>
  <c r="I11" i="36"/>
  <c r="R12" i="32"/>
  <c r="R12" i="36"/>
  <c r="I12" i="32"/>
  <c r="I12" i="36"/>
  <c r="R7" i="32"/>
  <c r="I9" i="32"/>
  <c r="I8" i="32"/>
  <c r="Y14" i="32" l="1"/>
  <c r="F8" i="15"/>
  <c r="N16" i="14"/>
  <c r="Q15" i="32" l="1"/>
  <c r="R15" i="32" s="1"/>
  <c r="D7" i="32"/>
  <c r="Y9" i="32" s="1"/>
  <c r="K18" i="39"/>
  <c r="Y17" i="39" s="1"/>
  <c r="N9" i="14" l="1"/>
  <c r="I9" i="14"/>
  <c r="I10" i="14"/>
  <c r="I11" i="14"/>
  <c r="I12" i="14"/>
  <c r="I13" i="14"/>
  <c r="I14" i="14"/>
  <c r="I16" i="14"/>
  <c r="I17" i="14"/>
  <c r="I18" i="14"/>
  <c r="I8" i="14"/>
  <c r="J8" i="32"/>
  <c r="J9" i="32"/>
  <c r="K9" i="32"/>
  <c r="S9" i="32"/>
  <c r="J10" i="32"/>
  <c r="K10" i="32"/>
  <c r="S10" i="32"/>
  <c r="J11" i="32"/>
  <c r="K11" i="32"/>
  <c r="S11" i="32"/>
  <c r="J12" i="32"/>
  <c r="J15" i="32"/>
  <c r="K15" i="32"/>
  <c r="S15" i="32"/>
  <c r="J16" i="32"/>
  <c r="K16" i="32"/>
  <c r="S16" i="32"/>
  <c r="J17" i="32"/>
  <c r="K17" i="32"/>
  <c r="S17" i="32"/>
  <c r="J7" i="32"/>
  <c r="K8" i="32"/>
  <c r="K12" i="32"/>
  <c r="S12" i="32"/>
  <c r="J13" i="32"/>
  <c r="K13" i="32"/>
  <c r="S13" i="32"/>
  <c r="J10" i="36"/>
  <c r="K10" i="36"/>
  <c r="S10" i="36"/>
  <c r="J9" i="36"/>
  <c r="K9" i="36"/>
  <c r="S9" i="36"/>
  <c r="K7" i="32"/>
  <c r="S7" i="32"/>
  <c r="J12" i="36"/>
  <c r="K12" i="36"/>
  <c r="S12" i="36"/>
  <c r="J18" i="32"/>
  <c r="K18" i="32"/>
  <c r="S18" i="32"/>
  <c r="J11" i="36"/>
  <c r="K11" i="36"/>
  <c r="S11" i="36"/>
  <c r="I15" i="14"/>
  <c r="Z15" i="14"/>
  <c r="J14" i="32"/>
  <c r="K14" i="32"/>
  <c r="S14" i="32"/>
  <c r="Y15" i="32"/>
  <c r="Q8" i="32" l="1"/>
  <c r="R8" i="32" s="1"/>
  <c r="S8" i="32" s="1"/>
  <c r="Z2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Luz Mery Clavijo</author>
    <author>Santiago Ramirez Morales</author>
  </authors>
  <commentList>
    <comment ref="A6" authorId="0" shapeId="0" xr:uid="{CE84B79F-B716-459C-AFAF-FC94A6D737B3}">
      <text>
        <r>
          <rPr>
            <b/>
            <sz val="11"/>
            <color indexed="81"/>
            <rFont val="Tahoma"/>
            <family val="2"/>
          </rPr>
          <t>!!!! NO EDITAR NI MODIFICAR ESTA FILA - FORMULA AUTOMATICA!!!</t>
        </r>
      </text>
    </comment>
    <comment ref="D6" authorId="1" shapeId="0" xr:uid="{C8DBA14A-425B-4FB7-A27B-95EB089FC833}">
      <text>
        <r>
          <rPr>
            <sz val="11"/>
            <color theme="1"/>
            <rFont val="Calibri"/>
            <family val="2"/>
            <scheme val="minor"/>
          </rPr>
          <t xml:space="preserve">ES LA FECHA DE INICIO DE LA NOVEDAD
</t>
        </r>
      </text>
    </comment>
    <comment ref="E6" authorId="1" shapeId="0" xr:uid="{EEC9BE17-2BEA-4EC3-84AF-EB4DAA9577A3}">
      <text>
        <r>
          <rPr>
            <sz val="11"/>
            <color theme="1"/>
            <rFont val="Calibri"/>
            <family val="2"/>
            <scheme val="minor"/>
          </rPr>
          <t xml:space="preserve">FECHA FIN DE LA NOVEDAD. NO DEL CIERRE DEL CASO.
</t>
        </r>
      </text>
    </comment>
    <comment ref="F6" authorId="0" shapeId="0" xr:uid="{4968552C-6683-48D3-BE08-4526AAEE9AAF}">
      <text>
        <r>
          <rPr>
            <b/>
            <sz val="11"/>
            <color indexed="81"/>
            <rFont val="Tahoma"/>
            <family val="2"/>
          </rPr>
          <t>!!!! NO EDITAR NI MODIFICAR ESTA FILA - FORMULA AUTOMATICA!!!</t>
        </r>
      </text>
    </comment>
    <comment ref="P6" authorId="0" shapeId="0" xr:uid="{0EC23814-3143-4D27-AFF4-D9907FDC6056}">
      <text>
        <r>
          <rPr>
            <sz val="9"/>
            <color indexed="81"/>
            <rFont val="Tahoma"/>
            <family val="2"/>
          </rPr>
          <t>Incluye Nariño y 
Putumayo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P6" authorId="0" shapeId="0" xr:uid="{1A2CD925-0E0B-4994-8030-CDA012F2D732}">
      <text>
        <r>
          <rPr>
            <b/>
            <sz val="9"/>
            <color indexed="81"/>
            <rFont val="Tahoma"/>
            <family val="2"/>
          </rPr>
          <t>Tiempo de indisponibilidad total  del mes de Matrix Tech en Minutos</t>
        </r>
      </text>
    </comment>
    <comment ref="Q6" authorId="0" shapeId="0" xr:uid="{00D39984-B863-466B-9C5B-B9900F9F0BA2}">
      <text>
        <r>
          <rPr>
            <b/>
            <sz val="9"/>
            <color indexed="81"/>
            <rFont val="Tahoma"/>
            <family val="2"/>
          </rPr>
          <t>Indisponibilidad de Matrix Tech en %</t>
        </r>
      </text>
    </comment>
    <comment ref="R6" authorId="0" shapeId="0" xr:uid="{2441FD2A-F25F-41D4-9332-650F0F7F44EF}">
      <text>
        <r>
          <rPr>
            <b/>
            <sz val="9"/>
            <color indexed="81"/>
            <rFont val="Tahoma"/>
            <family val="2"/>
          </rPr>
          <t>Tiempo de indisponibilidad total  del mes de Aliados o Terceros
 en Minutos</t>
        </r>
      </text>
    </comment>
    <comment ref="S6" authorId="0" shapeId="0" xr:uid="{44F84364-A179-4037-8F6C-D321F53258B6}">
      <text>
        <r>
          <rPr>
            <b/>
            <sz val="9"/>
            <color indexed="81"/>
            <rFont val="Tahoma"/>
            <family val="2"/>
          </rPr>
          <t>Iindisponibilidad de Aliados o Terceros en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P6" authorId="0" shapeId="0" xr:uid="{49C4FAC8-AEAC-402E-BBCF-C74EB91D9CA9}">
      <text>
        <r>
          <rPr>
            <b/>
            <sz val="9"/>
            <color indexed="81"/>
            <rFont val="Tahoma"/>
            <family val="2"/>
          </rPr>
          <t>Tiempo de indisponibilidad total  del mes de Matrix Tech en Minutos</t>
        </r>
      </text>
    </comment>
    <comment ref="Q6" authorId="0" shapeId="0" xr:uid="{6623202F-3A7C-49ED-BA5D-84762333D808}">
      <text>
        <r>
          <rPr>
            <b/>
            <sz val="9"/>
            <color indexed="81"/>
            <rFont val="Tahoma"/>
            <family val="2"/>
          </rPr>
          <t>Indisponibilidad de Matrix Tech en %</t>
        </r>
      </text>
    </comment>
    <comment ref="R6" authorId="0" shapeId="0" xr:uid="{E77D4309-674D-4798-B622-10D3181B88E5}">
      <text>
        <r>
          <rPr>
            <b/>
            <sz val="9"/>
            <color indexed="81"/>
            <rFont val="Tahoma"/>
            <family val="2"/>
          </rPr>
          <t>Tiempo de indisponibilidad total  del mes de Aliados o Terceros
 en Minutos</t>
        </r>
      </text>
    </comment>
    <comment ref="S6" authorId="0" shapeId="0" xr:uid="{6B7F857C-0433-4A10-B575-943EF3C402C8}">
      <text>
        <r>
          <rPr>
            <b/>
            <sz val="9"/>
            <color indexed="81"/>
            <rFont val="Tahoma"/>
            <family val="2"/>
          </rPr>
          <t>Iindisponibilidad de Aliados o Terceros en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tc={7EF5919F-8935-4690-8BC0-F8B61CB0FE1E}</author>
  </authors>
  <commentList>
    <comment ref="B1" authorId="0" shapeId="0" xr:uid="{7EF5919F-8935-4690-8BC0-F8B61CB0FE1E}">
      <text>
        <t>[Threaded comment]
Your version of Excel allows you to read this threaded comment; however, any edits to it will get removed if the file is opened in a newer version of Excel. Learn more: https://go.microsoft.com/fwlink/?linkid=870924
Comment:
    Si aplica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V3" authorId="0" shapeId="0" xr:uid="{E7DCD336-36CB-426E-8099-C6ADFFE49A34}">
      <text>
        <r>
          <rPr>
            <b/>
            <sz val="9"/>
            <color indexed="81"/>
            <rFont val="Tahoma"/>
            <family val="2"/>
          </rPr>
          <t>Tiempo de indisponibilidad total  del mes de Matrix Tech en Minutos</t>
        </r>
      </text>
    </comment>
    <comment ref="W3" authorId="0" shapeId="0" xr:uid="{5A785186-6A93-416E-8C05-32EB41BD837E}">
      <text>
        <r>
          <rPr>
            <b/>
            <sz val="9"/>
            <color indexed="81"/>
            <rFont val="Tahoma"/>
            <family val="2"/>
          </rPr>
          <t>Indisponibilidad de Matrix Tech en %</t>
        </r>
      </text>
    </comment>
    <comment ref="X3" authorId="0" shapeId="0" xr:uid="{67B4B2A1-B842-45A4-B7B5-14F25FFFAE59}">
      <text>
        <r>
          <rPr>
            <b/>
            <sz val="9"/>
            <color indexed="81"/>
            <rFont val="Tahoma"/>
            <family val="2"/>
          </rPr>
          <t>Tiempo de indisponibilidad total  del mes de Aliados o Terceros
 en Minutos</t>
        </r>
      </text>
    </comment>
    <comment ref="Y3" authorId="0" shapeId="0" xr:uid="{A46B1788-5F33-4F16-8AC7-6E02005861C4}">
      <text>
        <r>
          <rPr>
            <b/>
            <sz val="9"/>
            <color indexed="81"/>
            <rFont val="Tahoma"/>
            <family val="2"/>
          </rPr>
          <t>Iindisponibilidad de Aliados o Terceros en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V3" authorId="0" shapeId="0" xr:uid="{94BAFF57-26D7-4BCD-9913-4B2DC0485F11}">
      <text>
        <r>
          <rPr>
            <b/>
            <sz val="9"/>
            <color indexed="81"/>
            <rFont val="Tahoma"/>
            <family val="2"/>
          </rPr>
          <t>Tiempo de indisponibilidad total  del mes de Matrix Tech en Minutos</t>
        </r>
      </text>
    </comment>
    <comment ref="W3" authorId="0" shapeId="0" xr:uid="{85DF7ED3-45C3-4452-B9E3-DBCD3851459C}">
      <text>
        <r>
          <rPr>
            <b/>
            <sz val="9"/>
            <color indexed="81"/>
            <rFont val="Tahoma"/>
            <family val="2"/>
          </rPr>
          <t>Indisponibilidad de Matrix Tech en %</t>
        </r>
      </text>
    </comment>
    <comment ref="X3" authorId="0" shapeId="0" xr:uid="{67689A81-C387-43C5-B54B-0C754967851A}">
      <text>
        <r>
          <rPr>
            <b/>
            <sz val="9"/>
            <color indexed="81"/>
            <rFont val="Tahoma"/>
            <family val="2"/>
          </rPr>
          <t>Tiempo de indisponibilidad total  del mes de Aliados o Terceros
 en Minutos</t>
        </r>
      </text>
    </comment>
    <comment ref="Y3" authorId="0" shapeId="0" xr:uid="{97429E5F-A9FF-42CB-8A74-55B52E8B7D33}">
      <text>
        <r>
          <rPr>
            <b/>
            <sz val="9"/>
            <color indexed="81"/>
            <rFont val="Tahoma"/>
            <family val="2"/>
          </rPr>
          <t>Iindisponibilidad de Aliados o Terceros 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T6" authorId="0" shapeId="0" xr:uid="{8724AA3A-B935-4C7A-A8E3-9322EC9E5FA1}">
      <text>
        <r>
          <rPr>
            <b/>
            <sz val="9"/>
            <color indexed="81"/>
            <rFont val="Tahoma"/>
            <family val="2"/>
          </rPr>
          <t>Tiempo de indisponibilidad total  del mes de Matrix Tech en Minutos</t>
        </r>
      </text>
    </comment>
    <comment ref="U6" authorId="0" shapeId="0" xr:uid="{F39D6DCA-5363-4854-B737-496EC7DCF0EE}">
      <text>
        <r>
          <rPr>
            <b/>
            <sz val="9"/>
            <color indexed="81"/>
            <rFont val="Tahoma"/>
            <family val="2"/>
          </rPr>
          <t>Indisponibilidad de Matrix Tech en %</t>
        </r>
      </text>
    </comment>
    <comment ref="V6" authorId="0" shapeId="0" xr:uid="{26B7923F-FB29-402C-A969-C4186D156D4B}">
      <text>
        <r>
          <rPr>
            <b/>
            <sz val="9"/>
            <color indexed="81"/>
            <rFont val="Tahoma"/>
            <family val="2"/>
          </rPr>
          <t>Tiempo de indisponibilidad total  del mes de Aliados o Terceros
 en Minutos</t>
        </r>
      </text>
    </comment>
    <comment ref="W6" authorId="0" shapeId="0" xr:uid="{581352E6-D614-4D48-AC45-0E534B1E76F9}">
      <text>
        <r>
          <rPr>
            <b/>
            <sz val="9"/>
            <color indexed="81"/>
            <rFont val="Tahoma"/>
            <family val="2"/>
          </rPr>
          <t>Iindisponibilidad de Aliados o Terceros en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P6" authorId="0" shapeId="0" xr:uid="{8F93D908-5A85-48E8-B6F6-6AD371D716C9}">
      <text>
        <r>
          <rPr>
            <b/>
            <sz val="9"/>
            <color indexed="81"/>
            <rFont val="Tahoma"/>
            <family val="2"/>
          </rPr>
          <t>Tiempo de indisponibilidad total  del mes de Matrix Tech en Horas</t>
        </r>
      </text>
    </comment>
    <comment ref="Q6" authorId="0" shapeId="0" xr:uid="{609CB98A-2E17-497E-B979-DAB7C845BDE2}">
      <text>
        <r>
          <rPr>
            <b/>
            <sz val="9"/>
            <color indexed="81"/>
            <rFont val="Tahoma"/>
            <family val="2"/>
          </rPr>
          <t>Indisponibilidad de Matrix Tech en %</t>
        </r>
      </text>
    </comment>
    <comment ref="R6" authorId="0" shapeId="0" xr:uid="{2CCC13F4-C7A4-4340-972E-136EB4CCA9C4}">
      <text>
        <r>
          <rPr>
            <b/>
            <sz val="9"/>
            <color indexed="81"/>
            <rFont val="Tahoma"/>
            <family val="2"/>
          </rPr>
          <t>Tiempo de indisponibilidad total  del mes de Aliados o Terceros
en Horas</t>
        </r>
      </text>
    </comment>
    <comment ref="S6" authorId="0" shapeId="0" xr:uid="{D8FFA3B6-FC28-42FB-AF7A-98EB99E98A60}">
      <text>
        <r>
          <rPr>
            <b/>
            <sz val="9"/>
            <color indexed="81"/>
            <rFont val="Tahoma"/>
            <family val="2"/>
          </rPr>
          <t>Iindisponibilidad de Aliados o Terceros en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P6" authorId="0" shapeId="0" xr:uid="{C23BA027-1C36-4224-A6EF-0B130A6786F5}">
      <text>
        <r>
          <rPr>
            <b/>
            <sz val="9"/>
            <color indexed="81"/>
            <rFont val="Tahoma"/>
            <family val="2"/>
          </rPr>
          <t>Tiempo de indisponibilidad total  del mes de Matrix Tech en Minutos</t>
        </r>
      </text>
    </comment>
    <comment ref="Q6" authorId="0" shapeId="0" xr:uid="{FFAF4A6B-9608-492B-8C59-1B83049BDB0F}">
      <text>
        <r>
          <rPr>
            <b/>
            <sz val="9"/>
            <color indexed="81"/>
            <rFont val="Tahoma"/>
            <family val="2"/>
          </rPr>
          <t>Indisponibilidad de Matrix Tech en %</t>
        </r>
      </text>
    </comment>
    <comment ref="R6" authorId="0" shapeId="0" xr:uid="{7A228803-6BF2-4EF3-B215-D829A5C4FF62}">
      <text>
        <r>
          <rPr>
            <b/>
            <sz val="9"/>
            <color indexed="81"/>
            <rFont val="Tahoma"/>
            <family val="2"/>
          </rPr>
          <t>Tiempo de indisponibilidad total  del mes de Aliados o Terceros
 en Minutos</t>
        </r>
      </text>
    </comment>
    <comment ref="S6" authorId="0" shapeId="0" xr:uid="{1257FB1B-F9C4-458E-8E47-3D007C81FFBB}">
      <text>
        <r>
          <rPr>
            <b/>
            <sz val="9"/>
            <color indexed="81"/>
            <rFont val="Tahoma"/>
            <family val="2"/>
          </rPr>
          <t>Iindisponibilidad de Aliados o Terceros en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V3" authorId="0" shapeId="0" xr:uid="{53552EE2-B2E9-4D58-BAFF-931DB18ADACD}">
      <text>
        <r>
          <rPr>
            <b/>
            <sz val="9"/>
            <color indexed="81"/>
            <rFont val="Tahoma"/>
            <family val="2"/>
          </rPr>
          <t>Tiempo de indisponibilidad total  del mes de Matrix Tech en Minutos</t>
        </r>
      </text>
    </comment>
    <comment ref="W3" authorId="0" shapeId="0" xr:uid="{2E900464-1F2F-4D0C-AF8D-C55FFCB1AAE5}">
      <text>
        <r>
          <rPr>
            <b/>
            <sz val="9"/>
            <color indexed="81"/>
            <rFont val="Tahoma"/>
            <family val="2"/>
          </rPr>
          <t>Indisponibilidad de Matrix Tech en %</t>
        </r>
      </text>
    </comment>
    <comment ref="X3" authorId="0" shapeId="0" xr:uid="{77D8DCD6-E682-47B3-83A8-ABA08602AA90}">
      <text>
        <r>
          <rPr>
            <b/>
            <sz val="9"/>
            <color indexed="81"/>
            <rFont val="Tahoma"/>
            <family val="2"/>
          </rPr>
          <t>Tiempo de indisponibilidad total  del mes de Aliados o Terceros
 en Minutos</t>
        </r>
      </text>
    </comment>
    <comment ref="Y3" authorId="0" shapeId="0" xr:uid="{E7F0F891-8EA3-4238-8A3A-F5222C61EED6}">
      <text>
        <r>
          <rPr>
            <b/>
            <sz val="9"/>
            <color indexed="81"/>
            <rFont val="Tahoma"/>
            <family val="2"/>
          </rPr>
          <t>Iindisponibilidad de Aliados o Terceros en %</t>
        </r>
      </text>
    </comment>
    <comment ref="C7" authorId="0" shapeId="0" xr:uid="{F77C7A06-8877-4342-86D6-A1F7C6939311}">
      <text>
        <r>
          <rPr>
            <b/>
            <sz val="9"/>
            <color indexed="81"/>
            <rFont val="Tahoma"/>
            <family val="2"/>
          </rPr>
          <t>Luz Mery Clavijo:</t>
        </r>
        <r>
          <rPr>
            <sz val="9"/>
            <color indexed="81"/>
            <rFont val="Tahoma"/>
            <family val="2"/>
          </rPr>
          <t xml:space="preserve">
Para el mes de marzo solo se cuentan 15 dias de disponibilidad para la APP lo que equivale a  XXX horas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W2" authorId="0" shapeId="0" xr:uid="{73FB94AD-DED8-4CF6-A3AA-F0D869B18EEB}">
      <text>
        <r>
          <rPr>
            <b/>
            <sz val="9"/>
            <color indexed="81"/>
            <rFont val="Tahoma"/>
            <family val="2"/>
          </rPr>
          <t>Disponibiliad General para el Negocio</t>
        </r>
      </text>
    </comment>
    <comment ref="S3" authorId="0" shapeId="0" xr:uid="{14C2DA7B-682C-456D-B67D-F210687F1B31}">
      <text>
        <r>
          <rPr>
            <b/>
            <sz val="9"/>
            <color indexed="81"/>
            <rFont val="Tahoma"/>
            <family val="2"/>
          </rPr>
          <t>indisponibilidad de Matrix Tech en minutos</t>
        </r>
      </text>
    </comment>
    <comment ref="T3" authorId="0" shapeId="0" xr:uid="{4B0CD956-96F5-4886-A896-E5C0BDC30465}">
      <text>
        <r>
          <rPr>
            <b/>
            <sz val="9"/>
            <color indexed="81"/>
            <rFont val="Tahoma"/>
            <family val="2"/>
          </rPr>
          <t>indisponibilidad de Matrix Tech en %</t>
        </r>
      </text>
    </comment>
    <comment ref="U3" authorId="0" shapeId="0" xr:uid="{8F6A4CDA-9CBC-4D06-AD3C-E247580061C4}">
      <text>
        <r>
          <rPr>
            <b/>
            <sz val="9"/>
            <color indexed="81"/>
            <rFont val="Tahoma"/>
            <family val="2"/>
          </rPr>
          <t>indisponibilidad de Aliados o terceros en minutos</t>
        </r>
      </text>
    </comment>
    <comment ref="V3" authorId="0" shapeId="0" xr:uid="{A9811521-E62C-4EE1-86A7-D60360934D3C}">
      <text>
        <r>
          <rPr>
            <b/>
            <sz val="9"/>
            <color indexed="81"/>
            <rFont val="Tahoma"/>
            <family val="2"/>
          </rPr>
          <t>indisponibilidad de Aliados o Terceros en %</t>
        </r>
      </text>
    </comment>
    <comment ref="W3" authorId="0" shapeId="0" xr:uid="{5E133F43-EE60-42D3-A55B-857174C156D7}">
      <text>
        <r>
          <rPr>
            <b/>
            <sz val="9"/>
            <color indexed="81"/>
            <rFont val="Tahoma"/>
            <family val="2"/>
          </rPr>
          <t>indisponibilidad de Aliados o Terceros +Matrix Tech
 en Minutos</t>
        </r>
      </text>
    </comment>
    <comment ref="X3" authorId="0" shapeId="0" xr:uid="{12FE604A-F75A-4E84-9C85-2993F45C1F65}">
      <text>
        <r>
          <rPr>
            <b/>
            <sz val="9"/>
            <color indexed="81"/>
            <rFont val="Tahoma"/>
            <family val="2"/>
          </rPr>
          <t>indisponibilidad de Aliados o Terceros en + Producto + Aplicación en %
Promedio de todas las diponibilidades</t>
        </r>
      </text>
    </comment>
    <comment ref="D6" authorId="0" shapeId="0" xr:uid="{AE782559-BA87-4B27-B68D-1C04ECAD9758}">
      <text>
        <r>
          <rPr>
            <b/>
            <sz val="9"/>
            <color indexed="81"/>
            <rFont val="Tahoma"/>
            <family val="2"/>
          </rPr>
          <t>Luz Mery Clavijo:</t>
        </r>
        <r>
          <rPr>
            <sz val="9"/>
            <color indexed="81"/>
            <rFont val="Tahoma"/>
            <family val="2"/>
          </rPr>
          <t xml:space="preserve">
Para el mes de marzo solo se cuentan 15 dias de disponibilidad para la APP lo que equivale a  384 horas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P6" authorId="0" shapeId="0" xr:uid="{A4722E62-A526-4CB4-A7E2-7BB0A68BC33A}">
      <text>
        <r>
          <rPr>
            <b/>
            <sz val="9"/>
            <color indexed="81"/>
            <rFont val="Tahoma"/>
            <family val="2"/>
          </rPr>
          <t>Tiempo de indisponibilidad total  del mes de Matrix Tech en Horas</t>
        </r>
      </text>
    </comment>
    <comment ref="Q6" authorId="0" shapeId="0" xr:uid="{35F4A136-38C0-4369-8CD8-640B7D9622B6}">
      <text>
        <r>
          <rPr>
            <b/>
            <sz val="9"/>
            <color indexed="81"/>
            <rFont val="Tahoma"/>
            <family val="2"/>
          </rPr>
          <t>Indisponibilidad de Matrix Tech en %</t>
        </r>
      </text>
    </comment>
    <comment ref="R6" authorId="0" shapeId="0" xr:uid="{C0A4DC92-B47B-4946-904D-F075BC3AFA8A}">
      <text>
        <r>
          <rPr>
            <b/>
            <sz val="9"/>
            <color indexed="81"/>
            <rFont val="Tahoma"/>
            <family val="2"/>
          </rPr>
          <t>Tiempo de indisponibilidad total  del mes de Aliados o Terceros
en Horas</t>
        </r>
      </text>
    </comment>
    <comment ref="S6" authorId="0" shapeId="0" xr:uid="{8D5F2DFD-900A-46AB-B056-240B3D3276CE}">
      <text>
        <r>
          <rPr>
            <b/>
            <sz val="9"/>
            <color indexed="81"/>
            <rFont val="Tahoma"/>
            <family val="2"/>
          </rPr>
          <t>Iindisponibilidad de Aliados o Terceros en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P6" authorId="0" shapeId="0" xr:uid="{C2E4414A-FF13-498B-8EA5-C214979D3B90}">
      <text>
        <r>
          <rPr>
            <b/>
            <sz val="9"/>
            <color indexed="81"/>
            <rFont val="Tahoma"/>
            <family val="2"/>
          </rPr>
          <t>Tiempo de indisponibilidad total  del mes de Matrix Tech en Minutos</t>
        </r>
      </text>
    </comment>
    <comment ref="Q6" authorId="0" shapeId="0" xr:uid="{2091539F-B52C-4450-89FF-4BBCB08F2585}">
      <text>
        <r>
          <rPr>
            <b/>
            <sz val="9"/>
            <color indexed="81"/>
            <rFont val="Tahoma"/>
            <family val="2"/>
          </rPr>
          <t>Indisponibilidad de Matrix Tech en %</t>
        </r>
      </text>
    </comment>
    <comment ref="R6" authorId="0" shapeId="0" xr:uid="{3ECC243C-68D6-4CFB-B241-28842A8DDD18}">
      <text>
        <r>
          <rPr>
            <b/>
            <sz val="9"/>
            <color indexed="81"/>
            <rFont val="Tahoma"/>
            <family val="2"/>
          </rPr>
          <t>Tiempo de indisponibilidad total  del mes de Aliados o Terceros
 en Minutos</t>
        </r>
      </text>
    </comment>
    <comment ref="S6" authorId="0" shapeId="0" xr:uid="{4E8C2ACB-994C-4890-814A-F9230395CA64}">
      <text>
        <r>
          <rPr>
            <b/>
            <sz val="9"/>
            <color indexed="81"/>
            <rFont val="Tahoma"/>
            <family val="2"/>
          </rPr>
          <t>Iindisponibilidad de Aliados o Terceros en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T6" authorId="0" shapeId="0" xr:uid="{622CDF64-A76E-43D9-B2FD-00A476EEDD4E}">
      <text>
        <r>
          <rPr>
            <b/>
            <sz val="9"/>
            <color indexed="81"/>
            <rFont val="Tahoma"/>
            <family val="2"/>
          </rPr>
          <t>Tiempo de indisponibilidad total  del mes de Matrix Tech en Minutos</t>
        </r>
      </text>
    </comment>
    <comment ref="U6" authorId="0" shapeId="0" xr:uid="{23B54621-C887-40E5-A802-1656D3228E6F}">
      <text>
        <r>
          <rPr>
            <b/>
            <sz val="9"/>
            <color indexed="81"/>
            <rFont val="Tahoma"/>
            <family val="2"/>
          </rPr>
          <t>Indisponibilidad de Matrix Tech en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Luz Mery Clavijo</author>
  </authors>
  <commentList>
    <comment ref="T6" authorId="0" shapeId="0" xr:uid="{627DBE13-E88C-4DD5-A3BA-2A300ADE765F}">
      <text>
        <r>
          <rPr>
            <b/>
            <sz val="9"/>
            <color indexed="81"/>
            <rFont val="Tahoma"/>
            <family val="2"/>
          </rPr>
          <t>Tiempo de indisponibilidad total  del mes de Matrix Tech en Minutos</t>
        </r>
      </text>
    </comment>
    <comment ref="U6" authorId="0" shapeId="0" xr:uid="{BF85415A-38C6-4CF1-8885-E81177FEC7FF}">
      <text>
        <r>
          <rPr>
            <b/>
            <sz val="9"/>
            <color indexed="81"/>
            <rFont val="Tahoma"/>
            <family val="2"/>
          </rPr>
          <t>Indisponibilidad de Matrix Tech en %</t>
        </r>
      </text>
    </comment>
    <comment ref="Z6" authorId="0" shapeId="0" xr:uid="{64407C38-8505-4885-AF86-ED617DEE8998}">
      <text>
        <r>
          <rPr>
            <b/>
            <sz val="11"/>
            <color indexed="81"/>
            <rFont val="Tahoma"/>
            <family val="2"/>
          </rPr>
          <t>!!!! NO EDITAR NI MODIFICAR ESTA FILA - FORMULA AUTOMATICA!!!</t>
        </r>
      </text>
    </comment>
    <comment ref="AC6" authorId="0" shapeId="0" xr:uid="{84F7BB5F-0D80-4DD6-81F8-E50BD472F42A}">
      <text>
        <r>
          <rPr>
            <b/>
            <sz val="11"/>
            <color indexed="81"/>
            <rFont val="Tahoma"/>
            <family val="2"/>
          </rPr>
          <t>!!!! NO EDITAR NI MODIFICAR ESTA FILA - FORMULA AUTOMATICA!!!</t>
        </r>
      </text>
    </comment>
    <comment ref="AE6" authorId="0" shapeId="0" xr:uid="{68B9E14E-40C2-4E2E-B447-FB177D7D9CB0}">
      <text>
        <r>
          <rPr>
            <b/>
            <sz val="11"/>
            <color indexed="81"/>
            <rFont val="Tahoma"/>
            <family val="2"/>
          </rPr>
          <t>!!!! NO EDITAR NI MODIFICAR ESTA FILA - FORMULA AUTOMATICA!!!</t>
        </r>
      </text>
    </comment>
    <comment ref="AH6" authorId="0" shapeId="0" xr:uid="{7576B390-4BB6-4A01-8CF5-3F3B8EC87C20}">
      <text>
        <r>
          <rPr>
            <b/>
            <sz val="11"/>
            <color indexed="81"/>
            <rFont val="Tahoma"/>
            <family val="2"/>
          </rPr>
          <t>!!!! NO EDITAR NI MODIFICAR ESTA FILA - FORMULA AUTOMATICA!!!</t>
        </r>
      </text>
    </comment>
  </commentList>
</comments>
</file>

<file path=xl/sharedStrings.xml><?xml version="1.0" encoding="utf-8"?>
<sst xmlns="http://schemas.openxmlformats.org/spreadsheetml/2006/main" count="2874" uniqueCount="611">
  <si>
    <t>Código</t>
  </si>
  <si>
    <t>FR-GDO-013</t>
  </si>
  <si>
    <t>FORMATO</t>
  </si>
  <si>
    <t>Versión</t>
  </si>
  <si>
    <t>BITÁCORA DISPONIBILIDAD DE PRODUCTOS</t>
  </si>
  <si>
    <t>Fecha</t>
  </si>
  <si>
    <t>Aplicación Afectada</t>
  </si>
  <si>
    <t>Empresa(s) Afectada(s)</t>
  </si>
  <si>
    <t>Producto Afectada(s)</t>
  </si>
  <si>
    <t>Mes</t>
  </si>
  <si>
    <t xml:space="preserve">Producto afectado o aplicación </t>
  </si>
  <si>
    <t>Incidente</t>
  </si>
  <si>
    <t>Fecha y hora inicio</t>
  </si>
  <si>
    <t>Fecha y hora fin</t>
  </si>
  <si>
    <t>Tiempo falla 
(en Mintuos)</t>
  </si>
  <si>
    <t xml:space="preserve">Tipo de afectación </t>
  </si>
  <si>
    <t>JADE</t>
  </si>
  <si>
    <t>SIGA</t>
  </si>
  <si>
    <t>APLICACIONES WEB GANA</t>
  </si>
  <si>
    <t>INVICTUS</t>
  </si>
  <si>
    <t>SALO -LOTERIA</t>
  </si>
  <si>
    <t>Acertemos - Cauca</t>
  </si>
  <si>
    <t>Jer - Boyacá</t>
  </si>
  <si>
    <t>Suchance - Huila</t>
  </si>
  <si>
    <t>MatrixRedes</t>
  </si>
  <si>
    <t>Gana - Antioquia</t>
  </si>
  <si>
    <t>Gana Gana - Tolima</t>
  </si>
  <si>
    <t>Santander La Perla</t>
  </si>
  <si>
    <t>Apuestas - Chance</t>
  </si>
  <si>
    <t>PAGOS</t>
  </si>
  <si>
    <t>RECAUDOS</t>
  </si>
  <si>
    <t>RECARGAS</t>
  </si>
  <si>
    <t>Responsable Falla</t>
  </si>
  <si>
    <t>Descripción</t>
  </si>
  <si>
    <t>Causa raiz</t>
  </si>
  <si>
    <t>Plan accion</t>
  </si>
  <si>
    <t>Analista MDS</t>
  </si>
  <si>
    <t>Enero</t>
  </si>
  <si>
    <t>INC 2026-000722</t>
  </si>
  <si>
    <t>caÍda total</t>
  </si>
  <si>
    <t>SI</t>
  </si>
  <si>
    <t>NO</t>
  </si>
  <si>
    <t>Matrix Tech</t>
  </si>
  <si>
    <t>No deja ingresar</t>
  </si>
  <si>
    <t>Contension en base de datos</t>
  </si>
  <si>
    <t xml:space="preserve">Sevalida con el area de BD quein escala al proveedor </t>
  </si>
  <si>
    <t>NICOLAS QUIROGA</t>
  </si>
  <si>
    <t>CAIDA GENERAL JADE</t>
  </si>
  <si>
    <t>Intermitencia</t>
  </si>
  <si>
    <t>intermitencia en el aplicativo</t>
  </si>
  <si>
    <t xml:space="preserve">Res afectada </t>
  </si>
  <si>
    <t>Se realiza un reinicio controlado en los servidores de la red para restablecer el servicio</t>
  </si>
  <si>
    <t>JORGEN VALDES</t>
  </si>
  <si>
    <t>Caida general JADE</t>
  </si>
  <si>
    <t>caida general del sistema</t>
  </si>
  <si>
    <t>Afectacion el el servidor</t>
  </si>
  <si>
    <t>Se realiza un reinicio controlado de los servidores, se restablece el servicio</t>
  </si>
  <si>
    <t>NOVEDAD JADE - INTERMITENCIA Y/O LENTITUD APLICATIVO</t>
  </si>
  <si>
    <t>sw_default con afectacion</t>
  </si>
  <si>
    <t>CAIDA GENERAL DE SIGA Y JADE</t>
  </si>
  <si>
    <t>Novedad Jade</t>
  </si>
  <si>
    <t>Lentitud JADE</t>
  </si>
  <si>
    <t>NOVEDAD JADE - LENTITUD Y/O INTERMITENCIA JADE</t>
  </si>
  <si>
    <t>backup traslado de copias base de datos</t>
  </si>
  <si>
    <t>Se finaliza de forma forzada el traslado de los backup de base de datos servicio se restablece.</t>
  </si>
  <si>
    <t xml:space="preserve">	
recargas metro sin tx</t>
  </si>
  <si>
    <t>INC 2026-017677</t>
  </si>
  <si>
    <t>Aliados o terceros</t>
  </si>
  <si>
    <t>no se evidencian tx para el producto</t>
  </si>
  <si>
    <t>Se identifica que la novedad correspondía a una incidencia general del aliado.</t>
  </si>
  <si>
    <t>El aliado informó y gestionó la corrección de la incidencia. Actualmente el servicio se encuentra restablecido y las transacciones se están procesando con normalidad.</t>
  </si>
  <si>
    <t>CAIDA GENERAL APLICATIVO JADE</t>
  </si>
  <si>
    <t>CAIDA GENERAL EN JADE</t>
  </si>
  <si>
    <t>CAIDA GENERAL CON JADE</t>
  </si>
  <si>
    <t>falla en la venta de mantenimiento BD</t>
  </si>
  <si>
    <t>Se realiza rollback de proceso para no afectar mas los servicios, se valida con la red indicando normalidad</t>
  </si>
  <si>
    <t>intermitencia JADE</t>
  </si>
  <si>
    <t xml:space="preserve">	
Error devolucion de loteria</t>
  </si>
  <si>
    <t>INC 2026-024889</t>
  </si>
  <si>
    <t>afectacion de plataformas jade y siga para devolver loterias</t>
  </si>
  <si>
    <t>Se identifica error de memoria en el servidor afectador el servicio.</t>
  </si>
  <si>
    <t>Se realiza reinicio de la api afectada se procede a validar con la red quedando operativo el servicio</t>
  </si>
  <si>
    <t>Falla GANA Web.</t>
  </si>
  <si>
    <t>INC 2026-025209</t>
  </si>
  <si>
    <t>Se presenta lentitud para generar una compra en la web</t>
  </si>
  <si>
    <t>Se realiza un reinicio controlado en el servidor brilliance estabilizando el servicio pruebas en las web quedando operativo.</t>
  </si>
  <si>
    <t>Recargas y Paquetes TIGO</t>
  </si>
  <si>
    <t>REQ 2026-025478</t>
  </si>
  <si>
    <t>No se evidencian tx para el producto</t>
  </si>
  <si>
    <t>Error al recibir respuesta por parte del aliado</t>
  </si>
  <si>
    <t>Se documenta el caso adjuntando los logs del error, se devuelva a lred para su gestion con el aliado</t>
  </si>
  <si>
    <t>Febrero</t>
  </si>
  <si>
    <t>PAQUETES CLARO</t>
  </si>
  <si>
    <t>INC 2026-026131</t>
  </si>
  <si>
    <t>No se evidencia ninguna afectación en la transmisión de TX</t>
  </si>
  <si>
    <t>Se realizan validaciones a nivel de BD y Servidores donde se evidencia la transmisión de TX con total normalidad.</t>
  </si>
  <si>
    <t>STEVEN PINTO</t>
  </si>
  <si>
    <t>Afectacion en el enlace de comunicacion</t>
  </si>
  <si>
    <t>Se realiza validacion por parte del area de telecomunicaciones, una vez solventada la red indica normalidad</t>
  </si>
  <si>
    <t xml:space="preserve">Afectacion por backup en BD </t>
  </si>
  <si>
    <t>Se escala novedad al area de BD para validar los BAckup que estan generando lentitud en el servicio, la cual queda solventada</t>
  </si>
  <si>
    <t>RECARGAS OPERADORES SIN TX</t>
  </si>
  <si>
    <t>INC 2026-030741</t>
  </si>
  <si>
    <t>NO se evidencian tx para el producto</t>
  </si>
  <si>
    <t>VIRGIN Y WOM SIN TX</t>
  </si>
  <si>
    <t>INC 2026-028413</t>
  </si>
  <si>
    <t>OSCAR FARID NAIZZIR</t>
  </si>
  <si>
    <t>COLORLOTO SIN TX</t>
  </si>
  <si>
    <t>INC 2026-028703</t>
  </si>
  <si>
    <t>RECARGAS METRO</t>
  </si>
  <si>
    <t>INC 2026-035446</t>
  </si>
  <si>
    <t>Enlace (VPN) caido por parte del aliado</t>
  </si>
  <si>
    <t>INC 2026-026709</t>
  </si>
  <si>
    <t>INC 2026-027219</t>
  </si>
  <si>
    <t>RECAUDO EPM SIN TX</t>
  </si>
  <si>
    <t>INC 2026-027220</t>
  </si>
  <si>
    <t>Baloto, mi loto y raspa y listo sin tx</t>
  </si>
  <si>
    <t>REQ 2026-027222</t>
  </si>
  <si>
    <t>INC 2026-026505</t>
  </si>
  <si>
    <t>operadores wom y virgin sin tx</t>
  </si>
  <si>
    <t xml:space="preserve">
INC 2026-028703</t>
  </si>
  <si>
    <t>Baloto, mi lotosin tx</t>
  </si>
  <si>
    <t>REQ 2026-029372</t>
  </si>
  <si>
    <t>movil exto sin tx y recargas directv</t>
  </si>
  <si>
    <t>REQ 2026-029373</t>
  </si>
  <si>
    <t>movil exito sin tx</t>
  </si>
  <si>
    <t>INC 2026-029465</t>
  </si>
  <si>
    <t>raspa y listo LM sin tx</t>
  </si>
  <si>
    <t>INC 2026-029551</t>
  </si>
  <si>
    <t>intermitencia en jade</t>
  </si>
  <si>
    <t>Se realiza reinicio controlado del sw_default, se procede a validar nuevamente quedando operativo</t>
  </si>
  <si>
    <t>febrero</t>
  </si>
  <si>
    <t>GANA WEB SIN TX</t>
  </si>
  <si>
    <t>INC 2026-030339</t>
  </si>
  <si>
    <t>reCAPTCHA Enterprise ya se pasó del cupo gratuito</t>
  </si>
  <si>
    <t>Se valida con las diferentes areas para que se realize una activacion a la cuenta de facturacion y seguir utilizando el reCAPTCHA</t>
  </si>
  <si>
    <t>Caida general del sistema</t>
  </si>
  <si>
    <t>Afectacion de internet</t>
  </si>
  <si>
    <t>Se realiza validacion por parte de telecomunicaciones, solventando la novedad de la red</t>
  </si>
  <si>
    <t>Intermitencia con la platafoma de Jade</t>
  </si>
  <si>
    <t>Se realiza reinicio controlado del sw_default, se procede a validar nuevamente</t>
  </si>
  <si>
    <t>VALIDACION JADE</t>
  </si>
  <si>
    <t>Picos de tx ocasionan lentitud e intermitencia del aplicativo</t>
  </si>
  <si>
    <t>Se valida con el equipo de base de datos el cual realiza gestion sobre la red, estabilizando la novedad</t>
  </si>
  <si>
    <t>Novedad en los SW</t>
  </si>
  <si>
    <t>Se realiza reinicio controlado de los sw_default de la red, quedando operativo el sistema</t>
  </si>
  <si>
    <t>operador movistar sin tx</t>
  </si>
  <si>
    <t>INC 2026-046051</t>
  </si>
  <si>
    <t>Marzo</t>
  </si>
  <si>
    <t>GANA WEB</t>
  </si>
  <si>
    <t>INC 2026-054865</t>
  </si>
  <si>
    <t>Error de conexion , fallas de internet del proveedor internet liberty</t>
  </si>
  <si>
    <t>Consumos elevados de recursos de BD debido a la copia del backup de las BD a cinta</t>
  </si>
  <si>
    <t>marzo</t>
  </si>
  <si>
    <t>Recargas sin TX</t>
  </si>
  <si>
    <t>INC 2026-061862</t>
  </si>
  <si>
    <t>SGSI</t>
  </si>
  <si>
    <t>Minutos Mes</t>
  </si>
  <si>
    <t>Disponibilidad Individual Aplicación Matrix Tech</t>
  </si>
  <si>
    <t>Disponibilidad General Aplicación</t>
  </si>
  <si>
    <t>Disponibilidad Indivudual Producto
UX TECHNOLOGY</t>
  </si>
  <si>
    <t>Disponibilidad General Producto</t>
  </si>
  <si>
    <t>Disponibilidad Indivudual Producto
Aliados o Terceros</t>
  </si>
  <si>
    <t>UX TECHNOLOGY</t>
  </si>
  <si>
    <t>Aliados - Terceros</t>
  </si>
  <si>
    <t>Tiempo Indisponibiliad</t>
  </si>
  <si>
    <t>% Indisponibiliad</t>
  </si>
  <si>
    <t>AST/Peso</t>
  </si>
  <si>
    <t>MES</t>
  </si>
  <si>
    <t>Mayo</t>
  </si>
  <si>
    <t>Abril</t>
  </si>
  <si>
    <t>General Aplicacion.</t>
  </si>
  <si>
    <t>Junio</t>
  </si>
  <si>
    <t>Julio</t>
  </si>
  <si>
    <t>Agosto</t>
  </si>
  <si>
    <t>Septiembre</t>
  </si>
  <si>
    <t>Octubre</t>
  </si>
  <si>
    <t>Noviembre</t>
  </si>
  <si>
    <t>Diciembre</t>
  </si>
  <si>
    <t>General Prod.</t>
  </si>
  <si>
    <t>Disponibilidad General Prodcuto</t>
  </si>
  <si>
    <t># Caso</t>
  </si>
  <si>
    <t>Fecha actividad</t>
  </si>
  <si>
    <t>Producto</t>
  </si>
  <si>
    <t>Actividad</t>
  </si>
  <si>
    <t>Tiempo en minutos</t>
  </si>
  <si>
    <t>Analista</t>
  </si>
  <si>
    <t>Raspita</t>
  </si>
  <si>
    <t>VALIDACIONES PARA OBTENER EL CONSOLIDADO DE RASPITAS NO PAGADOS EN LAS REDES EL PASADO 09 DE FEBREO</t>
  </si>
  <si>
    <t>240 MINUTOS</t>
  </si>
  <si>
    <t>Juan Gabriel Vanegas</t>
  </si>
  <si>
    <t>Giros</t>
  </si>
  <si>
    <t>REPLICA EN EL AMBIENTE DE QA CON AIDA PARA TRATAR DE IDENTIFICAR DE DONDE PROVIENE EL BLOQUEO DE LOS GIROS EN LA APP SUPERIOR A 2 MILLONES</t>
  </si>
  <si>
    <t>180 MINUTOS</t>
  </si>
  <si>
    <t>Paola Perez</t>
  </si>
  <si>
    <t>VALIDACIONES CON DESARROLLO PARA CONFIRMAR EJECUCION DE UPDATE PARA RASPÍTA</t>
  </si>
  <si>
    <t>60 MINUTOS</t>
  </si>
  <si>
    <t>120 MINUTOS</t>
  </si>
  <si>
    <t>Laura Millan</t>
  </si>
  <si>
    <t>Confimacion de Cantidad de raspas a modificar con base de datos y validacion en bd de Gana de 9 premios pagados notificar a Jorge Cuellar</t>
  </si>
  <si>
    <t>30 MINUTOS</t>
  </si>
  <si>
    <t>Productos</t>
  </si>
  <si>
    <t>Apoyo a teleco y jorge de bd para validar la ip de produccion a prisma dos al compañero damian de desarrollo</t>
  </si>
  <si>
    <t>Recaudos</t>
  </si>
  <si>
    <t>Configuracion  del beps en matrixredes, enviado por correo tambien se llama a la señora rosy leon para que nos indique si los parametrios del confisys son los mismos que jer, el cual ella afirma que son los mismo</t>
  </si>
  <si>
    <t>45 MINUTOS</t>
  </si>
  <si>
    <t xml:space="preserve">se recibe llamada de james caro, para mostrarle y explicarle en mi administraciion como se encuentran los productos de los recaudos y en sigaadmin de produccion como se encuentra configurado el bolsillo y mi cuenta </t>
  </si>
  <si>
    <t>15 MINUTOS</t>
  </si>
  <si>
    <t xml:space="preserve">reunion para coordinar fecha y hora para la prueba que se deber realizar con el area de telecomunicaciones tema balanceadores </t>
  </si>
  <si>
    <t>35 MINUTOS</t>
  </si>
  <si>
    <t>Jorgen Valdes</t>
  </si>
  <si>
    <t>Apoyo con la configuracion de las nuevas palabras para la promo de giros al señor misael de bogota</t>
  </si>
  <si>
    <t>se apoya a la señora martha de bogota con un error reportado en mi oferta se valida con el ambiente de qa para poder validar en que aplicacion se encontraba el servicio</t>
  </si>
  <si>
    <t>20 MINUTOS</t>
  </si>
  <si>
    <t>Validacion de la mezcla compartida para huila y tolima con el producto billeton para huila y promocional para tolima para que sean mezclas compartidas esto se realiza en capacitacion se le entrega al cliente se adecua ambas bd de capacitacion en compañia de juan camilo garcia</t>
  </si>
  <si>
    <t>Reunion para revisar ausencia de recaudos Emonkey</t>
  </si>
  <si>
    <t>60 minutos</t>
  </si>
  <si>
    <t>se capacita al señor edwin jojoba para la creacion de topes a sitios de venta</t>
  </si>
  <si>
    <t>Mesa de trabajo con interrapidisimo</t>
  </si>
  <si>
    <t>48 MINUTOS</t>
  </si>
  <si>
    <t xml:space="preserve">Se termina el proceso de configuración de la app en producción con los recaudos, Avon, Dupree, OneShot.
@Ana Elizabeth Pacheco Orjuela falta configurar las imágenes por favor me puede suministrar las imágenes de estos recaudos.
Falto el recaudo Dolce ya que falta una autorización para insertar por bd unas configuraciones que no son administrables y tambien faltaría la imagen de la misma.
</t>
  </si>
  <si>
    <t>270 MINUTOS</t>
  </si>
  <si>
    <t>Recargas</t>
  </si>
  <si>
    <t>Reunion Con Boyaca y CEM para validar diferencias con Recaudos y retiros Betplay</t>
  </si>
  <si>
    <t>60 Minutos</t>
  </si>
  <si>
    <t>Reunion con la scrum y QA para revisión de incidente presentado con el ingreso de resultados del producto Suertudo</t>
  </si>
  <si>
    <t>60 mINUTOS</t>
  </si>
  <si>
    <t>Reunión con Personal contabilidad , nómina y Oreida Restrepo (psl )para validar las diferencias en la interfase nomina-contabilidad</t>
  </si>
  <si>
    <t>90 minutos</t>
  </si>
  <si>
    <t>Helver Merchan</t>
  </si>
  <si>
    <t>Reunión con Gilberto Castrillón y Proveedor del aplicativo Bpms, para dar conexión a bd y solucionar casos pendientes por parte del provvedor</t>
  </si>
  <si>
    <t>Reunión con Juan Camilo Garcia (Base de datos ) para realizar pruebas de psl en motor oracle19c</t>
  </si>
  <si>
    <t>30 minutos</t>
  </si>
  <si>
    <t>Reunión con personal de Réditos, para la presentacion de la nueva ejecutiva de cuenta de psl para Réditos</t>
  </si>
  <si>
    <t>Reunión de Verficación proceso conciliación entre bpms-psl con personal de Réditos-Desarollo-Pol</t>
  </si>
  <si>
    <t>30 miNUTOS</t>
  </si>
  <si>
    <t>Se apoya a mi compañera rosy a validar un caso en capacitacion GANA con chance EVENTO</t>
  </si>
  <si>
    <t>Validacion de correcto funcionamiento de URL migradas ('Autorizadores','Intermediario','migiro')</t>
  </si>
  <si>
    <t>90 Minutos</t>
  </si>
  <si>
    <t>Generacion de consulta para Matrixgiros y servicios donde se observen las solicitudes de exoneracion desde el 01 de enero del 2017 a la fecha</t>
  </si>
  <si>
    <t>40 miNUTOS</t>
  </si>
  <si>
    <t xml:space="preserve">reunion con personal de banco agrario y matrixtech prueba de concepto para habilitar contigencia -servicio su red por balanceadores, se acordo nuevamente reunion para el dia de mañana 22 de febrero 2022 a las  06:00 am  </t>
  </si>
  <si>
    <t xml:space="preserve">Se realiza acompañamiento de la prueba piloto de pagos internacionales con JER </t>
  </si>
  <si>
    <t>se realiza acompañamiento de la problemas de impresion en jer con los productos banco agrario</t>
  </si>
  <si>
    <t>50 MINUTOS</t>
  </si>
  <si>
    <t>Reunión sostenida con Yaira Montoya (analista ciberseguridad de Réditos) y Beatriz Villamizar (coordinadora recursos financieros de Réditos) para levantar perfil en psl para el proceso de auditoria</t>
  </si>
  <si>
    <t>reunion con personal de banco agrario y matrixtech prueba de concepto para habilitar contigencia -servicio su red por balanceadores se realiza configuracion de nodo 2 validacion con pruebas en mipos exitosas.</t>
  </si>
  <si>
    <t>160 MINUTOS</t>
  </si>
  <si>
    <t>Se realiza validacion con seguridad en plataforma sobre un incidente de mi seguirdad en produccion que no dejaba ingresar</t>
  </si>
  <si>
    <t xml:space="preserve">se valida con base de datos el caso 334861 </t>
  </si>
  <si>
    <t>10 MINUTOS</t>
  </si>
  <si>
    <t xml:space="preserve">reunion con personal de banco agrario y matrixtech prueba de concepto para habilitar contigencia -servicio su red por balanceadores, se realiza contacto con putumayo para proceder con prueba de consulkta de obligaciones Banco agrario </t>
  </si>
  <si>
    <t>Busquedaen logs y reporte de novedad con aplicativo MIpos "Server returned HTTP response code: 403 for URL: https://prisma2-miseguridad.matrixtech.com.co/main/login</t>
  </si>
  <si>
    <t>Conexión remota con psl y coordinadora de nómina de Réditos, sobre tema de certifacados de ingresos y retenciones año 2021</t>
  </si>
  <si>
    <t>16 MINUTOS</t>
  </si>
  <si>
    <t>Reportar novedad con envio de mensajeria para registro en la ASPPSUred  A textobit (validacion en BD Busqueda de logs contactar al proveedor y enviar correo)</t>
  </si>
  <si>
    <t>Reunión con equipo de la scrum Darcy para realizar pruebas sobre el producto Suertudo</t>
  </si>
  <si>
    <t>Rossiris Mejia</t>
  </si>
  <si>
    <t>Reunión con equipo de la scrum Darcy y el negocio para validar incidente con el identificador Suertudo</t>
  </si>
  <si>
    <t>reunion con comercial de bogota y jjpita para validar el promocional de girod</t>
  </si>
  <si>
    <t>Verificacion de procesamiendo de archivo Avon y construccion de manual para futuras validaciones</t>
  </si>
  <si>
    <t>Se realiza una reunion  con direccion sistemas de jer y escrutinio de jer para la entrega de tareas automaticas</t>
  </si>
  <si>
    <t>Se realiza reunion con matrixredes con un tema de un descuadre de una asesora con unos giros de mipos</t>
  </si>
  <si>
    <t>Reunion con el cliente para validar incidente con la carga de bonos Oki por el aplicativo Siga (casos 345132-345349-345341-345088)</t>
  </si>
  <si>
    <t>Revision de recargas en Gana  sigt_transacciones_web where cod_confirmacion is null</t>
  </si>
  <si>
    <t>Revision temas de auditoria de psl  pendientes por resolver con Segio Bohorquez</t>
  </si>
  <si>
    <t>Reunión con el desarrollador Miguel Angel Díaz, para validar servicio 9 de bpms que genera error en Sp de psl</t>
  </si>
  <si>
    <t>se realiza una reunion  con direccion sistemas de jer, desarrollo y edwin para validar error de pines movilred en JER</t>
  </si>
  <si>
    <t>10  MINUTOS</t>
  </si>
  <si>
    <t>Se recibe llamada de arbey para mostrarle un recaudo local en capacitacion y descartar error en una certificacion por parte de qa</t>
  </si>
  <si>
    <t>se realiza nuevamente reunion con jer, desarrollo y movilred para realizar pruebas en produccion con JER.</t>
  </si>
  <si>
    <t xml:space="preserve">Se realiza una reunion con julian de jer para capacitarlo en pago de premios en el ambiente de capacitacion </t>
  </si>
  <si>
    <t>Se realiza actualización del sistema de nomina psl (sipe) para todas las redes (grupo,tolima,huila,seguros,cauca,redes)</t>
  </si>
  <si>
    <t>90 MINUTOS</t>
  </si>
  <si>
    <t>Reunion validación conexión remota psl por webapp con la red tolima</t>
  </si>
  <si>
    <t>se realiza una reunion con Jeer para la explicacion del incidente del calculo en la comision de beps</t>
  </si>
  <si>
    <t>Reunión con psl, para solucionar el error en la interface nomna contabilidad en Réditos</t>
  </si>
  <si>
    <t>Reunión con proceso de tesoreria de Réditos para realizar notas automaticas en el modulo de tesoreria en psl</t>
  </si>
  <si>
    <t>validacion de ambiente de capacitacion</t>
  </si>
  <si>
    <t>210 MINUTOS</t>
  </si>
  <si>
    <t>Reunión con la coordinadora de nómina de la red Tolima, se valida el nuevo estado de confirmación de la DIAN que muestra psl al transmitir la nómina electrónica</t>
  </si>
  <si>
    <t>Reunión para Revisar los proceso de conciliaciones del aplicativo bpms para réditos</t>
  </si>
  <si>
    <t>TODO EL DIA</t>
  </si>
  <si>
    <t>Validacion de ambiente de capacitacion</t>
  </si>
  <si>
    <t>390 MINUTOS</t>
  </si>
  <si>
    <t>360 MINUTOS</t>
  </si>
  <si>
    <t>validacion de errores que banco agrarip no esta guardando en la red, reunion con james la scrum, jhon rico el desarrollador y gustavo</t>
  </si>
  <si>
    <t>reunion con reditos sobre el tema de beps</t>
  </si>
  <si>
    <t>Reunion validación conexión remota psl por webapp con la red tolima y johan restrepo de telecomuicaciones matrixtech</t>
  </si>
  <si>
    <t>Validacion de jerarquias para la perla</t>
  </si>
  <si>
    <t>Configuracion de la promocion de bogota con giros para la red jjpita, cesar y la perla en compañia de la delegada de coljuegos y misael de mercadeo</t>
  </si>
  <si>
    <t>Reunion generación plantilla de ingresos en el modulo de tesoreria de psl para Réditos</t>
  </si>
  <si>
    <t>Incidente presentado el sipe (nomina psl) de huila para el empledo 55059319</t>
  </si>
  <si>
    <t>40 MINUTOS</t>
  </si>
  <si>
    <t>Reunión proceso de conciliaciones de bpms con peronal de réditos,desarollo matrixtech, proveedor aplicativo bpms</t>
  </si>
  <si>
    <t>100 MINUTOS</t>
  </si>
  <si>
    <t>validacion de errores en el ambiente de capacitacion para mi pos</t>
  </si>
  <si>
    <t>Entrega con aIda de QA los recaudos genericos locales para la app</t>
  </si>
  <si>
    <t>Configuracion de regiones, zonas y subzonas en la perla produccion</t>
  </si>
  <si>
    <t>reunion con plataformas para REVISAR novedad con web de Gana</t>
  </si>
  <si>
    <t>Reunión dblink siga-pslgana, error en transmisión de nómina de psl a Siga</t>
  </si>
  <si>
    <t>Reunión con Desarollo, Base de datos, infraestructura, para validar error de generado en servicio 9 de bpms en Réditos</t>
  </si>
  <si>
    <t>70 MINUTOS</t>
  </si>
  <si>
    <t>Reunión conpersonal de Telecomunicaciones, Ti de Tolima, para validar el error presenado en la conexión webapp de psl en la red tólima</t>
  </si>
  <si>
    <t>Reunion con jiose acevedo, raul y ana para el formato de impresin de putumayo con el producto chance</t>
  </si>
  <si>
    <t>ASISTENCIA A ENTREGA DE RECAUDO MATRIXCREDITOS</t>
  </si>
  <si>
    <t>reunion con matrixtedes capacitacion de raspa y listo</t>
  </si>
  <si>
    <t>Actualización psl en ambiente de pruebas</t>
  </si>
  <si>
    <t xml:space="preserve">Validaciones en logs y en base de datos </t>
  </si>
  <si>
    <t xml:space="preserve">Reunion con desarrollo y base de datos para determinar la causa de que los 254 giors insertados no aparecieran en el webservice </t>
  </si>
  <si>
    <t>Reunion Con desarrollo e infra para determinar causa del error al desplegar el cambio  (RE: Solicitud de integración MTX-I338238_LOGS_REGISTRO_TRANSACCION_WEBGANA)</t>
  </si>
  <si>
    <t>Reunión, validar proceso de conciliaciones de bpms con psl</t>
  </si>
  <si>
    <t>Conexión remota del proveedor Pol, para validar desempeño de la aplicacion bpms de réditos</t>
  </si>
  <si>
    <t>Reunion con genaro de tolima explicando el modulo de recaudos del grupo</t>
  </si>
  <si>
    <t>33 MINUTOS</t>
  </si>
  <si>
    <t>Entrega Integracion Corresponsal Bancamia Jade</t>
  </si>
  <si>
    <t>Descarga y actualización sipe (nómina) para todas la redes y Réditos en ambiente de pruebas</t>
  </si>
  <si>
    <t>Validación error y solución para generar facturas en psl del usuario katherin Acevedo de Réditos</t>
  </si>
  <si>
    <t>Descarga y actualización Psl para todas la redes y Réditos en ambiente de pruebas</t>
  </si>
  <si>
    <t>Reunión para validar proceso de conciliaciones de bpms a psl</t>
  </si>
  <si>
    <t>Reunión con Cesar Tulio de Bd, para validar error presentado en cuadre contable desde siga para la red jer</t>
  </si>
  <si>
    <t>Actualización psl(erp, sipe) de Réditos ambiente de producción</t>
  </si>
  <si>
    <t>ID 397470</t>
  </si>
  <si>
    <t>Se realiza una mesa de trabajo para el cambio del trafico de giros de pagatodo de datacenter colombia para los JBOSS de terramark</t>
  </si>
  <si>
    <t>JULIAN ANDRES CASTAÑEDA</t>
  </si>
  <si>
    <t xml:space="preserve">Reunión con Camilo Garcia de Bd, validar conexión psl a oracle 19 </t>
  </si>
  <si>
    <t xml:space="preserve"> Helber Merchán</t>
  </si>
  <si>
    <t>Conexión  remota a usuario katherin Acevedo de Réditos, error al generar facturas en Psl</t>
  </si>
  <si>
    <t>Helber Merchán</t>
  </si>
  <si>
    <t>Reunión Con personal de Desarrollo de Matrixtech, para validar el servicio 9 de bpms-psl, ya que genera inconsistencia en los datos</t>
  </si>
  <si>
    <t>Conexión remota con Soporte de Réditos, para validar instalació equipo nuevo de la coordinadora de nómina</t>
  </si>
  <si>
    <t>160 MINTOS</t>
  </si>
  <si>
    <t>Hebler Merchán</t>
  </si>
  <si>
    <t>Conexión remota con Soporte de Réditos, para validar instalació equipo nuevo de la coordinadora de nómina y Laura Jaramillo</t>
  </si>
  <si>
    <t xml:space="preserve">Solicitud de asignación usuario de luisa agudelo de Réditos a sipe </t>
  </si>
  <si>
    <t>Actualización psl(erp, sipe) para todas las redes en  ambiente de producción</t>
  </si>
  <si>
    <t>200 MINUTOS</t>
  </si>
  <si>
    <t>SIVICAL</t>
  </si>
  <si>
    <t>Validacion con Infra, desarrollo , BD y centro de gestion de error en Syncrocauca (Se ha encontrado una posible CONEXION sin CERRAR!!! 475720665)</t>
  </si>
  <si>
    <t>75 MINUTOS</t>
  </si>
  <si>
    <t>Actualización manuales de psl y biable al proceso de soporte de Réditos, estos manuales estaban deactualizados</t>
  </si>
  <si>
    <t>Validación y solución  saldos de cuentas en Reditos con Patrica Carvajal y Margarita Sanchez</t>
  </si>
  <si>
    <t>Reunión con proceso desarrollo y qa de matrixtech, validar servicio 9 bpms</t>
  </si>
  <si>
    <t>Reunión con el proceso de Control Interno de Réditos, para validar permisos en Psl</t>
  </si>
  <si>
    <t>VAlidación instalación sipe y biable en el equipo de andre fuentes del proceso de nómina réditos</t>
  </si>
  <si>
    <t>Validación conexión psl  por conexión rdp</t>
  </si>
  <si>
    <t>Solución cancelación saldo a marzo 2022 de la cuenta 130599 en matrixgrupo  con el usuario Adriana Giraldo Torrijos</t>
  </si>
  <si>
    <t>Conexión remota del proveedor de la aplicación bpms de Réditos, para montar ambiente de pruebas después de actualizar el servicio solr</t>
  </si>
  <si>
    <t>Reunión con proceso desarrollo  (Miguel Diáz) de matrixtech, validar servicio 9 bpms</t>
  </si>
  <si>
    <t>150 MINUTOS</t>
  </si>
  <si>
    <t>Se realiza mesa de trabajo para validar error de read timed out, se realiza reinicio controlado de los api send, person y sg en los servidores Trento, Ranchi, Vitoria y VillaReal. Se realiza llamada al proveedor Compliance informando el error. Luego de 10 min el error se deja de presentar.</t>
  </si>
  <si>
    <t>JULIAN CASTAÑEDA</t>
  </si>
  <si>
    <t>Reunión con Juan David Alvarez, para validar el cuadre de salo de abril 7 2022 a contabilidad psl</t>
  </si>
  <si>
    <t>Reunión con proceso de compras réditos, para validar impotación de orden de compras con el mismo item y centro de costo</t>
  </si>
  <si>
    <t>Conexión remota del proveedor de la aplicación bpms de Réditos, para gestionar caso creado por réditos a ellos</t>
  </si>
  <si>
    <t>creación usuario mariana terrano en  psl y sipe para reditos</t>
  </si>
  <si>
    <t>Disponibilidad Indivudual Producto
Matrix Tech</t>
  </si>
  <si>
    <t>Disponibilidad Indivudual Aplicación 
Aliados o Terceros</t>
  </si>
  <si>
    <t>MI POS - PRISMA 2</t>
  </si>
  <si>
    <t>APP</t>
  </si>
  <si>
    <t>GIROS</t>
  </si>
  <si>
    <t>SEGUROS</t>
  </si>
  <si>
    <t> </t>
  </si>
  <si>
    <t>INC 2024-714651</t>
  </si>
  <si>
    <r>
      <t>Mes</t>
    </r>
    <r>
      <rPr>
        <sz val="12"/>
        <color rgb="FF000000"/>
        <rFont val="Calibri"/>
        <charset val="1"/>
      </rPr>
      <t>​</t>
    </r>
  </si>
  <si>
    <r>
      <t>Días Mes</t>
    </r>
    <r>
      <rPr>
        <sz val="12"/>
        <color rgb="FF000000"/>
        <rFont val="Calibri"/>
        <charset val="1"/>
      </rPr>
      <t>​</t>
    </r>
  </si>
  <si>
    <r>
      <t>Horas Mes</t>
    </r>
    <r>
      <rPr>
        <sz val="12"/>
        <color rgb="FF000000"/>
        <rFont val="Calibri"/>
        <charset val="1"/>
      </rPr>
      <t>​</t>
    </r>
  </si>
  <si>
    <r>
      <t>Min Mes</t>
    </r>
    <r>
      <rPr>
        <sz val="12"/>
        <color rgb="FF000000"/>
        <rFont val="Calibri"/>
        <charset val="1"/>
      </rPr>
      <t>​</t>
    </r>
  </si>
  <si>
    <t>PRECARGA DE ENERGIA</t>
  </si>
  <si>
    <t>INC 2024-300254</t>
  </si>
  <si>
    <t>Enero​</t>
  </si>
  <si>
    <t>31​</t>
  </si>
  <si>
    <t>                 744 ​</t>
  </si>
  <si>
    <t>44640​</t>
  </si>
  <si>
    <t>RECARGAS TIGO</t>
  </si>
  <si>
    <t>INC 2024-301316</t>
  </si>
  <si>
    <t>Febrero​</t>
  </si>
  <si>
    <t>29​</t>
  </si>
  <si>
    <t>                 696 ​</t>
  </si>
  <si>
    <t>41760​</t>
  </si>
  <si>
    <t>INC 2024-301816</t>
  </si>
  <si>
    <t>Marzo​</t>
  </si>
  <si>
    <t>PAQUETES MOVISTAR</t>
  </si>
  <si>
    <t>INC 2024-307898</t>
  </si>
  <si>
    <t>Abril​</t>
  </si>
  <si>
    <t>30​</t>
  </si>
  <si>
    <t>                 720 ​</t>
  </si>
  <si>
    <t>43200​</t>
  </si>
  <si>
    <t>RECARGA AGUA PREPAGO EPM</t>
  </si>
  <si>
    <t>INC 2024-314165</t>
  </si>
  <si>
    <t>Mayo​</t>
  </si>
  <si>
    <t>INC 2024-314400</t>
  </si>
  <si>
    <t>Junio​</t>
  </si>
  <si>
    <t>INC 2024-316281</t>
  </si>
  <si>
    <t>Julio​</t>
  </si>
  <si>
    <t>INC 2024-317572</t>
  </si>
  <si>
    <t>Agosto​</t>
  </si>
  <si>
    <t>INC 2024-319865</t>
  </si>
  <si>
    <t>Septiembre​</t>
  </si>
  <si>
    <t>Octubre​</t>
  </si>
  <si>
    <t>Noviembre​</t>
  </si>
  <si>
    <t>Diciembre​</t>
  </si>
  <si>
    <t>Recargas y Paquetes Claro</t>
  </si>
  <si>
    <t>INC 2024-330565</t>
  </si>
  <si>
    <t>RED ALIADA</t>
  </si>
  <si>
    <t>% DISPONIBILIDAD</t>
  </si>
  <si>
    <t>Jer - Boyaca</t>
  </si>
  <si>
    <t>SuChance - Huila</t>
  </si>
  <si>
    <t>Disponibilidad</t>
  </si>
  <si>
    <t>Indisponibilidad</t>
  </si>
  <si>
    <t>Gana Gana - Tolina</t>
  </si>
  <si>
    <t>% Disponibilidad</t>
  </si>
  <si>
    <t>Categoría</t>
  </si>
  <si>
    <t>Tipología</t>
  </si>
  <si>
    <t>Centro de Gestion &gt; Reportes</t>
  </si>
  <si>
    <t>HARDWARE Y SOFTWARE &gt; Mantenimiento</t>
  </si>
  <si>
    <t>SEGURIDAD &gt; Informacion General</t>
  </si>
  <si>
    <t>Aguas Barrancabermeja</t>
  </si>
  <si>
    <t>Incidentes Desarrollo &gt; Problema con Servicios</t>
  </si>
  <si>
    <t>HARDWARE Y SOFTWARE &gt; Bloqueo</t>
  </si>
  <si>
    <t>Mesa De Servicios &gt; Diferencias transaccionales</t>
  </si>
  <si>
    <t>HARDWARE Y SOFTWARE &gt; Asignación Equipo</t>
  </si>
  <si>
    <t>Centro de Gestion &gt; Cache Aplicaciones</t>
  </si>
  <si>
    <t>INFRAESTRUCTURA &gt; Actualización de aplicaciones</t>
  </si>
  <si>
    <t>Mesa De Servicios &gt; Conciliaciones</t>
  </si>
  <si>
    <t>CONECTIVIDAD &gt; Accesos usuarios</t>
  </si>
  <si>
    <t>RECAUDOS &gt; Caídas de Aplicaciones &lt; No pueden Transar&gt;</t>
  </si>
  <si>
    <t>Total general</t>
  </si>
  <si>
    <t>App Su Red &gt; Registro &gt; Actualización de datos</t>
  </si>
  <si>
    <t>Solicitudes Administración &gt; Mantenimiento Locativo &gt; General</t>
  </si>
  <si>
    <t>App Su Red &gt; Registro</t>
  </si>
  <si>
    <t>APUESTAS PERMANENTES &gt; Raspita &gt; PagoPremios</t>
  </si>
  <si>
    <t>Jade Pc</t>
  </si>
  <si>
    <t>Mesa De Servicios &gt; Aplicar Cache (Redes)</t>
  </si>
  <si>
    <t>Recaudo EPM en Línea</t>
  </si>
  <si>
    <t>REQ 2024-331076</t>
  </si>
  <si>
    <t>Recargas y Paquetes Exito</t>
  </si>
  <si>
    <t>REQ 2024-330656</t>
  </si>
  <si>
    <t>Incidencia Chance Bingo</t>
  </si>
  <si>
    <t>INC 2024-333368</t>
  </si>
  <si>
    <t>Precargas y recargas de EPM</t>
  </si>
  <si>
    <t>INC 2024-333456</t>
  </si>
  <si>
    <t>Civica Metro</t>
  </si>
  <si>
    <t>INC 2024-340213</t>
  </si>
  <si>
    <t>Recargas Energia</t>
  </si>
  <si>
    <t>INC 2024-344181</t>
  </si>
  <si>
    <t>JADE SIN TX</t>
  </si>
  <si>
    <t>INC 2024-344309</t>
  </si>
  <si>
    <t>Recargas Claro</t>
  </si>
  <si>
    <t>INC 2024-344383</t>
  </si>
  <si>
    <t>INC 2024-345795</t>
  </si>
  <si>
    <t>INC 2024-346005</t>
  </si>
  <si>
    <t>Recargas Conexred</t>
  </si>
  <si>
    <t>INC 2024-347131</t>
  </si>
  <si>
    <t>INC 2024-359707</t>
  </si>
  <si>
    <t>Disponibilidad Individual Aplicación 
UX Technology</t>
  </si>
  <si>
    <t>WEB'S</t>
  </si>
  <si>
    <t>Cumplimiento ANS</t>
  </si>
  <si>
    <t>Requerimientos</t>
  </si>
  <si>
    <t>Cumple</t>
  </si>
  <si>
    <t>No cumple</t>
  </si>
  <si>
    <t>Inicidentes</t>
  </si>
  <si>
    <t xml:space="preserve">Disponibilidad Individual Aplicación </t>
  </si>
  <si>
    <t>Disponibilidad Indivudual Producto
UX Technology</t>
  </si>
  <si>
    <t>Meta Mes</t>
  </si>
  <si>
    <t>Minutos</t>
  </si>
  <si>
    <t>Disponibilidad Final Aplicación - Matrix Tech</t>
  </si>
  <si>
    <t>Disponibilidad Indivudual Producto en la APP - Matrixtech</t>
  </si>
  <si>
    <t>Disponibilidad Final Producto - Matrix Tech</t>
  </si>
  <si>
    <t>Disponibilidad Indivudual Producto en la APP - Aliados o Terceros</t>
  </si>
  <si>
    <t>Disponibilidad Final Producto - Aliados o terceros</t>
  </si>
  <si>
    <t>Disponibilidad Negocio</t>
  </si>
  <si>
    <t>Promedio UX Technology</t>
  </si>
  <si>
    <t>Dispo Final UX Technology</t>
  </si>
  <si>
    <t>S</t>
  </si>
  <si>
    <t>Premios</t>
  </si>
  <si>
    <t>Valor apuesta</t>
  </si>
  <si>
    <t>Premio peso apostado</t>
  </si>
  <si>
    <t>Premio antes rte</t>
  </si>
  <si>
    <t>Premio 1 Neto</t>
  </si>
  <si>
    <t>Premio 2 Neto</t>
  </si>
  <si>
    <t>Premio Total</t>
  </si>
  <si>
    <t>VERSIÓN</t>
  </si>
  <si>
    <t>DESCRIPCIÓN DE LA ACTUALIZACIÓN</t>
  </si>
  <si>
    <t>FECHA DE APLICACIÓN</t>
  </si>
  <si>
    <t>NOMBRE Y CARGO DE QUIEN REALIZA LA ACTUALIZACIÓN</t>
  </si>
  <si>
    <t>Versión Inicial, aprobación y socialización del documento</t>
  </si>
  <si>
    <t xml:space="preserve">Norbey Martinez / Coordinador Gestión de Operaciones </t>
  </si>
  <si>
    <t>mes</t>
  </si>
  <si>
    <t>DiasxMes</t>
  </si>
  <si>
    <t>horasxMes</t>
  </si>
  <si>
    <t>MinxMes</t>
  </si>
  <si>
    <t>Tipo de Afectación</t>
  </si>
  <si>
    <t>Afectación</t>
  </si>
  <si>
    <t>Admin y Escrutinio</t>
  </si>
  <si>
    <t>MI POS</t>
  </si>
  <si>
    <t>WEB GANA</t>
  </si>
  <si>
    <t>solo para la app</t>
  </si>
  <si>
    <t>Total</t>
  </si>
  <si>
    <t>La Fortuna Acertemos - cauca</t>
  </si>
  <si>
    <t>La Guajira - inverapuestas</t>
  </si>
  <si>
    <t>Putumayo</t>
  </si>
  <si>
    <t>Mgys</t>
  </si>
  <si>
    <t>Promedio Total</t>
  </si>
  <si>
    <t>Tecnicos</t>
  </si>
  <si>
    <t>Laura Selene</t>
  </si>
  <si>
    <t>Harley Tobon</t>
  </si>
  <si>
    <t>Julian Castañeda</t>
  </si>
  <si>
    <t>Andres Bolivar</t>
  </si>
  <si>
    <t>Norbey Martinez</t>
  </si>
  <si>
    <t>Daniel Mazo</t>
  </si>
  <si>
    <t>Yael Cruz</t>
  </si>
  <si>
    <t>Arley Bulla</t>
  </si>
  <si>
    <t>Nicolas Quiroga</t>
  </si>
  <si>
    <t>Brayan Alexander Betancur</t>
  </si>
  <si>
    <t>Isaac Fortich</t>
  </si>
  <si>
    <t>Breiner Novoa</t>
  </si>
  <si>
    <t>Miguel Carmona</t>
  </si>
  <si>
    <t>Diego Ospina</t>
  </si>
  <si>
    <t>Cristian Velazquez</t>
  </si>
  <si>
    <t>Mónica Muriel</t>
  </si>
  <si>
    <t>Verónica Echeverri</t>
  </si>
  <si>
    <t>abril</t>
  </si>
  <si>
    <t>RECARGAS DIRECTV</t>
  </si>
  <si>
    <t>AGUA PREPAGO</t>
  </si>
  <si>
    <t>RECARGAS MOVISTAR</t>
  </si>
  <si>
    <t>RECARGAS CLARO</t>
  </si>
  <si>
    <r>
      <t>Empresa</t>
    </r>
    <r>
      <rPr>
        <sz val="18"/>
        <color rgb="FF000000"/>
        <rFont val="Calibri"/>
        <family val="2"/>
      </rPr>
      <t>​</t>
    </r>
  </si>
  <si>
    <r>
      <t>Disponibilidad</t>
    </r>
    <r>
      <rPr>
        <sz val="18"/>
        <color rgb="FF000000"/>
        <rFont val="Calibri"/>
        <family val="2"/>
      </rPr>
      <t>​</t>
    </r>
  </si>
  <si>
    <t>RECARGAS EXITO</t>
  </si>
  <si>
    <t>RECARGAS SIN TX</t>
  </si>
  <si>
    <r>
      <t>Acertemos</t>
    </r>
    <r>
      <rPr>
        <sz val="18"/>
        <color rgb="FF000000"/>
        <rFont val="Calibri"/>
        <family val="2"/>
      </rPr>
      <t>​</t>
    </r>
  </si>
  <si>
    <r>
      <t>100</t>
    </r>
    <r>
      <rPr>
        <sz val="18"/>
        <color rgb="FF000000"/>
        <rFont val="Calibri"/>
        <family val="2"/>
      </rPr>
      <t>​</t>
    </r>
  </si>
  <si>
    <t>RECARGAS y PAQUETES CLARO</t>
  </si>
  <si>
    <t>RASPA &amp; LISTO</t>
  </si>
  <si>
    <r>
      <t>Jer </t>
    </r>
    <r>
      <rPr>
        <sz val="18"/>
        <color rgb="FF000000"/>
        <rFont val="Calibri"/>
        <family val="2"/>
      </rPr>
      <t>​</t>
    </r>
  </si>
  <si>
    <r>
      <t>SuChance</t>
    </r>
    <r>
      <rPr>
        <sz val="18"/>
        <color rgb="FF000000"/>
        <rFont val="Calibri"/>
        <family val="2"/>
      </rPr>
      <t>​</t>
    </r>
  </si>
  <si>
    <t>PAGA A TU MEDIDA EPM</t>
  </si>
  <si>
    <t>PAQUETES Y RECARGAS WOM Y DIRECTV</t>
  </si>
  <si>
    <r>
      <t>MatrixRedes</t>
    </r>
    <r>
      <rPr>
        <sz val="18"/>
        <color rgb="FF000000"/>
        <rFont val="Calibri"/>
        <family val="2"/>
      </rPr>
      <t>​</t>
    </r>
  </si>
  <si>
    <t>RECAUDOS WOM</t>
  </si>
  <si>
    <r>
      <t>Seapto</t>
    </r>
    <r>
      <rPr>
        <sz val="18"/>
        <color rgb="FF000000"/>
        <rFont val="Calibri"/>
        <family val="2"/>
      </rPr>
      <t>​</t>
    </r>
  </si>
  <si>
    <t>RECAUDO WOM SIN TX</t>
  </si>
  <si>
    <r>
      <t>La Perla</t>
    </r>
    <r>
      <rPr>
        <sz val="18"/>
        <color rgb="FF000000"/>
        <rFont val="Calibri"/>
        <family val="2"/>
      </rPr>
      <t>​</t>
    </r>
  </si>
  <si>
    <t>Últimos 6 Meses. </t>
  </si>
  <si>
    <t>SIN TX RASPA&amp;LISTO LM</t>
  </si>
  <si>
    <t>RECARGAS AGUA PREPAGO</t>
  </si>
  <si>
    <r>
      <t>Gana</t>
    </r>
    <r>
      <rPr>
        <sz val="18"/>
        <color rgb="FF000000"/>
        <rFont val="Calibri"/>
        <family val="2"/>
      </rPr>
      <t>​</t>
    </r>
  </si>
  <si>
    <r>
      <t>Mes</t>
    </r>
    <r>
      <rPr>
        <sz val="11"/>
        <color rgb="FFFFFFFF"/>
        <rFont val="Calibri"/>
        <charset val="1"/>
      </rPr>
      <t> </t>
    </r>
    <r>
      <rPr>
        <sz val="11"/>
        <color rgb="FFFFFFFF"/>
        <rFont val="Calibri"/>
        <charset val="1"/>
      </rPr>
      <t> </t>
    </r>
  </si>
  <si>
    <r>
      <t>Minutos Mes</t>
    </r>
    <r>
      <rPr>
        <sz val="11"/>
        <color rgb="FFFFFFFF"/>
        <rFont val="Calibri"/>
        <charset val="1"/>
      </rPr>
      <t> </t>
    </r>
    <r>
      <rPr>
        <sz val="11"/>
        <color rgb="FFFFFFFF"/>
        <rFont val="Calibri"/>
        <charset val="1"/>
      </rPr>
      <t> </t>
    </r>
  </si>
  <si>
    <r>
      <t>Acertemos</t>
    </r>
    <r>
      <rPr>
        <sz val="10"/>
        <color rgb="FFFFFFFF"/>
        <rFont val="Calibri"/>
        <charset val="1"/>
      </rPr>
      <t> </t>
    </r>
    <r>
      <rPr>
        <sz val="10"/>
        <color rgb="FFFFFFFF"/>
        <rFont val="Calibri"/>
        <charset val="1"/>
      </rPr>
      <t> </t>
    </r>
  </si>
  <si>
    <r>
      <t>Jer</t>
    </r>
    <r>
      <rPr>
        <sz val="10"/>
        <color rgb="FFFFFFFF"/>
        <rFont val="Calibri"/>
        <charset val="1"/>
      </rPr>
      <t> </t>
    </r>
    <r>
      <rPr>
        <sz val="10"/>
        <color rgb="FFFFFFFF"/>
        <rFont val="Calibri"/>
        <charset val="1"/>
      </rPr>
      <t> </t>
    </r>
  </si>
  <si>
    <r>
      <t>SuChance</t>
    </r>
    <r>
      <rPr>
        <sz val="10"/>
        <color rgb="FFFFFFFF"/>
        <rFont val="Calibri"/>
        <charset val="1"/>
      </rPr>
      <t> </t>
    </r>
    <r>
      <rPr>
        <sz val="10"/>
        <color rgb="FFFFFFFF"/>
        <rFont val="Calibri"/>
        <charset val="1"/>
      </rPr>
      <t> </t>
    </r>
  </si>
  <si>
    <r>
      <t>MatrixRedes</t>
    </r>
    <r>
      <rPr>
        <sz val="10"/>
        <color rgb="FFFFFFFF"/>
        <rFont val="Calibri"/>
        <charset val="1"/>
      </rPr>
      <t> </t>
    </r>
    <r>
      <rPr>
        <sz val="10"/>
        <color rgb="FFFFFFFF"/>
        <rFont val="Calibri"/>
        <charset val="1"/>
      </rPr>
      <t> </t>
    </r>
  </si>
  <si>
    <r>
      <t>Gana - Gana</t>
    </r>
    <r>
      <rPr>
        <sz val="10"/>
        <color rgb="FFFFFFFF"/>
        <rFont val="Calibri"/>
        <charset val="1"/>
      </rPr>
      <t> </t>
    </r>
  </si>
  <si>
    <r>
      <t>La Perla</t>
    </r>
    <r>
      <rPr>
        <sz val="12"/>
        <color rgb="FFFFFFFF"/>
        <rFont val="Calibri"/>
        <charset val="1"/>
      </rPr>
      <t> </t>
    </r>
    <r>
      <rPr>
        <sz val="12"/>
        <color rgb="FFFFFFFF"/>
        <rFont val="Calibri"/>
        <charset val="1"/>
      </rPr>
      <t> </t>
    </r>
  </si>
  <si>
    <r>
      <t>Gana</t>
    </r>
    <r>
      <rPr>
        <sz val="10"/>
        <color rgb="FFFFFFFF"/>
        <rFont val="Calibri"/>
        <charset val="1"/>
      </rPr>
      <t> </t>
    </r>
    <r>
      <rPr>
        <sz val="10"/>
        <color rgb="FFFFFFFF"/>
        <rFont val="Calibri"/>
        <charset val="1"/>
      </rPr>
      <t> </t>
    </r>
  </si>
  <si>
    <r>
      <t>Promedio UX Technology</t>
    </r>
    <r>
      <rPr>
        <sz val="10"/>
        <color rgb="FFFFFFFF"/>
        <rFont val="Calibri"/>
        <charset val="1"/>
      </rPr>
      <t> </t>
    </r>
    <r>
      <rPr>
        <sz val="10"/>
        <color rgb="FFFFFFFF"/>
        <rFont val="Calibri"/>
        <charset val="1"/>
      </rPr>
      <t> </t>
    </r>
  </si>
  <si>
    <t>RECARGAS y PAQUETES CLARO   SIN TX</t>
  </si>
  <si>
    <t>RECARGA ENERGIA PREPAGO Y PRECARGA SIN TX</t>
  </si>
  <si>
    <r>
      <t>Noviembre </t>
    </r>
    <r>
      <rPr>
        <sz val="11"/>
        <color rgb="FF000000"/>
        <rFont val="Calibri"/>
        <charset val="1"/>
      </rPr>
      <t> </t>
    </r>
  </si>
  <si>
    <r>
      <t>43200 </t>
    </r>
    <r>
      <rPr>
        <sz val="11"/>
        <color rgb="FF000000"/>
        <rFont val="Calibri"/>
        <charset val="1"/>
      </rPr>
      <t> </t>
    </r>
  </si>
  <si>
    <r>
      <t>100 </t>
    </r>
    <r>
      <rPr>
        <sz val="11"/>
        <color rgb="FF000000"/>
        <rFont val="Calibri"/>
        <charset val="1"/>
      </rPr>
      <t> </t>
    </r>
  </si>
  <si>
    <r>
      <t>99,98 </t>
    </r>
    <r>
      <rPr>
        <sz val="11"/>
        <color rgb="FF000000"/>
        <rFont val="Calibri"/>
        <charset val="1"/>
      </rPr>
      <t> </t>
    </r>
  </si>
  <si>
    <r>
      <t>99,88 </t>
    </r>
    <r>
      <rPr>
        <sz val="11"/>
        <color rgb="FF000000"/>
        <rFont val="Calibri"/>
        <charset val="1"/>
      </rPr>
      <t> </t>
    </r>
  </si>
  <si>
    <r>
      <t>99,98 </t>
    </r>
    <r>
      <rPr>
        <sz val="11"/>
        <color rgb="FF006100"/>
        <rFont val="Calibri"/>
        <charset val="1"/>
      </rPr>
      <t> </t>
    </r>
    <r>
      <rPr>
        <sz val="11"/>
        <color rgb="FF006100"/>
        <rFont val="Calibri"/>
        <charset val="1"/>
      </rPr>
      <t> </t>
    </r>
  </si>
  <si>
    <r>
      <t>Diciembre </t>
    </r>
    <r>
      <rPr>
        <sz val="11"/>
        <color rgb="FF000000"/>
        <rFont val="Calibri"/>
        <charset val="1"/>
      </rPr>
      <t> </t>
    </r>
  </si>
  <si>
    <r>
      <t>44640 </t>
    </r>
    <r>
      <rPr>
        <sz val="11"/>
        <color rgb="FF000000"/>
        <rFont val="Calibri"/>
        <charset val="1"/>
      </rPr>
      <t> </t>
    </r>
  </si>
  <si>
    <r>
      <t>99,81 </t>
    </r>
    <r>
      <rPr>
        <sz val="11"/>
        <color rgb="FF000000"/>
        <rFont val="Calibri"/>
        <charset val="1"/>
      </rPr>
      <t> </t>
    </r>
  </si>
  <si>
    <r>
      <t>99,77 </t>
    </r>
    <r>
      <rPr>
        <sz val="11"/>
        <color rgb="FF000000"/>
        <rFont val="Calibri"/>
        <charset val="1"/>
      </rPr>
      <t> </t>
    </r>
  </si>
  <si>
    <r>
      <t>99,78 </t>
    </r>
    <r>
      <rPr>
        <sz val="11"/>
        <color rgb="FF000000"/>
        <rFont val="Calibri"/>
        <charset val="1"/>
      </rPr>
      <t> </t>
    </r>
  </si>
  <si>
    <r>
      <t>99,76 </t>
    </r>
    <r>
      <rPr>
        <sz val="11"/>
        <color rgb="FF000000"/>
        <rFont val="Calibri"/>
        <charset val="1"/>
      </rPr>
      <t> </t>
    </r>
  </si>
  <si>
    <r>
      <t>99,82 </t>
    </r>
    <r>
      <rPr>
        <sz val="11"/>
        <color rgb="FF000000"/>
        <rFont val="Calibri"/>
        <charset val="1"/>
      </rPr>
      <t> </t>
    </r>
  </si>
  <si>
    <r>
      <t>99,8 </t>
    </r>
    <r>
      <rPr>
        <sz val="11"/>
        <color rgb="FF000000"/>
        <rFont val="Calibri"/>
        <charset val="1"/>
      </rPr>
      <t> </t>
    </r>
  </si>
  <si>
    <r>
      <t>99,72 </t>
    </r>
    <r>
      <rPr>
        <sz val="11"/>
        <color rgb="FF000000"/>
        <rFont val="Calibri"/>
        <charset val="1"/>
      </rPr>
      <t> </t>
    </r>
  </si>
  <si>
    <r>
      <t>99,78 </t>
    </r>
    <r>
      <rPr>
        <sz val="11"/>
        <color rgb="FF006100"/>
        <rFont val="Calibri"/>
        <charset val="1"/>
      </rPr>
      <t> </t>
    </r>
    <r>
      <rPr>
        <sz val="11"/>
        <color rgb="FF006100"/>
        <rFont val="Calibri"/>
        <charset val="1"/>
      </rPr>
      <t> </t>
    </r>
  </si>
  <si>
    <r>
      <t>Enero </t>
    </r>
    <r>
      <rPr>
        <sz val="11"/>
        <color rgb="FF000000"/>
        <rFont val="Calibri"/>
        <charset val="1"/>
      </rPr>
      <t> </t>
    </r>
  </si>
  <si>
    <r>
      <t>100,00</t>
    </r>
    <r>
      <rPr>
        <sz val="11"/>
        <color rgb="FF006100"/>
        <rFont val="Calibri"/>
        <charset val="1"/>
      </rPr>
      <t> </t>
    </r>
    <r>
      <rPr>
        <sz val="11"/>
        <color rgb="FF006100"/>
        <rFont val="Calibri"/>
        <charset val="1"/>
      </rPr>
      <t> </t>
    </r>
  </si>
  <si>
    <r>
      <t>Febrero</t>
    </r>
    <r>
      <rPr>
        <sz val="11"/>
        <color rgb="FF000000"/>
        <rFont val="Calibri"/>
        <charset val="1"/>
      </rPr>
      <t> </t>
    </r>
  </si>
  <si>
    <r>
      <t>41760</t>
    </r>
    <r>
      <rPr>
        <sz val="11"/>
        <color rgb="FF000000"/>
        <rFont val="Calibri"/>
        <charset val="1"/>
      </rPr>
      <t> </t>
    </r>
  </si>
  <si>
    <r>
      <t>100</t>
    </r>
    <r>
      <rPr>
        <sz val="11"/>
        <color rgb="FF000000"/>
        <rFont val="Calibri"/>
        <charset val="1"/>
      </rPr>
      <t> </t>
    </r>
  </si>
  <si>
    <r>
      <t>99,99</t>
    </r>
    <r>
      <rPr>
        <sz val="11"/>
        <color rgb="FF000000"/>
        <rFont val="Calibri"/>
        <charset val="1"/>
      </rPr>
      <t> </t>
    </r>
  </si>
  <si>
    <r>
      <t>99,67</t>
    </r>
    <r>
      <rPr>
        <sz val="11"/>
        <color rgb="FF000000"/>
        <rFont val="Calibri"/>
        <charset val="1"/>
      </rPr>
      <t> </t>
    </r>
  </si>
  <si>
    <r>
      <t>100,00</t>
    </r>
    <r>
      <rPr>
        <sz val="11"/>
        <color rgb="FF000000"/>
        <rFont val="Calibri"/>
        <charset val="1"/>
      </rPr>
      <t> </t>
    </r>
  </si>
  <si>
    <r>
      <t>99,92</t>
    </r>
    <r>
      <rPr>
        <sz val="11"/>
        <color rgb="FF000000"/>
        <rFont val="Calibri"/>
        <charset val="1"/>
      </rPr>
      <t> </t>
    </r>
  </si>
  <si>
    <r>
      <t>99,97</t>
    </r>
    <r>
      <rPr>
        <sz val="11"/>
        <color rgb="FF000000"/>
        <rFont val="Calibri"/>
        <charset val="1"/>
      </rPr>
      <t> </t>
    </r>
  </si>
  <si>
    <r>
      <t>99,94</t>
    </r>
    <r>
      <rPr>
        <sz val="11"/>
        <color rgb="FF006100"/>
        <rFont val="Calibri"/>
        <charset val="1"/>
      </rPr>
      <t> </t>
    </r>
  </si>
  <si>
    <r>
      <t>Mes</t>
    </r>
    <r>
      <rPr>
        <sz val="11"/>
        <color rgb="FFFFFFFF"/>
        <rFont val="Calibri"/>
        <charset val="1"/>
      </rPr>
      <t>  </t>
    </r>
    <r>
      <rPr>
        <sz val="11"/>
        <color rgb="FFFFFFFF"/>
        <rFont val="Calibri"/>
        <charset val="1"/>
      </rPr>
      <t> </t>
    </r>
  </si>
  <si>
    <r>
      <t>Acertemos</t>
    </r>
    <r>
      <rPr>
        <sz val="10"/>
        <color rgb="FFFFFFFF"/>
        <rFont val="Calibri"/>
        <charset val="1"/>
      </rPr>
      <t>  </t>
    </r>
    <r>
      <rPr>
        <sz val="10"/>
        <color rgb="FFFFFFFF"/>
        <rFont val="Calibri"/>
        <charset val="1"/>
      </rPr>
      <t> </t>
    </r>
  </si>
  <si>
    <r>
      <t>Jer</t>
    </r>
    <r>
      <rPr>
        <sz val="10"/>
        <color rgb="FFFFFFFF"/>
        <rFont val="Calibri"/>
        <charset val="1"/>
      </rPr>
      <t>  </t>
    </r>
    <r>
      <rPr>
        <sz val="10"/>
        <color rgb="FFFFFFFF"/>
        <rFont val="Calibri"/>
        <charset val="1"/>
      </rPr>
      <t> </t>
    </r>
  </si>
  <si>
    <r>
      <t>SuChance</t>
    </r>
    <r>
      <rPr>
        <sz val="10"/>
        <color rgb="FFFFFFFF"/>
        <rFont val="Calibri"/>
        <charset val="1"/>
      </rPr>
      <t>  </t>
    </r>
    <r>
      <rPr>
        <sz val="10"/>
        <color rgb="FFFFFFFF"/>
        <rFont val="Calibri"/>
        <charset val="1"/>
      </rPr>
      <t> </t>
    </r>
  </si>
  <si>
    <r>
      <t>MatrixRedes</t>
    </r>
    <r>
      <rPr>
        <sz val="10"/>
        <color rgb="FFFFFFFF"/>
        <rFont val="Calibri"/>
        <charset val="1"/>
      </rPr>
      <t>  </t>
    </r>
    <r>
      <rPr>
        <sz val="10"/>
        <color rgb="FFFFFFFF"/>
        <rFont val="Calibri"/>
        <charset val="1"/>
      </rPr>
      <t> </t>
    </r>
  </si>
  <si>
    <r>
      <t>Gana - Gana</t>
    </r>
    <r>
      <rPr>
        <sz val="10"/>
        <color rgb="FFFFFFFF"/>
        <rFont val="Calibri"/>
        <charset val="1"/>
      </rPr>
      <t> </t>
    </r>
    <r>
      <rPr>
        <sz val="10"/>
        <color rgb="FFFFFFFF"/>
        <rFont val="Calibri"/>
        <charset val="1"/>
      </rPr>
      <t> </t>
    </r>
  </si>
  <si>
    <r>
      <t>La Perla</t>
    </r>
    <r>
      <rPr>
        <sz val="12"/>
        <color rgb="FFFFFFFF"/>
        <rFont val="Calibri"/>
        <charset val="1"/>
      </rPr>
      <t>  </t>
    </r>
    <r>
      <rPr>
        <sz val="12"/>
        <color rgb="FFFFFFFF"/>
        <rFont val="Calibri"/>
        <charset val="1"/>
      </rPr>
      <t> </t>
    </r>
  </si>
  <si>
    <r>
      <t>Gana</t>
    </r>
    <r>
      <rPr>
        <sz val="10"/>
        <color rgb="FFFFFFFF"/>
        <rFont val="Calibri"/>
        <charset val="1"/>
      </rPr>
      <t>  </t>
    </r>
    <r>
      <rPr>
        <sz val="10"/>
        <color rgb="FFFFFFFF"/>
        <rFont val="Calibri"/>
        <charset val="1"/>
      </rPr>
      <t> </t>
    </r>
  </si>
  <si>
    <r>
      <t>Promedio UX Technology</t>
    </r>
    <r>
      <rPr>
        <sz val="10"/>
        <color rgb="FFFFFFFF"/>
        <rFont val="Calibri"/>
        <charset val="1"/>
      </rPr>
      <t>  </t>
    </r>
    <r>
      <rPr>
        <sz val="10"/>
        <color rgb="FFFFFFFF"/>
        <rFont val="Calibri"/>
        <charset val="1"/>
      </rPr>
      <t> </t>
    </r>
  </si>
  <si>
    <r>
      <t>Noviembre  </t>
    </r>
    <r>
      <rPr>
        <sz val="11"/>
        <color rgb="FF000000"/>
        <rFont val="Calibri"/>
        <charset val="1"/>
      </rPr>
      <t> </t>
    </r>
  </si>
  <si>
    <r>
      <t>100  </t>
    </r>
    <r>
      <rPr>
        <sz val="11"/>
        <color rgb="FF000000"/>
        <rFont val="Calibri"/>
        <charset val="1"/>
      </rPr>
      <t> </t>
    </r>
  </si>
  <si>
    <r>
      <t>99,98  </t>
    </r>
    <r>
      <rPr>
        <sz val="11"/>
        <color rgb="FF000000"/>
        <rFont val="Calibri"/>
        <charset val="1"/>
      </rPr>
      <t> </t>
    </r>
  </si>
  <si>
    <r>
      <t>99,88  </t>
    </r>
    <r>
      <rPr>
        <sz val="11"/>
        <color rgb="FF000000"/>
        <rFont val="Calibri"/>
        <charset val="1"/>
      </rPr>
      <t> </t>
    </r>
  </si>
  <si>
    <r>
      <t>99,98 </t>
    </r>
    <r>
      <rPr>
        <sz val="11"/>
        <color rgb="FF006100"/>
        <rFont val="Calibri"/>
        <charset val="1"/>
      </rPr>
      <t>  </t>
    </r>
    <r>
      <rPr>
        <sz val="11"/>
        <color rgb="FF006100"/>
        <rFont val="Calibri"/>
        <charset val="1"/>
      </rPr>
      <t> </t>
    </r>
  </si>
  <si>
    <r>
      <t>Diciembre  </t>
    </r>
    <r>
      <rPr>
        <sz val="11"/>
        <color rgb="FF000000"/>
        <rFont val="Calibri"/>
        <charset val="1"/>
      </rPr>
      <t> </t>
    </r>
  </si>
  <si>
    <r>
      <t>99,81  </t>
    </r>
    <r>
      <rPr>
        <sz val="11"/>
        <color rgb="FF000000"/>
        <rFont val="Calibri"/>
        <charset val="1"/>
      </rPr>
      <t> </t>
    </r>
  </si>
  <si>
    <r>
      <t>99,77  </t>
    </r>
    <r>
      <rPr>
        <sz val="11"/>
        <color rgb="FF000000"/>
        <rFont val="Calibri"/>
        <charset val="1"/>
      </rPr>
      <t> </t>
    </r>
  </si>
  <si>
    <r>
      <t>99,78  </t>
    </r>
    <r>
      <rPr>
        <sz val="11"/>
        <color rgb="FF000000"/>
        <rFont val="Calibri"/>
        <charset val="1"/>
      </rPr>
      <t> </t>
    </r>
  </si>
  <si>
    <r>
      <t>99,76  </t>
    </r>
    <r>
      <rPr>
        <sz val="11"/>
        <color rgb="FF000000"/>
        <rFont val="Calibri"/>
        <charset val="1"/>
      </rPr>
      <t> </t>
    </r>
  </si>
  <si>
    <r>
      <t>99,82  </t>
    </r>
    <r>
      <rPr>
        <sz val="11"/>
        <color rgb="FF000000"/>
        <rFont val="Calibri"/>
        <charset val="1"/>
      </rPr>
      <t> </t>
    </r>
  </si>
  <si>
    <r>
      <t>99,8  </t>
    </r>
    <r>
      <rPr>
        <sz val="11"/>
        <color rgb="FF000000"/>
        <rFont val="Calibri"/>
        <charset val="1"/>
      </rPr>
      <t> </t>
    </r>
  </si>
  <si>
    <r>
      <t>99,72  </t>
    </r>
    <r>
      <rPr>
        <sz val="11"/>
        <color rgb="FF000000"/>
        <rFont val="Calibri"/>
        <charset val="1"/>
      </rPr>
      <t> </t>
    </r>
  </si>
  <si>
    <r>
      <t>99,78 </t>
    </r>
    <r>
      <rPr>
        <sz val="11"/>
        <color rgb="FF006100"/>
        <rFont val="Calibri"/>
        <charset val="1"/>
      </rPr>
      <t>  </t>
    </r>
    <r>
      <rPr>
        <sz val="11"/>
        <color rgb="FF006100"/>
        <rFont val="Calibri"/>
        <charset val="1"/>
      </rPr>
      <t> </t>
    </r>
  </si>
  <si>
    <r>
      <t>Enero  </t>
    </r>
    <r>
      <rPr>
        <sz val="11"/>
        <color rgb="FF000000"/>
        <rFont val="Calibri"/>
        <charset val="1"/>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</si>
</sst>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
    <numFmt numFmtId="166" formatCode="0.0"/>
    <numFmt numFmtId="167" formatCode="0.000"/>
    <numFmt numFmtId="168" formatCode="d/mm/yyyy\ h:mm"/>
  </numFmts>
  <fonts count="49">
    <font>
      <sz val="11"/>
      <color theme="1"/>
      <name val="Calibri"/>
      <family val="2"/>
      <scheme val="minor"/>
    </font>
    <font>
      <sz val="11"/>
      <color indexed="8"/>
      <name val="Calibri"/>
      <family val="2"/>
    </font>
    <font>
      <sz val="11"/>
      <color theme="1"/>
      <name val="Calibri"/>
      <family val="2"/>
      <scheme val="minor"/>
    </font>
    <font>
      <sz val="8"/>
      <name val="Calibri"/>
      <family val="2"/>
      <scheme val="minor"/>
    </font>
    <font>
      <b/>
      <sz val="11"/>
      <color theme="1"/>
      <name val="Calibri"/>
      <family val="2"/>
      <scheme val="minor"/>
    </font>
    <font>
      <b/>
      <sz val="18"/>
      <color theme="0"/>
      <name val="Calibri"/>
      <family val="2"/>
      <scheme val="minor"/>
    </font>
    <font>
      <b/>
      <sz val="14"/>
      <color theme="1"/>
      <name val="Calibri"/>
      <family val="2"/>
      <scheme val="minor"/>
    </font>
    <font>
      <b/>
      <sz val="12"/>
      <color theme="0"/>
      <name val="Calibri"/>
      <family val="2"/>
      <scheme val="minor"/>
    </font>
    <font>
      <b/>
      <sz val="11"/>
      <color indexed="81"/>
      <name val="Tahoma"/>
      <family val="2"/>
    </font>
    <font>
      <b/>
      <sz val="11"/>
      <color theme="0"/>
      <name val="Calibri"/>
      <family val="2"/>
      <scheme val="minor"/>
    </font>
    <font>
      <b/>
      <sz val="14"/>
      <color theme="0"/>
      <name val="Calibri"/>
      <family val="2"/>
      <scheme val="minor"/>
    </font>
    <font>
      <sz val="9"/>
      <color indexed="81"/>
      <name val="Tahoma"/>
      <family val="2"/>
    </font>
    <font>
      <b/>
      <sz val="9"/>
      <color indexed="81"/>
      <name val="Tahoma"/>
      <family val="2"/>
    </font>
    <font>
      <b/>
      <sz val="10"/>
      <color theme="0"/>
      <name val="Calibri"/>
      <family val="2"/>
      <scheme val="minor"/>
    </font>
    <font>
      <sz val="10"/>
      <color theme="1"/>
      <name val="Calibri"/>
      <family val="2"/>
      <scheme val="minor"/>
    </font>
    <font>
      <sz val="11"/>
      <color rgb="FF000000"/>
      <name val="Calibri"/>
      <family val="2"/>
    </font>
    <font>
      <b/>
      <sz val="12"/>
      <color rgb="FFFFFFFF"/>
      <name val="Calibri"/>
      <family val="2"/>
    </font>
    <font>
      <sz val="11"/>
      <color rgb="FF2F75B5"/>
      <name val="Calibri"/>
      <family val="2"/>
    </font>
    <font>
      <b/>
      <sz val="11"/>
      <color rgb="FF2F75B5"/>
      <name val="Calibri"/>
      <family val="2"/>
    </font>
    <font>
      <b/>
      <sz val="10"/>
      <color rgb="FFFF0000"/>
      <name val="Calibri"/>
      <family val="2"/>
      <scheme val="minor"/>
    </font>
    <font>
      <b/>
      <sz val="12"/>
      <color rgb="FF002060"/>
      <name val="Calibri"/>
      <family val="2"/>
      <scheme val="minor"/>
    </font>
    <font>
      <b/>
      <sz val="11"/>
      <color rgb="FF002060"/>
      <name val="Calibri"/>
      <family val="2"/>
    </font>
    <font>
      <sz val="12"/>
      <color rgb="FF002060"/>
      <name val="Calibri"/>
      <family val="2"/>
      <scheme val="minor"/>
    </font>
    <font>
      <sz val="14"/>
      <color theme="1"/>
      <name val="Calibri"/>
      <family val="2"/>
      <scheme val="minor"/>
    </font>
    <font>
      <sz val="10"/>
      <color indexed="8"/>
      <name val="Calibri"/>
      <family val="2"/>
    </font>
    <font>
      <b/>
      <sz val="10"/>
      <color rgb="FF002060"/>
      <name val="Calibri"/>
      <family val="2"/>
      <scheme val="minor"/>
    </font>
    <font>
      <sz val="8"/>
      <color rgb="FF333333"/>
      <name val="Arial"/>
      <family val="2"/>
    </font>
    <font>
      <b/>
      <sz val="12"/>
      <color theme="1"/>
      <name val="Calibri"/>
      <family val="2"/>
      <scheme val="minor"/>
    </font>
    <font>
      <sz val="13.5"/>
      <color rgb="FF000000"/>
      <name val="Times New Roman"/>
      <family val="1"/>
    </font>
    <font>
      <sz val="18"/>
      <color rgb="FF000000"/>
      <name val="Calibri"/>
      <family val="2"/>
    </font>
    <font>
      <b/>
      <sz val="18"/>
      <color rgb="FF000000"/>
      <name val="Calibri"/>
      <family val="2"/>
    </font>
    <font>
      <sz val="11"/>
      <color rgb="FF000000"/>
      <name val="Aptos Narrow"/>
      <family val="2"/>
    </font>
    <font>
      <b/>
      <sz val="9"/>
      <color theme="0"/>
      <name val="Calibri"/>
      <family val="2"/>
      <scheme val="minor"/>
    </font>
    <font>
      <sz val="13.5"/>
      <color rgb="FF000000"/>
      <name val="Times New Roman"/>
      <charset val="1"/>
    </font>
    <font>
      <sz val="12"/>
      <color rgb="FF000000"/>
      <name val="Calibri"/>
      <charset val="1"/>
    </font>
    <font>
      <b/>
      <sz val="12"/>
      <color rgb="FFFFFFFF"/>
      <name val="Calibri"/>
      <charset val="1"/>
    </font>
    <font>
      <sz val="11"/>
      <color rgb="FF000000"/>
      <name val="Calibri"/>
      <charset val="1"/>
    </font>
    <font>
      <sz val="12"/>
      <color theme="1"/>
      <name val="Calibri"/>
      <family val="2"/>
      <scheme val="minor"/>
    </font>
    <font>
      <sz val="12"/>
      <name val="Aptos"/>
      <charset val="1"/>
    </font>
    <font>
      <sz val="11"/>
      <color rgb="FFFFFFFF"/>
      <name val="Calibri"/>
      <charset val="1"/>
    </font>
    <font>
      <b/>
      <sz val="11"/>
      <color rgb="FFFFFFFF"/>
      <name val="Calibri"/>
      <charset val="1"/>
    </font>
    <font>
      <sz val="10"/>
      <color rgb="FFFFFFFF"/>
      <name val="Calibri"/>
      <charset val="1"/>
    </font>
    <font>
      <b/>
      <sz val="10"/>
      <color rgb="FFFFFFFF"/>
      <name val="Calibri"/>
      <charset val="1"/>
    </font>
    <font>
      <sz val="12"/>
      <color rgb="FFFFFFFF"/>
      <name val="Calibri"/>
      <charset val="1"/>
    </font>
    <font>
      <sz val="11"/>
      <color rgb="FF006100"/>
      <name val="Calibri"/>
      <charset val="1"/>
    </font>
    <font>
      <b/>
      <sz val="11"/>
      <color rgb="FF006100"/>
      <name val="Calibri"/>
      <charset val="1"/>
    </font>
    <font>
      <sz val="11"/>
      <color theme="0"/>
      <name val="Calibri"/>
      <family val="2"/>
      <scheme val="minor"/>
    </font>
    <font>
      <sz val="14"/>
      <color theme="1"/>
      <name val="Calibri"/>
      <charset val="1"/>
    </font>
    <font>
      <sz val="11"/>
      <color rgb="FF000000"/>
      <name val="Calibri"/>
    </font>
  </fonts>
  <fills count="38">
    <fill>
      <patternFill patternType="none"/>
    </fill>
    <fill>
      <patternFill patternType="gray125"/>
    </fill>
    <fill>
      <patternFill patternType="solid">
        <fgColor theme="0" tint="-0.34998626667073579"/>
        <bgColor indexed="64"/>
      </patternFill>
    </fill>
    <fill>
      <patternFill patternType="solid">
        <fgColor theme="8" tint="-0.249977111117893"/>
        <bgColor indexed="64"/>
      </patternFill>
    </fill>
    <fill>
      <patternFill patternType="solid">
        <fgColor theme="9"/>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002060"/>
        <bgColor indexed="64"/>
      </patternFill>
    </fill>
    <fill>
      <patternFill patternType="solid">
        <fgColor theme="8" tint="-0.499984740745262"/>
        <bgColor indexed="64"/>
      </patternFill>
    </fill>
    <fill>
      <patternFill patternType="solid">
        <fgColor theme="1" tint="0.499984740745262"/>
        <bgColor indexed="64"/>
      </patternFill>
    </fill>
    <fill>
      <patternFill patternType="solid">
        <fgColor rgb="FF7030A0"/>
        <bgColor indexed="64"/>
      </patternFill>
    </fill>
    <fill>
      <patternFill patternType="solid">
        <fgColor rgb="FFCC99FF"/>
        <bgColor indexed="64"/>
      </patternFill>
    </fill>
    <fill>
      <patternFill patternType="solid">
        <fgColor rgb="FF92D050"/>
        <bgColor indexed="64"/>
      </patternFill>
    </fill>
    <fill>
      <patternFill patternType="solid">
        <fgColor theme="7" tint="0.39997558519241921"/>
        <bgColor indexed="64"/>
      </patternFill>
    </fill>
    <fill>
      <patternFill patternType="solid">
        <fgColor rgb="FFDDEBF7"/>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F2F2F2"/>
        <bgColor indexed="64"/>
      </patternFill>
    </fill>
    <fill>
      <patternFill patternType="solid">
        <fgColor theme="9" tint="0.39997558519241921"/>
        <bgColor indexed="64"/>
      </patternFill>
    </fill>
    <fill>
      <patternFill patternType="solid">
        <fgColor rgb="FFCC00CC"/>
        <bgColor indexed="64"/>
      </patternFill>
    </fill>
    <fill>
      <patternFill patternType="solid">
        <fgColor theme="5" tint="-0.249977111117893"/>
        <bgColor indexed="64"/>
      </patternFill>
    </fill>
    <fill>
      <patternFill patternType="solid">
        <fgColor rgb="FFFFC000"/>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FFFFF"/>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rgb="FFEAEFF7"/>
        <bgColor indexed="64"/>
      </patternFill>
    </fill>
    <fill>
      <patternFill patternType="solid">
        <fgColor rgb="FFCC66FF"/>
        <bgColor indexed="64"/>
      </patternFill>
    </fill>
    <fill>
      <patternFill patternType="solid">
        <fgColor rgb="FF4472C4"/>
        <bgColor indexed="64"/>
      </patternFill>
    </fill>
    <fill>
      <patternFill patternType="solid">
        <fgColor theme="9" tint="0.59999389629810485"/>
        <bgColor indexed="64"/>
      </patternFill>
    </fill>
    <fill>
      <patternFill patternType="solid">
        <fgColor rgb="FF9BC2E6"/>
        <bgColor indexed="64"/>
      </patternFill>
    </fill>
    <fill>
      <patternFill patternType="solid">
        <fgColor rgb="FFA9D08E"/>
        <bgColor indexed="64"/>
      </patternFill>
    </fill>
    <fill>
      <patternFill patternType="solid">
        <fgColor rgb="FFC6EFCE"/>
        <bgColor indexed="64"/>
      </patternFill>
    </fill>
    <fill>
      <patternFill patternType="solid">
        <fgColor theme="9" tint="-0.249977111117893"/>
        <bgColor indexed="64"/>
      </patternFill>
    </fill>
  </fills>
  <borders count="114">
    <border>
      <left/>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style="dashed">
        <color indexed="64"/>
      </left>
      <right style="dashed">
        <color indexed="64"/>
      </right>
      <top style="dashed">
        <color indexed="64"/>
      </top>
      <bottom/>
      <diagonal/>
    </border>
    <border>
      <left style="dashed">
        <color indexed="64"/>
      </left>
      <right style="dashed">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rgb="FF002060"/>
      </left>
      <right/>
      <top style="thin">
        <color rgb="FF002060"/>
      </top>
      <bottom/>
      <diagonal/>
    </border>
    <border>
      <left/>
      <right style="thin">
        <color rgb="FF002060"/>
      </right>
      <top style="thin">
        <color rgb="FF002060"/>
      </top>
      <bottom/>
      <diagonal/>
    </border>
    <border>
      <left style="thin">
        <color rgb="FF002060"/>
      </left>
      <right style="thin">
        <color rgb="FF002060"/>
      </right>
      <top style="thin">
        <color rgb="FF002060"/>
      </top>
      <bottom style="thin">
        <color rgb="FF002060"/>
      </bottom>
      <diagonal/>
    </border>
    <border>
      <left style="thin">
        <color rgb="FF002060"/>
      </left>
      <right/>
      <top/>
      <bottom/>
      <diagonal/>
    </border>
    <border>
      <left style="thin">
        <color rgb="FF002060"/>
      </left>
      <right/>
      <top/>
      <bottom style="thin">
        <color rgb="FF002060"/>
      </bottom>
      <diagonal/>
    </border>
    <border>
      <left/>
      <right style="thin">
        <color rgb="FF002060"/>
      </right>
      <top/>
      <bottom style="thin">
        <color rgb="FF002060"/>
      </bottom>
      <diagonal/>
    </border>
    <border>
      <left/>
      <right style="thin">
        <color rgb="FF002060"/>
      </right>
      <top/>
      <bottom/>
      <diagonal/>
    </border>
    <border>
      <left style="thin">
        <color theme="0"/>
      </left>
      <right style="thin">
        <color theme="0"/>
      </right>
      <top style="thin">
        <color rgb="FF002060"/>
      </top>
      <bottom/>
      <diagonal/>
    </border>
    <border>
      <left style="thin">
        <color theme="0"/>
      </left>
      <right style="thin">
        <color rgb="FF002060"/>
      </right>
      <top style="thin">
        <color rgb="FF002060"/>
      </top>
      <bottom/>
      <diagonal/>
    </border>
    <border>
      <left style="thin">
        <color rgb="FF002060"/>
      </left>
      <right/>
      <top style="thin">
        <color rgb="FF002060"/>
      </top>
      <bottom style="thin">
        <color rgb="FF002060"/>
      </bottom>
      <diagonal/>
    </border>
    <border>
      <left style="dashed">
        <color indexed="64"/>
      </left>
      <right/>
      <top style="dashed">
        <color indexed="64"/>
      </top>
      <bottom style="dash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medium">
        <color indexed="64"/>
      </right>
      <top style="medium">
        <color indexed="64"/>
      </top>
      <bottom style="dashed">
        <color indexed="64"/>
      </bottom>
      <diagonal/>
    </border>
    <border>
      <left style="medium">
        <color indexed="64"/>
      </left>
      <right/>
      <top style="medium">
        <color indexed="64"/>
      </top>
      <bottom style="dashed">
        <color indexed="64"/>
      </bottom>
      <diagonal/>
    </border>
    <border>
      <left style="medium">
        <color indexed="64"/>
      </left>
      <right/>
      <top style="dashed">
        <color indexed="64"/>
      </top>
      <bottom style="dashed">
        <color indexed="64"/>
      </bottom>
      <diagonal/>
    </border>
    <border>
      <left style="medium">
        <color indexed="64"/>
      </left>
      <right style="medium">
        <color indexed="64"/>
      </right>
      <top/>
      <bottom style="dotted">
        <color indexed="64"/>
      </bottom>
      <diagonal/>
    </border>
    <border>
      <left style="medium">
        <color indexed="64"/>
      </left>
      <right style="medium">
        <color indexed="64"/>
      </right>
      <top/>
      <bottom style="dashed">
        <color indexed="64"/>
      </bottom>
      <diagonal/>
    </border>
    <border>
      <left style="thin">
        <color rgb="FF000000"/>
      </left>
      <right style="thin">
        <color rgb="FF000000"/>
      </right>
      <top style="thin">
        <color rgb="FF000000"/>
      </top>
      <bottom style="thin">
        <color rgb="FF000000"/>
      </bottom>
      <diagonal/>
    </border>
    <border>
      <left style="dashed">
        <color indexed="64"/>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style="dashed">
        <color indexed="64"/>
      </right>
      <top/>
      <bottom style="dashed">
        <color indexed="64"/>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theme="8" tint="0.39997558519241921"/>
      </top>
      <bottom style="thin">
        <color theme="8" tint="0.39997558519241921"/>
      </bottom>
      <diagonal/>
    </border>
    <border>
      <left/>
      <right style="thin">
        <color indexed="64"/>
      </right>
      <top style="thin">
        <color theme="8" tint="0.39997558519241921"/>
      </top>
      <bottom style="thin">
        <color theme="8" tint="0.39997558519241921"/>
      </bottom>
      <diagonal/>
    </border>
    <border>
      <left style="medium">
        <color indexed="64"/>
      </left>
      <right/>
      <top/>
      <bottom/>
      <diagonal/>
    </border>
    <border>
      <left style="thin">
        <color theme="8" tint="0.39997558519241921"/>
      </left>
      <right/>
      <top style="thin">
        <color theme="8" tint="0.39997558519241921"/>
      </top>
      <bottom style="thin">
        <color theme="8" tint="0.39997558519241921"/>
      </bottom>
      <diagonal/>
    </border>
    <border>
      <left style="thin">
        <color rgb="FF000000"/>
      </left>
      <right style="thin">
        <color rgb="FF5B9BD5"/>
      </right>
      <top style="thin">
        <color rgb="FF000000"/>
      </top>
      <bottom style="thin">
        <color rgb="FF5B9BD5"/>
      </bottom>
      <diagonal/>
    </border>
    <border>
      <left style="thin">
        <color rgb="FF5B9BD5"/>
      </left>
      <right style="thin">
        <color rgb="FF000000"/>
      </right>
      <top style="thin">
        <color rgb="FF000000"/>
      </top>
      <bottom style="thin">
        <color rgb="FF5B9BD5"/>
      </bottom>
      <diagonal/>
    </border>
    <border>
      <left style="thin">
        <color rgb="FF000000"/>
      </left>
      <right style="thin">
        <color rgb="FF5B9BD5"/>
      </right>
      <top style="thin">
        <color rgb="FF5B9BD5"/>
      </top>
      <bottom style="thin">
        <color rgb="FF5B9BD5"/>
      </bottom>
      <diagonal/>
    </border>
    <border>
      <left style="thin">
        <color rgb="FF5B9BD5"/>
      </left>
      <right style="thin">
        <color rgb="FF000000"/>
      </right>
      <top style="thin">
        <color rgb="FF5B9BD5"/>
      </top>
      <bottom style="thin">
        <color rgb="FF5B9BD5"/>
      </bottom>
      <diagonal/>
    </border>
    <border>
      <left style="thin">
        <color rgb="FF000000"/>
      </left>
      <right style="thin">
        <color rgb="FF5B9BD5"/>
      </right>
      <top style="thin">
        <color rgb="FF5B9BD5"/>
      </top>
      <bottom style="thin">
        <color rgb="FF000000"/>
      </bottom>
      <diagonal/>
    </border>
    <border>
      <left style="thin">
        <color rgb="FF5B9BD5"/>
      </left>
      <right style="thin">
        <color rgb="FF000000"/>
      </right>
      <top style="thin">
        <color rgb="FF5B9BD5"/>
      </top>
      <bottom style="thin">
        <color rgb="FF000000"/>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right style="thin">
        <color theme="0"/>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ashed">
        <color indexed="64"/>
      </top>
      <bottom/>
      <diagonal/>
    </border>
    <border>
      <left style="medium">
        <color rgb="FF000000"/>
      </left>
      <right/>
      <top style="medium">
        <color rgb="FF000000"/>
      </top>
      <bottom style="thin">
        <color theme="8" tint="0.39997558519241921"/>
      </bottom>
      <diagonal/>
    </border>
    <border>
      <left/>
      <right/>
      <top style="medium">
        <color rgb="FF000000"/>
      </top>
      <bottom style="thin">
        <color theme="8" tint="0.39997558519241921"/>
      </bottom>
      <diagonal/>
    </border>
    <border>
      <left/>
      <right style="medium">
        <color rgb="FF000000"/>
      </right>
      <top style="medium">
        <color rgb="FF000000"/>
      </top>
      <bottom style="thin">
        <color theme="8" tint="0.39997558519241921"/>
      </bottom>
      <diagonal/>
    </border>
    <border>
      <left style="medium">
        <color rgb="FF000000"/>
      </left>
      <right/>
      <top style="thin">
        <color theme="8" tint="0.39997558519241921"/>
      </top>
      <bottom style="thin">
        <color theme="8" tint="0.39997558519241921"/>
      </bottom>
      <diagonal/>
    </border>
    <border>
      <left/>
      <right style="medium">
        <color rgb="FF000000"/>
      </right>
      <top style="thin">
        <color theme="8" tint="0.39997558519241921"/>
      </top>
      <bottom style="thin">
        <color theme="8" tint="0.39997558519241921"/>
      </bottom>
      <diagonal/>
    </border>
    <border>
      <left style="medium">
        <color rgb="FF000000"/>
      </left>
      <right/>
      <top style="thin">
        <color theme="8" tint="0.39997558519241921"/>
      </top>
      <bottom style="medium">
        <color rgb="FF000000"/>
      </bottom>
      <diagonal/>
    </border>
    <border>
      <left/>
      <right/>
      <top style="thin">
        <color theme="8" tint="0.39997558519241921"/>
      </top>
      <bottom style="medium">
        <color rgb="FF000000"/>
      </bottom>
      <diagonal/>
    </border>
    <border>
      <left/>
      <right style="medium">
        <color rgb="FF000000"/>
      </right>
      <top style="thin">
        <color theme="8" tint="0.39997558519241921"/>
      </top>
      <bottom style="medium">
        <color rgb="FF000000"/>
      </bottom>
      <diagonal/>
    </border>
    <border>
      <left style="thin">
        <color rgb="FF000000"/>
      </left>
      <right/>
      <top style="thin">
        <color rgb="FF000000"/>
      </top>
      <bottom style="thin">
        <color rgb="FF9BC2E6"/>
      </bottom>
      <diagonal/>
    </border>
    <border>
      <left/>
      <right/>
      <top style="thin">
        <color rgb="FF000000"/>
      </top>
      <bottom style="thin">
        <color rgb="FF9BC2E6"/>
      </bottom>
      <diagonal/>
    </border>
    <border>
      <left/>
      <right style="thin">
        <color rgb="FF000000"/>
      </right>
      <top style="thin">
        <color rgb="FF000000"/>
      </top>
      <bottom style="thin">
        <color rgb="FF9BC2E6"/>
      </bottom>
      <diagonal/>
    </border>
    <border>
      <left style="thin">
        <color rgb="FF000000"/>
      </left>
      <right/>
      <top style="thin">
        <color rgb="FF9BC2E6"/>
      </top>
      <bottom style="thin">
        <color rgb="FF9BC2E6"/>
      </bottom>
      <diagonal/>
    </border>
    <border>
      <left/>
      <right/>
      <top style="thin">
        <color rgb="FF9BC2E6"/>
      </top>
      <bottom style="thin">
        <color rgb="FF9BC2E6"/>
      </bottom>
      <diagonal/>
    </border>
    <border>
      <left/>
      <right style="thin">
        <color rgb="FF000000"/>
      </right>
      <top style="thin">
        <color rgb="FF9BC2E6"/>
      </top>
      <bottom style="thin">
        <color rgb="FF9BC2E6"/>
      </bottom>
      <diagonal/>
    </border>
    <border>
      <left style="thin">
        <color rgb="FF000000"/>
      </left>
      <right/>
      <top style="thin">
        <color rgb="FF9BC2E6"/>
      </top>
      <bottom style="thin">
        <color rgb="FF000000"/>
      </bottom>
      <diagonal/>
    </border>
    <border>
      <left/>
      <right/>
      <top style="thin">
        <color rgb="FF9BC2E6"/>
      </top>
      <bottom style="thin">
        <color rgb="FF000000"/>
      </bottom>
      <diagonal/>
    </border>
    <border>
      <left/>
      <right style="thin">
        <color rgb="FF000000"/>
      </right>
      <top style="thin">
        <color rgb="FF9BC2E6"/>
      </top>
      <bottom style="thin">
        <color rgb="FF000000"/>
      </bottom>
      <diagonal/>
    </border>
    <border>
      <left style="medium">
        <color rgb="FF000000"/>
      </left>
      <right/>
      <top style="medium">
        <color rgb="FF000000"/>
      </top>
      <bottom style="thin">
        <color rgb="FF9BC2E6"/>
      </bottom>
      <diagonal/>
    </border>
    <border>
      <left style="thin">
        <color rgb="FF000000"/>
      </left>
      <right style="medium">
        <color rgb="FF000000"/>
      </right>
      <top style="medium">
        <color rgb="FF000000"/>
      </top>
      <bottom style="thin">
        <color rgb="FF9BC2E6"/>
      </bottom>
      <diagonal/>
    </border>
    <border>
      <left style="medium">
        <color rgb="FF000000"/>
      </left>
      <right/>
      <top style="thin">
        <color rgb="FF9BC2E6"/>
      </top>
      <bottom style="thin">
        <color rgb="FF9BC2E6"/>
      </bottom>
      <diagonal/>
    </border>
    <border>
      <left style="medium">
        <color rgb="FF000000"/>
      </left>
      <right/>
      <top style="thin">
        <color rgb="FF9BC2E6"/>
      </top>
      <bottom style="medium">
        <color rgb="FF000000"/>
      </bottom>
      <diagonal/>
    </border>
    <border>
      <left style="medium">
        <color rgb="FF000000"/>
      </left>
      <right style="medium">
        <color rgb="FF000000"/>
      </right>
      <top style="medium">
        <color rgb="FF000000"/>
      </top>
      <bottom style="thin">
        <color rgb="FF9BC2E6"/>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thin">
        <color rgb="FF9BC2E6"/>
      </top>
      <bottom style="thin">
        <color rgb="FF9BC2E6"/>
      </bottom>
      <diagonal/>
    </border>
    <border>
      <left style="medium">
        <color rgb="FF000000"/>
      </left>
      <right style="medium">
        <color rgb="FF000000"/>
      </right>
      <top style="thin">
        <color rgb="FF9BC2E6"/>
      </top>
      <bottom style="medium">
        <color rgb="FF000000"/>
      </bottom>
      <diagonal/>
    </border>
    <border>
      <left style="thin">
        <color rgb="FF000000"/>
      </left>
      <right style="dashed">
        <color rgb="FF000000"/>
      </right>
      <top style="thin">
        <color rgb="FF000000"/>
      </top>
      <bottom/>
      <diagonal/>
    </border>
    <border>
      <left style="dashed">
        <color rgb="FF000000"/>
      </left>
      <right style="dashed">
        <color rgb="FF000000"/>
      </right>
      <top style="thin">
        <color rgb="FF000000"/>
      </top>
      <bottom/>
      <diagonal/>
    </border>
    <border>
      <left style="dashed">
        <color rgb="FF000000"/>
      </left>
      <right style="thin">
        <color rgb="FF000000"/>
      </right>
      <top style="thin">
        <color rgb="FF000000"/>
      </top>
      <bottom/>
      <diagonal/>
    </border>
    <border>
      <left style="thin">
        <color rgb="FF000000"/>
      </left>
      <right style="thin">
        <color rgb="FF000000"/>
      </right>
      <top style="dashed">
        <color rgb="FF000000"/>
      </top>
      <bottom style="dashed">
        <color rgb="FF000000"/>
      </bottom>
      <diagonal/>
    </border>
    <border>
      <left style="thin">
        <color rgb="FF000000"/>
      </left>
      <right style="dashed">
        <color rgb="FF000000"/>
      </right>
      <top style="dashed">
        <color rgb="FF000000"/>
      </top>
      <bottom style="dashed">
        <color rgb="FF000000"/>
      </bottom>
      <diagonal/>
    </border>
    <border>
      <left style="dashed">
        <color rgb="FF000000"/>
      </left>
      <right style="dashed">
        <color rgb="FF000000"/>
      </right>
      <top style="dashed">
        <color rgb="FF000000"/>
      </top>
      <bottom style="dashed">
        <color rgb="FF000000"/>
      </bottom>
      <diagonal/>
    </border>
    <border>
      <left style="dashed">
        <color rgb="FF000000"/>
      </left>
      <right style="thin">
        <color rgb="FF000000"/>
      </right>
      <top style="dashed">
        <color rgb="FF000000"/>
      </top>
      <bottom style="dashed">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7">
    <xf numFmtId="0" fontId="0" fillId="0" borderId="0"/>
    <xf numFmtId="0" fontId="1" fillId="0" borderId="0"/>
    <xf numFmtId="0" fontId="1" fillId="0" borderId="0"/>
    <xf numFmtId="0" fontId="1" fillId="0" borderId="0"/>
    <xf numFmtId="0" fontId="1" fillId="0" borderId="0"/>
    <xf numFmtId="43" fontId="2" fillId="0" borderId="0" applyFont="0" applyFill="0" applyBorder="0" applyAlignment="0" applyProtection="0"/>
    <xf numFmtId="9" fontId="2" fillId="0" borderId="0" applyFont="0" applyFill="0" applyBorder="0" applyAlignment="0" applyProtection="0"/>
  </cellStyleXfs>
  <cellXfs count="427">
    <xf numFmtId="0" fontId="0" fillId="0" borderId="0" xfId="0"/>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xf numFmtId="164" fontId="0" fillId="0" borderId="0" xfId="5" applyNumberFormat="1" applyFont="1" applyAlignment="1">
      <alignment horizontal="center" vertical="center"/>
    </xf>
    <xf numFmtId="0" fontId="0" fillId="0" borderId="0" xfId="0" applyAlignment="1">
      <alignment vertical="center"/>
    </xf>
    <xf numFmtId="0" fontId="0" fillId="0" borderId="0" xfId="0" applyAlignment="1">
      <alignment horizontal="center"/>
    </xf>
    <xf numFmtId="17" fontId="0" fillId="0" borderId="1" xfId="0" applyNumberFormat="1" applyBorder="1"/>
    <xf numFmtId="164" fontId="0" fillId="0" borderId="1" xfId="5" applyNumberFormat="1" applyFont="1" applyBorder="1" applyAlignment="1">
      <alignment vertical="center"/>
    </xf>
    <xf numFmtId="43" fontId="0" fillId="0" borderId="1" xfId="0" applyNumberFormat="1" applyBorder="1" applyAlignment="1">
      <alignment horizontal="center"/>
    </xf>
    <xf numFmtId="0" fontId="0" fillId="0" borderId="1" xfId="0" applyBorder="1"/>
    <xf numFmtId="0" fontId="7" fillId="5" borderId="1" xfId="0" applyFont="1" applyFill="1" applyBorder="1" applyAlignment="1">
      <alignment horizontal="center" vertical="center" textRotation="90" wrapText="1"/>
    </xf>
    <xf numFmtId="43" fontId="0" fillId="0" borderId="1" xfId="0" applyNumberFormat="1" applyBorder="1"/>
    <xf numFmtId="43" fontId="4" fillId="0" borderId="1" xfId="0" applyNumberFormat="1" applyFont="1" applyBorder="1" applyAlignment="1">
      <alignment horizontal="center"/>
    </xf>
    <xf numFmtId="165" fontId="0" fillId="0" borderId="1" xfId="6" applyNumberFormat="1" applyFont="1" applyBorder="1"/>
    <xf numFmtId="0" fontId="7" fillId="8" borderId="1" xfId="0" applyFont="1" applyFill="1" applyBorder="1" applyAlignment="1">
      <alignment horizontal="center" vertical="center" textRotation="90" wrapText="1"/>
    </xf>
    <xf numFmtId="9" fontId="0" fillId="0" borderId="0" xfId="0" applyNumberFormat="1"/>
    <xf numFmtId="0" fontId="13" fillId="4" borderId="2" xfId="0" applyFont="1" applyFill="1" applyBorder="1" applyAlignment="1">
      <alignment horizontal="center" vertical="center" wrapText="1"/>
    </xf>
    <xf numFmtId="0" fontId="13" fillId="5" borderId="1" xfId="0" applyFont="1" applyFill="1" applyBorder="1" applyAlignment="1">
      <alignment horizontal="center" vertical="center" textRotation="90" wrapText="1"/>
    </xf>
    <xf numFmtId="0" fontId="14" fillId="0" borderId="0" xfId="0" applyFont="1" applyAlignment="1">
      <alignment horizontal="center"/>
    </xf>
    <xf numFmtId="10" fontId="4" fillId="0" borderId="0" xfId="0" applyNumberFormat="1" applyFont="1"/>
    <xf numFmtId="0" fontId="15" fillId="0" borderId="5" xfId="0" applyFont="1" applyBorder="1" applyAlignment="1">
      <alignment vertical="center"/>
    </xf>
    <xf numFmtId="0" fontId="16" fillId="15" borderId="6" xfId="0" applyFont="1" applyFill="1" applyBorder="1" applyAlignment="1">
      <alignment horizontal="center" vertical="center" wrapText="1"/>
    </xf>
    <xf numFmtId="165" fontId="0" fillId="0" borderId="0" xfId="6" applyNumberFormat="1" applyFont="1"/>
    <xf numFmtId="0" fontId="17" fillId="0" borderId="7" xfId="0" applyFont="1" applyBorder="1" applyAlignment="1">
      <alignment vertical="center"/>
    </xf>
    <xf numFmtId="0" fontId="18" fillId="16" borderId="8" xfId="0" applyFont="1" applyFill="1" applyBorder="1" applyAlignment="1">
      <alignment vertical="center"/>
    </xf>
    <xf numFmtId="165" fontId="4" fillId="0" borderId="0" xfId="0" applyNumberFormat="1" applyFont="1"/>
    <xf numFmtId="0" fontId="17" fillId="17" borderId="7" xfId="0" applyFont="1" applyFill="1" applyBorder="1" applyAlignment="1">
      <alignment vertical="center"/>
    </xf>
    <xf numFmtId="0" fontId="0" fillId="0" borderId="0" xfId="0" applyAlignment="1" applyProtection="1">
      <alignment horizontal="center" vertical="center"/>
      <protection locked="0"/>
    </xf>
    <xf numFmtId="22" fontId="0" fillId="0" borderId="0" xfId="0" applyNumberFormat="1" applyAlignment="1" applyProtection="1">
      <alignment horizontal="center" vertical="center"/>
      <protection locked="0"/>
    </xf>
    <xf numFmtId="0" fontId="0" fillId="0" borderId="0" xfId="0" applyAlignment="1" applyProtection="1">
      <alignment horizontal="left" vertical="center"/>
      <protection locked="0"/>
    </xf>
    <xf numFmtId="0" fontId="6" fillId="13" borderId="0" xfId="0" applyFont="1" applyFill="1" applyAlignment="1" applyProtection="1">
      <alignment horizontal="center" vertical="center" textRotation="90" wrapText="1"/>
      <protection locked="0"/>
    </xf>
    <xf numFmtId="0" fontId="6" fillId="8" borderId="0" xfId="0" applyFont="1" applyFill="1" applyAlignment="1" applyProtection="1">
      <alignment horizontal="center" vertical="center" textRotation="90" wrapText="1"/>
      <protection locked="0"/>
    </xf>
    <xf numFmtId="0" fontId="6" fillId="5" borderId="0" xfId="0" applyFont="1" applyFill="1" applyAlignment="1" applyProtection="1">
      <alignment horizontal="center" vertical="center" textRotation="90"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wrapText="1"/>
      <protection locked="0"/>
    </xf>
    <xf numFmtId="0" fontId="21" fillId="0" borderId="11" xfId="0" applyFont="1" applyBorder="1" applyAlignment="1">
      <alignment horizontal="center" vertical="center" wrapText="1"/>
    </xf>
    <xf numFmtId="1" fontId="22" fillId="20" borderId="11" xfId="0" applyNumberFormat="1" applyFont="1" applyFill="1" applyBorder="1" applyAlignment="1">
      <alignment horizontal="center" vertical="center" wrapText="1"/>
    </xf>
    <xf numFmtId="14" fontId="22" fillId="20" borderId="11" xfId="0" applyNumberFormat="1" applyFont="1" applyFill="1" applyBorder="1" applyAlignment="1">
      <alignment horizontal="center" vertical="center" wrapText="1"/>
    </xf>
    <xf numFmtId="0" fontId="6" fillId="2" borderId="0" xfId="0" applyFont="1" applyFill="1" applyAlignment="1" applyProtection="1">
      <alignment horizontal="center" vertical="center" wrapText="1"/>
      <protection locked="0"/>
    </xf>
    <xf numFmtId="0" fontId="6" fillId="14" borderId="0" xfId="0" applyFont="1" applyFill="1" applyAlignment="1" applyProtection="1">
      <alignment horizontal="center" vertical="center" wrapText="1"/>
      <protection locked="0"/>
    </xf>
    <xf numFmtId="0" fontId="6" fillId="0" borderId="0" xfId="0" applyFont="1" applyAlignment="1" applyProtection="1">
      <alignment horizontal="center" vertical="center"/>
      <protection locked="0"/>
    </xf>
    <xf numFmtId="22" fontId="6"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23" fillId="0" borderId="0" xfId="0" applyFont="1" applyAlignment="1" applyProtection="1">
      <alignment horizontal="center" vertical="center"/>
      <protection locked="0"/>
    </xf>
    <xf numFmtId="0" fontId="25" fillId="0" borderId="11" xfId="0" applyFont="1" applyBorder="1" applyAlignment="1">
      <alignment horizontal="center" vertical="center" wrapText="1"/>
    </xf>
    <xf numFmtId="0" fontId="14" fillId="18" borderId="0" xfId="0" applyFont="1" applyFill="1" applyAlignment="1" applyProtection="1">
      <alignment horizontal="center" vertical="center"/>
      <protection locked="0"/>
    </xf>
    <xf numFmtId="0" fontId="13" fillId="9" borderId="16" xfId="0" applyFont="1" applyFill="1" applyBorder="1" applyAlignment="1">
      <alignment horizontal="center" vertical="center" wrapText="1"/>
    </xf>
    <xf numFmtId="0" fontId="13" fillId="9" borderId="17" xfId="0" applyFont="1" applyFill="1" applyBorder="1" applyAlignment="1">
      <alignment horizontal="center" vertical="center" wrapText="1"/>
    </xf>
    <xf numFmtId="14" fontId="25" fillId="0" borderId="11" xfId="0" applyNumberFormat="1" applyFont="1" applyBorder="1" applyAlignment="1">
      <alignment horizontal="center" vertical="center" wrapText="1"/>
    </xf>
    <xf numFmtId="0" fontId="14" fillId="0" borderId="0" xfId="0" applyFont="1" applyAlignment="1" applyProtection="1">
      <alignment horizontal="center" vertical="center"/>
      <protection locked="0"/>
    </xf>
    <xf numFmtId="22" fontId="14" fillId="0" borderId="0" xfId="0" applyNumberFormat="1" applyFont="1" applyAlignment="1" applyProtection="1">
      <alignment horizontal="center" vertical="center"/>
      <protection locked="0"/>
    </xf>
    <xf numFmtId="0" fontId="14" fillId="0" borderId="0" xfId="0" applyFont="1" applyAlignment="1" applyProtection="1">
      <alignment horizontal="left" vertical="center"/>
      <protection locked="0"/>
    </xf>
    <xf numFmtId="0" fontId="9" fillId="8" borderId="1" xfId="0" applyFont="1" applyFill="1" applyBorder="1" applyAlignment="1">
      <alignment horizontal="center" vertical="center" textRotation="90"/>
    </xf>
    <xf numFmtId="0" fontId="9" fillId="8" borderId="23" xfId="0" applyFont="1" applyFill="1" applyBorder="1" applyAlignment="1">
      <alignment horizontal="center" vertical="center" textRotation="90"/>
    </xf>
    <xf numFmtId="2" fontId="0" fillId="0" borderId="23" xfId="0" applyNumberFormat="1" applyBorder="1" applyAlignment="1">
      <alignment horizontal="center"/>
    </xf>
    <xf numFmtId="2" fontId="0" fillId="0" borderId="1" xfId="0" applyNumberFormat="1" applyBorder="1" applyAlignment="1">
      <alignment horizontal="center"/>
    </xf>
    <xf numFmtId="164" fontId="0" fillId="0" borderId="0" xfId="0" applyNumberFormat="1" applyAlignment="1">
      <alignment horizontal="center"/>
    </xf>
    <xf numFmtId="2" fontId="19" fillId="8" borderId="1" xfId="6" applyNumberFormat="1" applyFont="1" applyFill="1" applyBorder="1" applyAlignment="1">
      <alignment horizontal="center" vertical="center" wrapText="1"/>
    </xf>
    <xf numFmtId="2" fontId="13" fillId="10" borderId="2" xfId="6" applyNumberFormat="1" applyFont="1" applyFill="1" applyBorder="1" applyAlignment="1">
      <alignment horizontal="center" vertical="center" wrapText="1"/>
    </xf>
    <xf numFmtId="166" fontId="13" fillId="10" borderId="2" xfId="6" applyNumberFormat="1" applyFont="1" applyFill="1" applyBorder="1" applyAlignment="1">
      <alignment horizontal="center" vertical="center" wrapText="1"/>
    </xf>
    <xf numFmtId="2" fontId="7" fillId="10" borderId="2" xfId="0" applyNumberFormat="1" applyFont="1" applyFill="1" applyBorder="1" applyAlignment="1">
      <alignment horizontal="center" vertical="center" wrapText="1"/>
    </xf>
    <xf numFmtId="0" fontId="9" fillId="21" borderId="24" xfId="0" applyFont="1" applyFill="1" applyBorder="1" applyAlignment="1">
      <alignment horizontal="center" vertical="center" textRotation="90"/>
    </xf>
    <xf numFmtId="43" fontId="4" fillId="0" borderId="24" xfId="0" applyNumberFormat="1" applyFont="1" applyBorder="1" applyAlignment="1">
      <alignment horizontal="center"/>
    </xf>
    <xf numFmtId="43" fontId="4" fillId="0" borderId="27" xfId="0" applyNumberFormat="1" applyFont="1" applyBorder="1" applyAlignment="1">
      <alignment horizontal="center"/>
    </xf>
    <xf numFmtId="0" fontId="9" fillId="9" borderId="26" xfId="0" applyFont="1" applyFill="1" applyBorder="1" applyAlignment="1">
      <alignment horizontal="center" vertical="center" textRotation="90"/>
    </xf>
    <xf numFmtId="0" fontId="7" fillId="9" borderId="5" xfId="0" applyFont="1" applyFill="1" applyBorder="1" applyAlignment="1">
      <alignment horizontal="center" vertical="center" textRotation="90" wrapText="1"/>
    </xf>
    <xf numFmtId="0" fontId="9" fillId="9" borderId="25" xfId="0" applyFont="1" applyFill="1" applyBorder="1" applyAlignment="1">
      <alignment horizontal="center" vertical="center" textRotation="90"/>
    </xf>
    <xf numFmtId="1" fontId="0" fillId="0" borderId="23" xfId="0" applyNumberFormat="1" applyBorder="1" applyAlignment="1">
      <alignment horizontal="center"/>
    </xf>
    <xf numFmtId="10" fontId="4" fillId="0" borderId="28" xfId="6" applyNumberFormat="1" applyFont="1" applyBorder="1" applyAlignment="1">
      <alignment horizontal="center"/>
    </xf>
    <xf numFmtId="43" fontId="0" fillId="0" borderId="29" xfId="0" applyNumberFormat="1" applyBorder="1"/>
    <xf numFmtId="0" fontId="7" fillId="8" borderId="30" xfId="0" applyFont="1" applyFill="1" applyBorder="1" applyAlignment="1">
      <alignment horizontal="center" vertical="center" textRotation="90" wrapText="1"/>
    </xf>
    <xf numFmtId="0" fontId="17" fillId="16" borderId="7" xfId="0" applyFont="1" applyFill="1" applyBorder="1" applyAlignment="1">
      <alignment vertical="center"/>
    </xf>
    <xf numFmtId="10" fontId="0" fillId="0" borderId="0" xfId="6" applyNumberFormat="1" applyFont="1"/>
    <xf numFmtId="0" fontId="7" fillId="25" borderId="1" xfId="0" applyFont="1" applyFill="1" applyBorder="1" applyAlignment="1">
      <alignment horizontal="center" vertical="center" textRotation="90" wrapText="1"/>
    </xf>
    <xf numFmtId="0" fontId="7" fillId="26" borderId="1" xfId="0" applyFont="1" applyFill="1" applyBorder="1" applyAlignment="1">
      <alignment horizontal="center" vertical="center" textRotation="90" wrapText="1"/>
    </xf>
    <xf numFmtId="0" fontId="7" fillId="24" borderId="1" xfId="0" applyFont="1" applyFill="1" applyBorder="1" applyAlignment="1">
      <alignment horizontal="center" vertical="center" textRotation="90" wrapText="1"/>
    </xf>
    <xf numFmtId="9" fontId="0" fillId="0" borderId="1" xfId="0" applyNumberFormat="1" applyBorder="1"/>
    <xf numFmtId="10" fontId="4" fillId="0" borderId="1" xfId="6" applyNumberFormat="1" applyFont="1" applyBorder="1" applyAlignment="1">
      <alignment horizontal="center"/>
    </xf>
    <xf numFmtId="9" fontId="0" fillId="0" borderId="0" xfId="6" applyFont="1"/>
    <xf numFmtId="43" fontId="0" fillId="0" borderId="0" xfId="0" applyNumberFormat="1"/>
    <xf numFmtId="43" fontId="0" fillId="0" borderId="0" xfId="5" applyFont="1"/>
    <xf numFmtId="0" fontId="0" fillId="0" borderId="30" xfId="0" applyBorder="1"/>
    <xf numFmtId="0" fontId="6" fillId="0" borderId="30" xfId="0" applyFont="1" applyBorder="1" applyAlignment="1">
      <alignment horizontal="center" vertical="center"/>
    </xf>
    <xf numFmtId="0" fontId="6" fillId="0" borderId="35" xfId="0" applyFont="1" applyBorder="1" applyAlignment="1">
      <alignment horizontal="center" vertical="center"/>
    </xf>
    <xf numFmtId="0" fontId="0" fillId="0" borderId="37" xfId="0" applyBorder="1" applyAlignment="1">
      <alignment horizontal="center"/>
    </xf>
    <xf numFmtId="0" fontId="0" fillId="0" borderId="30" xfId="0" applyBorder="1" applyAlignment="1">
      <alignment horizontal="center" vertical="center"/>
    </xf>
    <xf numFmtId="14" fontId="0" fillId="0" borderId="30" xfId="0" applyNumberFormat="1" applyBorder="1" applyAlignment="1">
      <alignment vertical="center"/>
    </xf>
    <xf numFmtId="0" fontId="26" fillId="0" borderId="0" xfId="0" applyFont="1"/>
    <xf numFmtId="0" fontId="0" fillId="0" borderId="30" xfId="0" applyBorder="1" applyAlignment="1">
      <alignment wrapText="1"/>
    </xf>
    <xf numFmtId="0" fontId="0" fillId="0" borderId="36" xfId="0" applyBorder="1" applyAlignment="1">
      <alignment horizontal="center" vertical="center"/>
    </xf>
    <xf numFmtId="14" fontId="0" fillId="0" borderId="30" xfId="0" applyNumberFormat="1" applyBorder="1"/>
    <xf numFmtId="0" fontId="0" fillId="0" borderId="36" xfId="0" applyBorder="1" applyAlignment="1">
      <alignment horizontal="center"/>
    </xf>
    <xf numFmtId="0" fontId="0" fillId="0" borderId="37" xfId="0" applyBorder="1" applyAlignment="1">
      <alignment horizontal="center" vertical="center"/>
    </xf>
    <xf numFmtId="0" fontId="0" fillId="0" borderId="30" xfId="0" applyBorder="1" applyAlignment="1">
      <alignment horizontal="center"/>
    </xf>
    <xf numFmtId="0" fontId="0" fillId="0" borderId="30" xfId="0" applyBorder="1" applyAlignment="1">
      <alignment horizontal="left" wrapText="1"/>
    </xf>
    <xf numFmtId="0" fontId="0" fillId="0" borderId="37" xfId="0" applyBorder="1" applyAlignment="1">
      <alignment horizontal="center" vertical="center" indent="1"/>
    </xf>
    <xf numFmtId="0" fontId="0" fillId="0" borderId="30" xfId="0" applyBorder="1" applyAlignment="1">
      <alignment horizontal="left" vertical="center" wrapText="1"/>
    </xf>
    <xf numFmtId="14" fontId="0" fillId="0" borderId="30" xfId="0" applyNumberFormat="1" applyBorder="1" applyAlignment="1">
      <alignment horizontal="right" vertical="center"/>
    </xf>
    <xf numFmtId="0" fontId="0" fillId="0" borderId="38" xfId="0" applyBorder="1"/>
    <xf numFmtId="14" fontId="0" fillId="0" borderId="38" xfId="0" applyNumberFormat="1" applyBorder="1"/>
    <xf numFmtId="0" fontId="0" fillId="0" borderId="40" xfId="0" applyBorder="1" applyAlignment="1">
      <alignment horizontal="center"/>
    </xf>
    <xf numFmtId="14" fontId="0" fillId="0" borderId="43" xfId="0" applyNumberFormat="1" applyBorder="1"/>
    <xf numFmtId="14" fontId="0" fillId="0" borderId="44" xfId="0" applyNumberFormat="1" applyBorder="1"/>
    <xf numFmtId="0" fontId="0" fillId="0" borderId="38" xfId="0" applyBorder="1" applyAlignment="1">
      <alignment horizontal="center" vertical="center"/>
    </xf>
    <xf numFmtId="0" fontId="0" fillId="0" borderId="38" xfId="0" applyBorder="1" applyAlignment="1">
      <alignment wrapText="1"/>
    </xf>
    <xf numFmtId="0" fontId="0" fillId="0" borderId="30" xfId="0" applyBorder="1" applyAlignment="1">
      <alignment horizontal="center" vertical="center" indent="2"/>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xf numFmtId="0" fontId="0" fillId="0" borderId="39" xfId="0" applyBorder="1" applyAlignment="1">
      <alignment horizontal="center"/>
    </xf>
    <xf numFmtId="0" fontId="0" fillId="0" borderId="38" xfId="0" applyBorder="1" applyAlignment="1">
      <alignment horizontal="center"/>
    </xf>
    <xf numFmtId="0" fontId="15" fillId="0" borderId="0" xfId="0" applyFont="1" applyAlignment="1">
      <alignment wrapText="1"/>
    </xf>
    <xf numFmtId="22" fontId="0" fillId="0" borderId="45" xfId="0" applyNumberFormat="1" applyBorder="1" applyAlignment="1" applyProtection="1">
      <alignment horizontal="center" vertical="center"/>
      <protection locked="0"/>
    </xf>
    <xf numFmtId="0" fontId="0" fillId="0" borderId="45" xfId="0" applyBorder="1" applyAlignment="1" applyProtection="1">
      <alignment horizontal="left" vertical="center"/>
      <protection locked="0"/>
    </xf>
    <xf numFmtId="0" fontId="0" fillId="0" borderId="45" xfId="0" applyBorder="1" applyAlignment="1" applyProtection="1">
      <alignment horizontal="center" vertical="center" wrapText="1"/>
      <protection locked="0"/>
    </xf>
    <xf numFmtId="0" fontId="0" fillId="0" borderId="45" xfId="0" applyBorder="1" applyAlignment="1" applyProtection="1">
      <alignment horizontal="center" vertical="center"/>
      <protection locked="0"/>
    </xf>
    <xf numFmtId="10" fontId="4" fillId="0" borderId="28" xfId="6" applyNumberFormat="1" applyFont="1" applyFill="1" applyBorder="1" applyAlignment="1">
      <alignment horizontal="center"/>
    </xf>
    <xf numFmtId="164" fontId="0" fillId="27" borderId="1" xfId="5" applyNumberFormat="1" applyFont="1" applyFill="1" applyBorder="1" applyAlignment="1">
      <alignment vertical="center"/>
    </xf>
    <xf numFmtId="43" fontId="0" fillId="27" borderId="1" xfId="0" applyNumberFormat="1" applyFill="1" applyBorder="1" applyAlignment="1">
      <alignment horizontal="center"/>
    </xf>
    <xf numFmtId="43" fontId="4" fillId="27" borderId="1" xfId="0" applyNumberFormat="1" applyFont="1" applyFill="1" applyBorder="1" applyAlignment="1">
      <alignment horizontal="center"/>
    </xf>
    <xf numFmtId="43" fontId="0" fillId="27" borderId="1" xfId="0" applyNumberFormat="1" applyFill="1" applyBorder="1"/>
    <xf numFmtId="165" fontId="0" fillId="27" borderId="1" xfId="6" applyNumberFormat="1" applyFont="1" applyFill="1" applyBorder="1"/>
    <xf numFmtId="43" fontId="4" fillId="17" borderId="1" xfId="0" applyNumberFormat="1" applyFont="1" applyFill="1" applyBorder="1" applyAlignment="1">
      <alignment horizontal="center"/>
    </xf>
    <xf numFmtId="0" fontId="10" fillId="8" borderId="45" xfId="0" applyFont="1" applyFill="1" applyBorder="1" applyAlignment="1">
      <alignment horizontal="center" vertical="center" textRotation="90" wrapText="1"/>
    </xf>
    <xf numFmtId="0" fontId="4" fillId="0" borderId="47" xfId="0" applyFont="1" applyBorder="1" applyAlignment="1">
      <alignment horizontal="center"/>
    </xf>
    <xf numFmtId="0" fontId="14" fillId="0" borderId="0" xfId="0" applyFont="1" applyAlignment="1" applyProtection="1">
      <alignment horizontal="left" vertical="center" wrapText="1"/>
      <protection locked="0"/>
    </xf>
    <xf numFmtId="0" fontId="0" fillId="0" borderId="45" xfId="0" applyBorder="1" applyAlignment="1" applyProtection="1">
      <alignment horizontal="left" vertical="center" wrapText="1"/>
      <protection locked="0"/>
    </xf>
    <xf numFmtId="0" fontId="27" fillId="13" borderId="0" xfId="0" applyFont="1" applyFill="1" applyAlignment="1" applyProtection="1">
      <alignment horizontal="center" vertical="center" textRotation="90" wrapText="1"/>
      <protection locked="0"/>
    </xf>
    <xf numFmtId="0" fontId="0" fillId="27" borderId="0" xfId="0" applyFill="1"/>
    <xf numFmtId="17" fontId="0" fillId="27" borderId="1" xfId="0" applyNumberFormat="1" applyFill="1" applyBorder="1"/>
    <xf numFmtId="0" fontId="0" fillId="27" borderId="19" xfId="0" applyFill="1" applyBorder="1"/>
    <xf numFmtId="0" fontId="0" fillId="19" borderId="19" xfId="0" applyFill="1" applyBorder="1"/>
    <xf numFmtId="1" fontId="0" fillId="19" borderId="23" xfId="0" applyNumberFormat="1" applyFill="1" applyBorder="1" applyAlignment="1">
      <alignment horizontal="center"/>
    </xf>
    <xf numFmtId="2" fontId="0" fillId="19" borderId="23" xfId="0" applyNumberFormat="1" applyFill="1" applyBorder="1" applyAlignment="1">
      <alignment horizontal="center"/>
    </xf>
    <xf numFmtId="2" fontId="0" fillId="19" borderId="1" xfId="0" applyNumberFormat="1" applyFill="1" applyBorder="1" applyAlignment="1">
      <alignment horizontal="center"/>
    </xf>
    <xf numFmtId="43" fontId="4" fillId="19" borderId="24" xfId="0" applyNumberFormat="1" applyFont="1" applyFill="1" applyBorder="1" applyAlignment="1">
      <alignment horizontal="center"/>
    </xf>
    <xf numFmtId="43" fontId="4" fillId="19" borderId="27" xfId="0" applyNumberFormat="1" applyFont="1" applyFill="1" applyBorder="1" applyAlignment="1">
      <alignment horizontal="center"/>
    </xf>
    <xf numFmtId="43" fontId="0" fillId="19" borderId="29" xfId="0" applyNumberFormat="1" applyFill="1" applyBorder="1"/>
    <xf numFmtId="10" fontId="4" fillId="19" borderId="28" xfId="6" applyNumberFormat="1" applyFont="1" applyFill="1" applyBorder="1" applyAlignment="1">
      <alignment horizontal="center"/>
    </xf>
    <xf numFmtId="0" fontId="0" fillId="0" borderId="19" xfId="0" applyBorder="1"/>
    <xf numFmtId="0" fontId="0" fillId="19" borderId="1" xfId="0" applyFill="1" applyBorder="1"/>
    <xf numFmtId="164" fontId="0" fillId="19" borderId="1" xfId="5" applyNumberFormat="1" applyFont="1" applyFill="1" applyBorder="1" applyAlignment="1">
      <alignment vertical="center"/>
    </xf>
    <xf numFmtId="43" fontId="0" fillId="19" borderId="1" xfId="0" applyNumberFormat="1" applyFill="1" applyBorder="1" applyAlignment="1">
      <alignment horizontal="center"/>
    </xf>
    <xf numFmtId="43" fontId="4" fillId="19" borderId="1" xfId="0" applyNumberFormat="1" applyFont="1" applyFill="1" applyBorder="1" applyAlignment="1">
      <alignment horizontal="center"/>
    </xf>
    <xf numFmtId="43" fontId="0" fillId="19" borderId="1" xfId="0" applyNumberFormat="1" applyFill="1" applyBorder="1"/>
    <xf numFmtId="165" fontId="0" fillId="19" borderId="1" xfId="6" applyNumberFormat="1" applyFont="1" applyFill="1" applyBorder="1"/>
    <xf numFmtId="0" fontId="0" fillId="17" borderId="19" xfId="0" applyFill="1" applyBorder="1"/>
    <xf numFmtId="1" fontId="0" fillId="17" borderId="23" xfId="0" applyNumberFormat="1" applyFill="1" applyBorder="1" applyAlignment="1">
      <alignment horizontal="center"/>
    </xf>
    <xf numFmtId="2" fontId="0" fillId="17" borderId="23" xfId="0" applyNumberFormat="1" applyFill="1" applyBorder="1" applyAlignment="1">
      <alignment horizontal="center"/>
    </xf>
    <xf numFmtId="2" fontId="0" fillId="17" borderId="1" xfId="0" applyNumberFormat="1" applyFill="1" applyBorder="1" applyAlignment="1">
      <alignment horizontal="center"/>
    </xf>
    <xf numFmtId="43" fontId="4" fillId="17" borderId="24" xfId="0" applyNumberFormat="1" applyFont="1" applyFill="1" applyBorder="1" applyAlignment="1">
      <alignment horizontal="center"/>
    </xf>
    <xf numFmtId="43" fontId="4" fillId="17" borderId="27" xfId="0" applyNumberFormat="1" applyFont="1" applyFill="1" applyBorder="1" applyAlignment="1">
      <alignment horizontal="center"/>
    </xf>
    <xf numFmtId="10" fontId="4" fillId="17" borderId="28" xfId="6" applyNumberFormat="1" applyFont="1" applyFill="1" applyBorder="1" applyAlignment="1">
      <alignment horizontal="center"/>
    </xf>
    <xf numFmtId="43" fontId="0" fillId="17" borderId="29" xfId="0" applyNumberFormat="1" applyFill="1" applyBorder="1"/>
    <xf numFmtId="0" fontId="10" fillId="2" borderId="48" xfId="0" applyFont="1" applyFill="1" applyBorder="1" applyAlignment="1">
      <alignment horizontal="center" vertical="center" wrapText="1"/>
    </xf>
    <xf numFmtId="0" fontId="10" fillId="14" borderId="45" xfId="0" applyFont="1" applyFill="1" applyBorder="1" applyAlignment="1">
      <alignment horizontal="center" vertical="center" wrapText="1"/>
    </xf>
    <xf numFmtId="22" fontId="10" fillId="28" borderId="45" xfId="0" applyNumberFormat="1" applyFont="1" applyFill="1" applyBorder="1" applyAlignment="1">
      <alignment horizontal="center" vertical="center" wrapText="1"/>
    </xf>
    <xf numFmtId="0" fontId="10" fillId="2" borderId="45" xfId="0" applyFont="1" applyFill="1" applyBorder="1" applyAlignment="1">
      <alignment horizontal="center" vertical="center" wrapText="1"/>
    </xf>
    <xf numFmtId="0" fontId="0" fillId="29" borderId="48" xfId="0" applyFill="1" applyBorder="1" applyAlignment="1">
      <alignment horizontal="center" vertical="center"/>
    </xf>
    <xf numFmtId="0" fontId="0" fillId="0" borderId="48" xfId="0" applyBorder="1" applyAlignment="1">
      <alignment horizontal="center" vertical="center"/>
    </xf>
    <xf numFmtId="0" fontId="28" fillId="0" borderId="0" xfId="0" applyFont="1"/>
    <xf numFmtId="0" fontId="30" fillId="30" borderId="49" xfId="0" applyFont="1" applyFill="1" applyBorder="1"/>
    <xf numFmtId="0" fontId="29" fillId="30" borderId="51" xfId="0" applyFont="1" applyFill="1" applyBorder="1"/>
    <xf numFmtId="0" fontId="29" fillId="30" borderId="53" xfId="0" applyFont="1" applyFill="1" applyBorder="1"/>
    <xf numFmtId="164" fontId="0" fillId="0" borderId="1" xfId="5" applyNumberFormat="1" applyFont="1" applyFill="1" applyBorder="1" applyAlignment="1">
      <alignment vertical="center"/>
    </xf>
    <xf numFmtId="165" fontId="0" fillId="0" borderId="1" xfId="6" applyNumberFormat="1" applyFont="1" applyFill="1" applyBorder="1"/>
    <xf numFmtId="22" fontId="0" fillId="29" borderId="0" xfId="0" applyNumberFormat="1" applyFill="1" applyAlignment="1" applyProtection="1">
      <alignment horizontal="center" vertical="center"/>
      <protection locked="0"/>
    </xf>
    <xf numFmtId="0" fontId="0" fillId="29" borderId="45" xfId="0" applyFill="1" applyBorder="1" applyAlignment="1">
      <alignment horizontal="center" vertical="center"/>
    </xf>
    <xf numFmtId="22" fontId="0" fillId="29" borderId="45" xfId="0" applyNumberFormat="1" applyFill="1" applyBorder="1" applyAlignment="1">
      <alignment horizontal="center" vertical="center"/>
    </xf>
    <xf numFmtId="0" fontId="0" fillId="0" borderId="45" xfId="0" applyBorder="1" applyAlignment="1">
      <alignment horizontal="center" vertical="center" wrapText="1"/>
    </xf>
    <xf numFmtId="22" fontId="0" fillId="0" borderId="45" xfId="0" applyNumberFormat="1" applyBorder="1" applyAlignment="1">
      <alignment horizontal="center" vertical="center"/>
    </xf>
    <xf numFmtId="4" fontId="10" fillId="2" borderId="45" xfId="0" applyNumberFormat="1" applyFont="1" applyFill="1" applyBorder="1" applyAlignment="1">
      <alignment horizontal="center" vertical="center" wrapText="1"/>
    </xf>
    <xf numFmtId="4" fontId="0" fillId="29" borderId="45" xfId="0" applyNumberFormat="1" applyFill="1" applyBorder="1" applyAlignment="1">
      <alignment horizontal="center" vertical="center" wrapText="1"/>
    </xf>
    <xf numFmtId="4" fontId="0" fillId="0" borderId="45" xfId="0" applyNumberFormat="1" applyBorder="1" applyAlignment="1">
      <alignment horizontal="center" vertical="center" wrapText="1"/>
    </xf>
    <xf numFmtId="4" fontId="0" fillId="0" borderId="0" xfId="0" applyNumberFormat="1" applyAlignment="1">
      <alignment horizontal="center"/>
    </xf>
    <xf numFmtId="0" fontId="30" fillId="30" borderId="50" xfId="0" applyFont="1" applyFill="1" applyBorder="1" applyAlignment="1">
      <alignment horizontal="center"/>
    </xf>
    <xf numFmtId="0" fontId="29" fillId="30" borderId="52" xfId="0" applyFont="1" applyFill="1" applyBorder="1" applyAlignment="1">
      <alignment horizontal="center"/>
    </xf>
    <xf numFmtId="0" fontId="29" fillId="30" borderId="54" xfId="0" applyFont="1" applyFill="1" applyBorder="1" applyAlignment="1">
      <alignment horizontal="center"/>
    </xf>
    <xf numFmtId="17" fontId="0" fillId="19" borderId="1" xfId="0" applyNumberFormat="1" applyFill="1" applyBorder="1"/>
    <xf numFmtId="0" fontId="20" fillId="0" borderId="37" xfId="0" applyFont="1" applyBorder="1" applyAlignment="1">
      <alignment horizontal="center" vertical="center" wrapText="1"/>
    </xf>
    <xf numFmtId="0" fontId="7" fillId="9" borderId="37" xfId="0" applyFont="1" applyFill="1" applyBorder="1" applyAlignment="1">
      <alignment horizontal="center" vertical="center" wrapText="1"/>
    </xf>
    <xf numFmtId="0" fontId="20" fillId="0" borderId="0" xfId="0" applyFont="1" applyAlignment="1">
      <alignment horizontal="center" vertical="center" wrapText="1"/>
    </xf>
    <xf numFmtId="14" fontId="20" fillId="0" borderId="0" xfId="0" applyNumberFormat="1" applyFont="1" applyAlignment="1">
      <alignment horizontal="center" vertical="center" wrapText="1"/>
    </xf>
    <xf numFmtId="0" fontId="1" fillId="0" borderId="0" xfId="1" applyAlignment="1">
      <alignment horizontal="center"/>
    </xf>
    <xf numFmtId="0" fontId="5" fillId="12" borderId="0" xfId="0" applyFont="1" applyFill="1" applyAlignment="1" applyProtection="1">
      <alignment horizontal="center" vertical="center"/>
      <protection locked="0"/>
    </xf>
    <xf numFmtId="0" fontId="9" fillId="10" borderId="67" xfId="0" applyFont="1" applyFill="1" applyBorder="1" applyAlignment="1">
      <alignment horizontal="center" vertical="center" wrapText="1"/>
    </xf>
    <xf numFmtId="0" fontId="7" fillId="8" borderId="4" xfId="0" applyFont="1" applyFill="1" applyBorder="1" applyAlignment="1">
      <alignment horizontal="center" vertical="center" textRotation="90" wrapText="1"/>
    </xf>
    <xf numFmtId="0" fontId="0" fillId="17" borderId="1" xfId="0" applyFill="1" applyBorder="1"/>
    <xf numFmtId="164" fontId="0" fillId="17" borderId="1" xfId="5" applyNumberFormat="1" applyFont="1" applyFill="1" applyBorder="1" applyAlignment="1">
      <alignment vertical="center"/>
    </xf>
    <xf numFmtId="43" fontId="0" fillId="17" borderId="1" xfId="0" applyNumberFormat="1" applyFill="1" applyBorder="1" applyAlignment="1">
      <alignment horizontal="center"/>
    </xf>
    <xf numFmtId="43" fontId="0" fillId="17" borderId="1" xfId="0" applyNumberFormat="1" applyFill="1" applyBorder="1"/>
    <xf numFmtId="165" fontId="0" fillId="17" borderId="1" xfId="6" applyNumberFormat="1" applyFont="1" applyFill="1" applyBorder="1"/>
    <xf numFmtId="0" fontId="13" fillId="14" borderId="2" xfId="0" applyFont="1" applyFill="1" applyBorder="1" applyAlignment="1">
      <alignment horizontal="center" vertical="center" wrapText="1"/>
    </xf>
    <xf numFmtId="0" fontId="0" fillId="31" borderId="19" xfId="0" applyFill="1" applyBorder="1"/>
    <xf numFmtId="43" fontId="4" fillId="31" borderId="27" xfId="0" applyNumberFormat="1" applyFont="1" applyFill="1" applyBorder="1" applyAlignment="1">
      <alignment horizontal="center"/>
    </xf>
    <xf numFmtId="0" fontId="0" fillId="29" borderId="45" xfId="0" applyFill="1" applyBorder="1" applyAlignment="1">
      <alignment horizontal="center" vertical="center" wrapText="1"/>
    </xf>
    <xf numFmtId="0" fontId="0" fillId="0" borderId="45" xfId="0" applyBorder="1" applyAlignment="1">
      <alignment horizontal="center" vertical="center"/>
    </xf>
    <xf numFmtId="0" fontId="0" fillId="29" borderId="68" xfId="0" applyFill="1" applyBorder="1" applyAlignment="1">
      <alignment horizontal="center" vertical="center"/>
    </xf>
    <xf numFmtId="0" fontId="0" fillId="29" borderId="69" xfId="0" applyFill="1" applyBorder="1" applyAlignment="1">
      <alignment horizontal="center" vertical="center" wrapText="1"/>
    </xf>
    <xf numFmtId="0" fontId="0" fillId="29" borderId="69" xfId="0" applyFill="1" applyBorder="1" applyAlignment="1">
      <alignment horizontal="center" vertical="center"/>
    </xf>
    <xf numFmtId="0" fontId="0" fillId="29" borderId="70" xfId="0" applyFill="1" applyBorder="1" applyAlignment="1">
      <alignment horizontal="center" vertical="center" wrapText="1"/>
    </xf>
    <xf numFmtId="0" fontId="0" fillId="0" borderId="71" xfId="0" applyBorder="1" applyAlignment="1">
      <alignment horizontal="center" vertical="center"/>
    </xf>
    <xf numFmtId="0" fontId="0" fillId="0" borderId="72" xfId="0" applyBorder="1" applyAlignment="1">
      <alignment horizontal="center" vertical="center" wrapText="1"/>
    </xf>
    <xf numFmtId="0" fontId="0" fillId="29" borderId="71" xfId="0" applyFill="1" applyBorder="1" applyAlignment="1">
      <alignment horizontal="center" vertical="center"/>
    </xf>
    <xf numFmtId="0" fontId="0" fillId="29" borderId="72" xfId="0" applyFill="1" applyBorder="1" applyAlignment="1">
      <alignment horizontal="center" vertical="center" wrapText="1"/>
    </xf>
    <xf numFmtId="0" fontId="33" fillId="0" borderId="0" xfId="0" applyFont="1"/>
    <xf numFmtId="0" fontId="35" fillId="32" borderId="76" xfId="0" applyFont="1" applyFill="1" applyBorder="1"/>
    <xf numFmtId="0" fontId="35" fillId="32" borderId="77" xfId="0" applyFont="1" applyFill="1" applyBorder="1"/>
    <xf numFmtId="0" fontId="35" fillId="32" borderId="78" xfId="0" applyFont="1" applyFill="1" applyBorder="1"/>
    <xf numFmtId="0" fontId="36" fillId="0" borderId="79" xfId="0" applyFont="1" applyBorder="1"/>
    <xf numFmtId="0" fontId="36" fillId="0" borderId="80" xfId="0" applyFont="1" applyBorder="1"/>
    <xf numFmtId="0" fontId="36" fillId="0" borderId="81" xfId="0" applyFont="1" applyBorder="1"/>
    <xf numFmtId="0" fontId="36" fillId="0" borderId="82" xfId="0" applyFont="1" applyBorder="1"/>
    <xf numFmtId="0" fontId="36" fillId="0" borderId="83" xfId="0" applyFont="1" applyBorder="1"/>
    <xf numFmtId="0" fontId="36" fillId="0" borderId="84" xfId="0" applyFont="1" applyBorder="1"/>
    <xf numFmtId="0" fontId="35" fillId="32" borderId="85" xfId="0" applyFont="1" applyFill="1" applyBorder="1"/>
    <xf numFmtId="0" fontId="35" fillId="32" borderId="86" xfId="0" applyFont="1" applyFill="1" applyBorder="1"/>
    <xf numFmtId="0" fontId="36" fillId="19" borderId="87" xfId="0" applyFont="1" applyFill="1" applyBorder="1"/>
    <xf numFmtId="0" fontId="36" fillId="19" borderId="88" xfId="0" applyFont="1" applyFill="1" applyBorder="1"/>
    <xf numFmtId="10" fontId="0" fillId="0" borderId="0" xfId="0" applyNumberFormat="1"/>
    <xf numFmtId="0" fontId="35" fillId="32" borderId="89" xfId="0" applyFont="1" applyFill="1" applyBorder="1"/>
    <xf numFmtId="0" fontId="0" fillId="19" borderId="90" xfId="0" applyFill="1" applyBorder="1"/>
    <xf numFmtId="0" fontId="0" fillId="19" borderId="91" xfId="0" applyFill="1" applyBorder="1" applyAlignment="1">
      <alignment horizontal="center"/>
    </xf>
    <xf numFmtId="0" fontId="0" fillId="19" borderId="92" xfId="0" applyFill="1" applyBorder="1"/>
    <xf numFmtId="0" fontId="0" fillId="19" borderId="93" xfId="0" applyFill="1" applyBorder="1" applyAlignment="1">
      <alignment horizontal="center"/>
    </xf>
    <xf numFmtId="0" fontId="35" fillId="32" borderId="94" xfId="0" applyFont="1" applyFill="1" applyBorder="1"/>
    <xf numFmtId="0" fontId="35" fillId="32" borderId="95" xfId="0" applyFont="1" applyFill="1" applyBorder="1" applyAlignment="1">
      <alignment horizontal="center"/>
    </xf>
    <xf numFmtId="0" fontId="35" fillId="32" borderId="86" xfId="0" applyFont="1" applyFill="1" applyBorder="1" applyAlignment="1">
      <alignment horizontal="center"/>
    </xf>
    <xf numFmtId="167" fontId="36" fillId="19" borderId="96" xfId="0" applyNumberFormat="1" applyFont="1" applyFill="1" applyBorder="1" applyAlignment="1">
      <alignment horizontal="center"/>
    </xf>
    <xf numFmtId="167" fontId="36" fillId="19" borderId="97" xfId="0" applyNumberFormat="1" applyFont="1" applyFill="1" applyBorder="1" applyAlignment="1">
      <alignment horizontal="center"/>
    </xf>
    <xf numFmtId="0" fontId="0" fillId="0" borderId="73" xfId="0" applyBorder="1" applyAlignment="1">
      <alignment horizontal="center" vertical="center"/>
    </xf>
    <xf numFmtId="0" fontId="0" fillId="0" borderId="74" xfId="0" applyBorder="1" applyAlignment="1">
      <alignment horizontal="center" vertical="center" wrapText="1"/>
    </xf>
    <xf numFmtId="0" fontId="0" fillId="0" borderId="74" xfId="0" applyBorder="1" applyAlignment="1">
      <alignment horizontal="center" vertical="center"/>
    </xf>
    <xf numFmtId="0" fontId="0" fillId="0" borderId="75" xfId="0" applyBorder="1" applyAlignment="1">
      <alignment horizontal="center" vertical="center" wrapText="1"/>
    </xf>
    <xf numFmtId="0" fontId="10" fillId="28" borderId="45" xfId="0" applyFont="1" applyFill="1" applyBorder="1" applyAlignment="1">
      <alignment horizontal="center" vertical="center"/>
    </xf>
    <xf numFmtId="0" fontId="0" fillId="33" borderId="19" xfId="0" applyFill="1" applyBorder="1"/>
    <xf numFmtId="1" fontId="0" fillId="33" borderId="23" xfId="0" applyNumberFormat="1" applyFill="1" applyBorder="1" applyAlignment="1">
      <alignment horizontal="center"/>
    </xf>
    <xf numFmtId="2" fontId="0" fillId="33" borderId="23" xfId="0" applyNumberFormat="1" applyFill="1" applyBorder="1" applyAlignment="1">
      <alignment horizontal="center"/>
    </xf>
    <xf numFmtId="2" fontId="0" fillId="33" borderId="1" xfId="0" applyNumberFormat="1" applyFill="1" applyBorder="1" applyAlignment="1">
      <alignment horizontal="center"/>
    </xf>
    <xf numFmtId="0" fontId="0" fillId="0" borderId="45" xfId="0" applyBorder="1" applyAlignment="1">
      <alignment horizontal="left" vertical="center"/>
    </xf>
    <xf numFmtId="0" fontId="0" fillId="0" borderId="45" xfId="0" applyBorder="1" applyAlignment="1">
      <alignment horizontal="left" vertical="center" wrapText="1"/>
    </xf>
    <xf numFmtId="0" fontId="36" fillId="0" borderId="0" xfId="0" applyFont="1" applyAlignment="1">
      <alignment horizontal="left" vertical="center"/>
    </xf>
    <xf numFmtId="0" fontId="0" fillId="0" borderId="46" xfId="0" applyBorder="1" applyAlignment="1">
      <alignment horizontal="center" vertical="center" wrapText="1"/>
    </xf>
    <xf numFmtId="0" fontId="37" fillId="0" borderId="0" xfId="0" applyFont="1" applyAlignment="1" applyProtection="1">
      <alignment horizontal="center" vertical="center" wrapText="1"/>
      <protection locked="0"/>
    </xf>
    <xf numFmtId="0" fontId="38" fillId="0" borderId="0" xfId="0" applyFont="1" applyAlignment="1">
      <alignment wrapText="1"/>
    </xf>
    <xf numFmtId="0" fontId="40" fillId="9" borderId="38" xfId="0" applyFont="1" applyFill="1" applyBorder="1"/>
    <xf numFmtId="0" fontId="42" fillId="34" borderId="98" xfId="0" applyFont="1" applyFill="1" applyBorder="1"/>
    <xf numFmtId="0" fontId="42" fillId="34" borderId="99" xfId="0" applyFont="1" applyFill="1" applyBorder="1"/>
    <xf numFmtId="0" fontId="35" fillId="34" borderId="99" xfId="0" applyFont="1" applyFill="1" applyBorder="1"/>
    <xf numFmtId="0" fontId="42" fillId="35" borderId="100" xfId="0" applyFont="1" applyFill="1" applyBorder="1"/>
    <xf numFmtId="0" fontId="36" fillId="0" borderId="101" xfId="0" applyFont="1" applyBorder="1"/>
    <xf numFmtId="0" fontId="45" fillId="36" borderId="104" xfId="0" applyFont="1" applyFill="1" applyBorder="1" applyAlignment="1">
      <alignment horizontal="center"/>
    </xf>
    <xf numFmtId="0" fontId="36" fillId="0" borderId="101" xfId="0" applyFont="1" applyBorder="1" applyAlignment="1">
      <alignment horizontal="center"/>
    </xf>
    <xf numFmtId="0" fontId="36" fillId="0" borderId="102" xfId="0" applyFont="1" applyBorder="1" applyAlignment="1">
      <alignment horizontal="center"/>
    </xf>
    <xf numFmtId="0" fontId="36" fillId="0" borderId="103" xfId="0" applyFont="1" applyBorder="1" applyAlignment="1">
      <alignment horizontal="center"/>
    </xf>
    <xf numFmtId="2" fontId="36" fillId="0" borderId="102" xfId="0" applyNumberFormat="1" applyFont="1" applyBorder="1" applyAlignment="1">
      <alignment horizontal="center"/>
    </xf>
    <xf numFmtId="2" fontId="36" fillId="0" borderId="103" xfId="0" applyNumberFormat="1" applyFont="1" applyBorder="1" applyAlignment="1">
      <alignment horizontal="center"/>
    </xf>
    <xf numFmtId="2" fontId="45" fillId="36" borderId="104" xfId="0" applyNumberFormat="1" applyFont="1" applyFill="1" applyBorder="1" applyAlignment="1">
      <alignment horizontal="center"/>
    </xf>
    <xf numFmtId="3" fontId="0" fillId="0" borderId="0" xfId="0" applyNumberFormat="1"/>
    <xf numFmtId="0" fontId="0" fillId="0" borderId="39" xfId="0" applyBorder="1"/>
    <xf numFmtId="0" fontId="0" fillId="0" borderId="105" xfId="0" applyBorder="1"/>
    <xf numFmtId="0" fontId="0" fillId="0" borderId="106" xfId="0" applyBorder="1"/>
    <xf numFmtId="0" fontId="0" fillId="24" borderId="30" xfId="0" applyFill="1" applyBorder="1"/>
    <xf numFmtId="0" fontId="0" fillId="14" borderId="30" xfId="0" applyFill="1" applyBorder="1"/>
    <xf numFmtId="0" fontId="4" fillId="0" borderId="30" xfId="0" applyFont="1" applyBorder="1"/>
    <xf numFmtId="0" fontId="0" fillId="0" borderId="42" xfId="0" applyBorder="1"/>
    <xf numFmtId="0" fontId="0" fillId="0" borderId="107" xfId="0" applyBorder="1"/>
    <xf numFmtId="43" fontId="4" fillId="33" borderId="1" xfId="0" applyNumberFormat="1" applyFont="1" applyFill="1" applyBorder="1" applyAlignment="1">
      <alignment horizontal="center"/>
    </xf>
    <xf numFmtId="0" fontId="0" fillId="0" borderId="46" xfId="0" applyBorder="1" applyAlignment="1" applyProtection="1">
      <alignment horizontal="center" vertical="center" wrapText="1"/>
      <protection locked="0"/>
    </xf>
    <xf numFmtId="0" fontId="0" fillId="27" borderId="30" xfId="0" applyFill="1" applyBorder="1"/>
    <xf numFmtId="2" fontId="0" fillId="0" borderId="30" xfId="0" applyNumberFormat="1" applyBorder="1"/>
    <xf numFmtId="0" fontId="0" fillId="33" borderId="0" xfId="0" applyFill="1"/>
    <xf numFmtId="2" fontId="0" fillId="33" borderId="30" xfId="0" applyNumberFormat="1" applyFill="1" applyBorder="1"/>
    <xf numFmtId="0" fontId="46" fillId="37" borderId="38" xfId="0" applyFont="1" applyFill="1" applyBorder="1"/>
    <xf numFmtId="0" fontId="46" fillId="37" borderId="108" xfId="0" applyFont="1" applyFill="1" applyBorder="1"/>
    <xf numFmtId="0" fontId="46" fillId="37" borderId="109" xfId="0" applyFont="1" applyFill="1" applyBorder="1"/>
    <xf numFmtId="0" fontId="0" fillId="27" borderId="90" xfId="0" applyFill="1" applyBorder="1"/>
    <xf numFmtId="0" fontId="0" fillId="0" borderId="91" xfId="0" applyBorder="1"/>
    <xf numFmtId="0" fontId="0" fillId="27" borderId="110" xfId="0" applyFill="1" applyBorder="1"/>
    <xf numFmtId="2" fontId="0" fillId="0" borderId="111" xfId="0" applyNumberFormat="1" applyBorder="1"/>
    <xf numFmtId="0" fontId="0" fillId="0" borderId="110" xfId="0" applyBorder="1"/>
    <xf numFmtId="0" fontId="0" fillId="33" borderId="90" xfId="0" applyFill="1" applyBorder="1"/>
    <xf numFmtId="0" fontId="0" fillId="0" borderId="90" xfId="0" applyBorder="1"/>
    <xf numFmtId="0" fontId="0" fillId="33" borderId="92" xfId="0" applyFill="1" applyBorder="1"/>
    <xf numFmtId="2" fontId="0" fillId="33" borderId="112" xfId="0" applyNumberFormat="1" applyFill="1" applyBorder="1"/>
    <xf numFmtId="0" fontId="0" fillId="0" borderId="30" xfId="0" applyBorder="1" applyAlignment="1">
      <alignment horizontal="center" vertical="center" wrapText="1"/>
    </xf>
    <xf numFmtId="0" fontId="23" fillId="0" borderId="30" xfId="0" applyFont="1" applyBorder="1" applyAlignment="1">
      <alignment horizontal="center" vertical="center" wrapText="1"/>
    </xf>
    <xf numFmtId="0" fontId="0" fillId="0" borderId="113" xfId="0" applyBorder="1" applyAlignment="1">
      <alignment horizontal="center" vertical="center" wrapText="1"/>
    </xf>
    <xf numFmtId="2" fontId="0" fillId="0" borderId="113" xfId="0" applyNumberFormat="1" applyBorder="1"/>
    <xf numFmtId="2" fontId="0" fillId="0" borderId="0" xfId="0" applyNumberFormat="1"/>
    <xf numFmtId="166" fontId="0" fillId="0" borderId="0" xfId="0" applyNumberFormat="1"/>
    <xf numFmtId="168" fontId="0" fillId="0" borderId="0" xfId="0" applyNumberFormat="1" applyAlignment="1" applyProtection="1">
      <alignment horizontal="center" vertical="center"/>
      <protection locked="0"/>
    </xf>
    <xf numFmtId="0" fontId="0" fillId="0" borderId="0" xfId="0" applyAlignment="1">
      <alignment horizontal="center" vertical="center" wrapText="1"/>
    </xf>
    <xf numFmtId="0" fontId="48" fillId="0" borderId="0" xfId="0" applyFont="1" applyAlignment="1">
      <alignment horizontal="left" vertical="center" wrapText="1"/>
    </xf>
    <xf numFmtId="0" fontId="10" fillId="8" borderId="45" xfId="0" applyFont="1" applyFill="1" applyBorder="1" applyAlignment="1">
      <alignment horizontal="center" vertical="center" wrapText="1"/>
    </xf>
    <xf numFmtId="0" fontId="9" fillId="9" borderId="25" xfId="0" applyFont="1" applyFill="1" applyBorder="1" applyAlignment="1">
      <alignment horizontal="center" vertical="center" wrapText="1"/>
    </xf>
    <xf numFmtId="0" fontId="9" fillId="8" borderId="23"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21" borderId="24" xfId="0" applyFont="1" applyFill="1" applyBorder="1" applyAlignment="1">
      <alignment horizontal="center" vertical="center" wrapText="1"/>
    </xf>
    <xf numFmtId="0" fontId="0" fillId="19" borderId="0" xfId="0" applyFill="1" applyAlignment="1" applyProtection="1">
      <alignment horizontal="center" vertical="center"/>
      <protection locked="0"/>
    </xf>
    <xf numFmtId="168" fontId="0" fillId="19" borderId="0" xfId="0" applyNumberFormat="1" applyFill="1" applyAlignment="1" applyProtection="1">
      <alignment horizontal="center" vertical="center"/>
      <protection locked="0"/>
    </xf>
    <xf numFmtId="0" fontId="9" fillId="10" borderId="32" xfId="0" applyFont="1" applyFill="1" applyBorder="1" applyAlignment="1">
      <alignment horizontal="center" vertical="center" wrapText="1"/>
    </xf>
    <xf numFmtId="0" fontId="31" fillId="0" borderId="0" xfId="0" applyFont="1" applyAlignment="1" applyProtection="1">
      <alignment horizontal="center" vertical="center"/>
      <protection locked="0"/>
    </xf>
    <xf numFmtId="0" fontId="0" fillId="0" borderId="0" xfId="0" applyAlignment="1" applyProtection="1">
      <alignment horizontal="center" vertical="top" wrapText="1"/>
      <protection locked="0"/>
    </xf>
    <xf numFmtId="0" fontId="40" fillId="9" borderId="38" xfId="0" applyFont="1" applyFill="1" applyBorder="1" applyAlignment="1">
      <alignment wrapText="1" readingOrder="1"/>
    </xf>
    <xf numFmtId="0" fontId="42" fillId="34" borderId="98" xfId="0" applyFont="1" applyFill="1" applyBorder="1" applyAlignment="1">
      <alignment wrapText="1" readingOrder="1"/>
    </xf>
    <xf numFmtId="0" fontId="42" fillId="34" borderId="99" xfId="0" applyFont="1" applyFill="1" applyBorder="1" applyAlignment="1">
      <alignment wrapText="1" readingOrder="1"/>
    </xf>
    <xf numFmtId="0" fontId="35" fillId="34" borderId="99" xfId="0" applyFont="1" applyFill="1" applyBorder="1" applyAlignment="1">
      <alignment wrapText="1" readingOrder="1"/>
    </xf>
    <xf numFmtId="0" fontId="42" fillId="35" borderId="100" xfId="0" applyFont="1" applyFill="1" applyBorder="1" applyAlignment="1">
      <alignment wrapText="1" readingOrder="1"/>
    </xf>
    <xf numFmtId="0" fontId="36" fillId="0" borderId="101" xfId="0" applyFont="1" applyBorder="1" applyAlignment="1">
      <alignment wrapText="1" readingOrder="1"/>
    </xf>
    <xf numFmtId="166" fontId="36" fillId="0" borderId="102" xfId="0" applyNumberFormat="1" applyFont="1" applyBorder="1" applyAlignment="1">
      <alignment horizontal="center" wrapText="1" readingOrder="1"/>
    </xf>
    <xf numFmtId="166" fontId="36" fillId="0" borderId="103" xfId="0" applyNumberFormat="1" applyFont="1" applyBorder="1" applyAlignment="1">
      <alignment horizontal="center" wrapText="1" readingOrder="1"/>
    </xf>
    <xf numFmtId="166" fontId="45" fillId="36" borderId="104" xfId="0" applyNumberFormat="1" applyFont="1" applyFill="1" applyBorder="1" applyAlignment="1">
      <alignment horizontal="center" wrapText="1" readingOrder="1"/>
    </xf>
    <xf numFmtId="0" fontId="36" fillId="0" borderId="102" xfId="0" applyFont="1" applyBorder="1" applyAlignment="1">
      <alignment horizontal="center" wrapText="1" readingOrder="1"/>
    </xf>
    <xf numFmtId="0" fontId="36" fillId="0" borderId="103" xfId="0" applyFont="1" applyBorder="1" applyAlignment="1">
      <alignment horizontal="center" wrapText="1" readingOrder="1"/>
    </xf>
    <xf numFmtId="0" fontId="45" fillId="36" borderId="104" xfId="0" applyFont="1" applyFill="1" applyBorder="1" applyAlignment="1">
      <alignment horizontal="center" wrapText="1" readingOrder="1"/>
    </xf>
    <xf numFmtId="0" fontId="5" fillId="9" borderId="0" xfId="0" applyFont="1" applyFill="1" applyAlignment="1" applyProtection="1">
      <alignment horizontal="center" vertical="center"/>
      <protection locked="0"/>
    </xf>
    <xf numFmtId="0" fontId="5" fillId="6" borderId="0" xfId="0" applyFont="1" applyFill="1" applyAlignment="1" applyProtection="1">
      <alignment horizontal="center" vertical="center"/>
      <protection locked="0"/>
    </xf>
    <xf numFmtId="0" fontId="5" fillId="12" borderId="0" xfId="0" applyFont="1" applyFill="1" applyAlignment="1" applyProtection="1">
      <alignment horizontal="center" vertical="center"/>
      <protection locked="0"/>
    </xf>
    <xf numFmtId="0" fontId="24" fillId="0" borderId="9" xfId="1" applyFont="1" applyBorder="1" applyAlignment="1">
      <alignment horizontal="center"/>
    </xf>
    <xf numFmtId="0" fontId="25" fillId="19" borderId="12" xfId="0" applyFont="1" applyFill="1" applyBorder="1" applyAlignment="1">
      <alignment horizontal="center" vertical="center" wrapText="1"/>
    </xf>
    <xf numFmtId="0" fontId="13" fillId="9" borderId="13" xfId="0" applyFont="1" applyFill="1" applyBorder="1" applyAlignment="1">
      <alignment horizontal="center" vertical="center" wrapText="1"/>
    </xf>
    <xf numFmtId="0" fontId="25" fillId="0" borderId="18" xfId="0" applyFont="1" applyBorder="1" applyAlignment="1">
      <alignment horizontal="center" vertical="center" wrapText="1"/>
    </xf>
    <xf numFmtId="0" fontId="1" fillId="0" borderId="58" xfId="1" applyBorder="1" applyAlignment="1">
      <alignment horizontal="center"/>
    </xf>
    <xf numFmtId="0" fontId="1" fillId="0" borderId="59" xfId="1" applyBorder="1" applyAlignment="1">
      <alignment horizontal="center"/>
    </xf>
    <xf numFmtId="0" fontId="1" fillId="0" borderId="60" xfId="1" applyBorder="1" applyAlignment="1">
      <alignment horizontal="center"/>
    </xf>
    <xf numFmtId="0" fontId="1" fillId="0" borderId="61" xfId="1" applyBorder="1" applyAlignment="1">
      <alignment horizontal="center"/>
    </xf>
    <xf numFmtId="0" fontId="1" fillId="0" borderId="62" xfId="1" applyBorder="1" applyAlignment="1">
      <alignment horizontal="center"/>
    </xf>
    <xf numFmtId="0" fontId="1" fillId="0" borderId="63" xfId="1" applyBorder="1" applyAlignment="1">
      <alignment horizontal="center"/>
    </xf>
    <xf numFmtId="0" fontId="20" fillId="19" borderId="64" xfId="0" applyFont="1" applyFill="1" applyBorder="1" applyAlignment="1">
      <alignment horizontal="center" vertical="center" wrapText="1"/>
    </xf>
    <xf numFmtId="0" fontId="20" fillId="19" borderId="65" xfId="0" applyFont="1" applyFill="1" applyBorder="1" applyAlignment="1">
      <alignment horizontal="center" vertical="center" wrapText="1"/>
    </xf>
    <xf numFmtId="0" fontId="20" fillId="19" borderId="66" xfId="0" applyFont="1" applyFill="1" applyBorder="1" applyAlignment="1">
      <alignment horizontal="center" vertical="center" wrapText="1"/>
    </xf>
    <xf numFmtId="0" fontId="20" fillId="0" borderId="64" xfId="0" applyFont="1" applyBorder="1" applyAlignment="1">
      <alignment horizontal="center" vertical="center" wrapText="1"/>
    </xf>
    <xf numFmtId="0" fontId="20" fillId="0" borderId="65" xfId="0" applyFont="1" applyBorder="1" applyAlignment="1">
      <alignment horizontal="center" vertical="center" wrapText="1"/>
    </xf>
    <xf numFmtId="0" fontId="20" fillId="0" borderId="66" xfId="0" applyFont="1" applyBorder="1" applyAlignment="1">
      <alignment horizontal="center" vertical="center" wrapText="1"/>
    </xf>
    <xf numFmtId="0" fontId="7" fillId="9" borderId="64" xfId="0" applyFont="1" applyFill="1" applyBorder="1" applyAlignment="1">
      <alignment horizontal="center" vertical="center" wrapText="1"/>
    </xf>
    <xf numFmtId="0" fontId="7" fillId="9" borderId="65" xfId="0" applyFont="1" applyFill="1" applyBorder="1" applyAlignment="1">
      <alignment horizontal="center" vertical="center" wrapText="1"/>
    </xf>
    <xf numFmtId="0" fontId="7" fillId="9" borderId="66" xfId="0" applyFont="1" applyFill="1" applyBorder="1" applyAlignment="1">
      <alignment horizontal="center" vertical="center" wrapText="1"/>
    </xf>
    <xf numFmtId="14" fontId="20" fillId="0" borderId="64" xfId="0" applyNumberFormat="1" applyFont="1" applyBorder="1" applyAlignment="1">
      <alignment horizontal="center" vertical="center" wrapText="1"/>
    </xf>
    <xf numFmtId="14" fontId="20" fillId="0" borderId="65" xfId="0" applyNumberFormat="1" applyFont="1" applyBorder="1" applyAlignment="1">
      <alignment horizontal="center" vertical="center" wrapText="1"/>
    </xf>
    <xf numFmtId="14" fontId="20" fillId="0" borderId="66" xfId="0" applyNumberFormat="1" applyFont="1" applyBorder="1" applyAlignment="1">
      <alignment horizontal="center" vertical="center" wrapText="1"/>
    </xf>
    <xf numFmtId="0" fontId="7" fillId="10" borderId="3" xfId="0" applyFont="1" applyFill="1" applyBorder="1" applyAlignment="1">
      <alignment horizontal="center" vertical="center" textRotation="90" wrapText="1"/>
    </xf>
    <xf numFmtId="0" fontId="7" fillId="10" borderId="4" xfId="0" applyFont="1" applyFill="1" applyBorder="1" applyAlignment="1">
      <alignment horizontal="center" vertical="center" textRotation="90"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2" xfId="0" applyFont="1" applyFill="1" applyBorder="1" applyAlignment="1">
      <alignment horizontal="center" vertical="center" textRotation="90" wrapText="1"/>
    </xf>
    <xf numFmtId="0" fontId="32" fillId="11" borderId="19" xfId="0" applyFont="1" applyFill="1" applyBorder="1" applyAlignment="1">
      <alignment horizontal="center" vertical="center" wrapText="1"/>
    </xf>
    <xf numFmtId="0" fontId="32" fillId="11" borderId="55" xfId="0" applyFont="1" applyFill="1" applyBorder="1" applyAlignment="1">
      <alignment horizontal="center" vertical="center"/>
    </xf>
    <xf numFmtId="0" fontId="32" fillId="11" borderId="56" xfId="0" applyFont="1" applyFill="1" applyBorder="1" applyAlignment="1">
      <alignment horizontal="center" vertical="center"/>
    </xf>
    <xf numFmtId="0" fontId="7" fillId="11" borderId="3" xfId="0" applyFont="1" applyFill="1" applyBorder="1" applyAlignment="1">
      <alignment horizontal="center" vertical="center" textRotation="90" wrapText="1"/>
    </xf>
    <xf numFmtId="0" fontId="7" fillId="11" borderId="4" xfId="0" applyFont="1" applyFill="1" applyBorder="1" applyAlignment="1">
      <alignment horizontal="center" vertical="center" textRotation="90" wrapText="1"/>
    </xf>
    <xf numFmtId="0" fontId="7" fillId="11" borderId="2" xfId="0" applyFont="1" applyFill="1" applyBorder="1" applyAlignment="1">
      <alignment horizontal="center" vertical="center" textRotation="90" wrapText="1"/>
    </xf>
    <xf numFmtId="0" fontId="10" fillId="3"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7" fillId="7" borderId="3" xfId="0" applyFont="1" applyFill="1" applyBorder="1" applyAlignment="1">
      <alignment horizontal="center" vertical="center" textRotation="90" wrapText="1"/>
    </xf>
    <xf numFmtId="0" fontId="7" fillId="7" borderId="2" xfId="0" applyFont="1" applyFill="1" applyBorder="1" applyAlignment="1">
      <alignment horizontal="center" vertical="center" textRotation="90" wrapText="1"/>
    </xf>
    <xf numFmtId="0" fontId="7" fillId="5" borderId="3" xfId="0" applyFont="1" applyFill="1" applyBorder="1" applyAlignment="1">
      <alignment horizontal="center" vertical="center" textRotation="90" wrapText="1"/>
    </xf>
    <xf numFmtId="0" fontId="7" fillId="5" borderId="2" xfId="0" applyFont="1" applyFill="1" applyBorder="1" applyAlignment="1">
      <alignment horizontal="center" vertical="center" textRotation="90" wrapText="1"/>
    </xf>
    <xf numFmtId="0" fontId="7" fillId="11" borderId="1" xfId="0" applyFont="1" applyFill="1" applyBorder="1" applyAlignment="1">
      <alignment horizontal="center" vertical="center"/>
    </xf>
    <xf numFmtId="0" fontId="32" fillId="11" borderId="55" xfId="0" applyFont="1" applyFill="1" applyBorder="1" applyAlignment="1">
      <alignment horizontal="center" vertical="center" wrapText="1"/>
    </xf>
    <xf numFmtId="0" fontId="32" fillId="11" borderId="56" xfId="0" applyFont="1" applyFill="1" applyBorder="1" applyAlignment="1">
      <alignment horizontal="center" vertical="center" wrapText="1"/>
    </xf>
    <xf numFmtId="0" fontId="10" fillId="3" borderId="19" xfId="0" applyFont="1" applyFill="1" applyBorder="1" applyAlignment="1">
      <alignment horizontal="center" vertical="center"/>
    </xf>
    <xf numFmtId="0" fontId="10" fillId="3" borderId="56" xfId="0" applyFont="1" applyFill="1" applyBorder="1" applyAlignment="1">
      <alignment horizontal="center" vertical="center"/>
    </xf>
    <xf numFmtId="0" fontId="7" fillId="11" borderId="19" xfId="0" applyFont="1" applyFill="1" applyBorder="1" applyAlignment="1">
      <alignment horizontal="center" vertical="center" wrapText="1"/>
    </xf>
    <xf numFmtId="0" fontId="7" fillId="11" borderId="56" xfId="0" applyFont="1" applyFill="1" applyBorder="1" applyAlignment="1">
      <alignment horizontal="center" vertical="center" wrapText="1"/>
    </xf>
    <xf numFmtId="0" fontId="13" fillId="10" borderId="19" xfId="0" applyFont="1" applyFill="1" applyBorder="1" applyAlignment="1">
      <alignment horizontal="center" vertical="center" wrapText="1"/>
    </xf>
    <xf numFmtId="0" fontId="13" fillId="10" borderId="55" xfId="0" applyFont="1" applyFill="1" applyBorder="1" applyAlignment="1">
      <alignment horizontal="center" vertical="center" wrapText="1"/>
    </xf>
    <xf numFmtId="0" fontId="13" fillId="10" borderId="56" xfId="0" applyFont="1" applyFill="1" applyBorder="1" applyAlignment="1">
      <alignment horizontal="center" vertical="center" wrapText="1"/>
    </xf>
    <xf numFmtId="0" fontId="9" fillId="10" borderId="31" xfId="0" applyFont="1" applyFill="1" applyBorder="1" applyAlignment="1">
      <alignment horizontal="center" vertical="center" wrapText="1"/>
    </xf>
    <xf numFmtId="0" fontId="9" fillId="10" borderId="67" xfId="0" applyFont="1" applyFill="1" applyBorder="1" applyAlignment="1">
      <alignment horizontal="center" vertical="center" wrapText="1"/>
    </xf>
    <xf numFmtId="0" fontId="9" fillId="10" borderId="32" xfId="0" applyFont="1" applyFill="1" applyBorder="1" applyAlignment="1">
      <alignment horizontal="center" vertical="center" wrapText="1"/>
    </xf>
    <xf numFmtId="0" fontId="1" fillId="0" borderId="37" xfId="1" applyBorder="1" applyAlignment="1">
      <alignment horizontal="center"/>
    </xf>
    <xf numFmtId="0" fontId="20" fillId="19" borderId="37" xfId="0" applyFont="1" applyFill="1" applyBorder="1" applyAlignment="1">
      <alignment horizontal="center" vertical="center" wrapText="1"/>
    </xf>
    <xf numFmtId="0" fontId="20" fillId="0" borderId="37" xfId="0" applyFont="1" applyBorder="1" applyAlignment="1">
      <alignment horizontal="center" vertical="center" wrapText="1"/>
    </xf>
    <xf numFmtId="0" fontId="7" fillId="9" borderId="37" xfId="0" applyFont="1" applyFill="1" applyBorder="1" applyAlignment="1">
      <alignment horizontal="center" vertical="center" wrapText="1"/>
    </xf>
    <xf numFmtId="14" fontId="20" fillId="0" borderId="37" xfId="0" applyNumberFormat="1" applyFont="1" applyBorder="1" applyAlignment="1">
      <alignment horizontal="center" vertical="center" wrapText="1"/>
    </xf>
    <xf numFmtId="0" fontId="7" fillId="10" borderId="19" xfId="0" applyFont="1" applyFill="1" applyBorder="1" applyAlignment="1">
      <alignment horizontal="center" vertical="center" wrapText="1"/>
    </xf>
    <xf numFmtId="0" fontId="7" fillId="10" borderId="55" xfId="0" applyFont="1" applyFill="1" applyBorder="1" applyAlignment="1">
      <alignment horizontal="center" vertical="center" wrapText="1"/>
    </xf>
    <xf numFmtId="0" fontId="7" fillId="23" borderId="1" xfId="0" applyFont="1" applyFill="1" applyBorder="1" applyAlignment="1">
      <alignment horizontal="center" vertical="center" textRotation="90" wrapText="1"/>
    </xf>
    <xf numFmtId="0" fontId="7" fillId="22" borderId="31" xfId="0" applyFont="1" applyFill="1" applyBorder="1" applyAlignment="1">
      <alignment horizontal="center" vertical="center" wrapText="1"/>
    </xf>
    <xf numFmtId="0" fontId="7" fillId="22" borderId="32" xfId="0" applyFont="1" applyFill="1" applyBorder="1" applyAlignment="1">
      <alignment horizontal="center" vertical="center" wrapText="1"/>
    </xf>
    <xf numFmtId="0" fontId="7" fillId="22" borderId="33" xfId="0" applyFont="1" applyFill="1" applyBorder="1" applyAlignment="1">
      <alignment horizontal="center" vertical="center" wrapText="1"/>
    </xf>
    <xf numFmtId="0" fontId="7" fillId="22" borderId="34" xfId="0" applyFont="1" applyFill="1" applyBorder="1" applyAlignment="1">
      <alignment horizontal="center" vertical="center" wrapText="1"/>
    </xf>
    <xf numFmtId="0" fontId="9" fillId="23" borderId="1" xfId="0" applyFont="1" applyFill="1" applyBorder="1" applyAlignment="1">
      <alignment horizontal="center" vertical="center"/>
    </xf>
    <xf numFmtId="0" fontId="13" fillId="3" borderId="1" xfId="0" applyFont="1" applyFill="1" applyBorder="1" applyAlignment="1">
      <alignment horizontal="center" vertical="center"/>
    </xf>
    <xf numFmtId="0" fontId="7" fillId="3" borderId="1" xfId="0" applyFont="1" applyFill="1" applyBorder="1" applyAlignment="1">
      <alignment horizontal="center" vertical="center" textRotation="90" wrapText="1"/>
    </xf>
    <xf numFmtId="0" fontId="10"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7" fillId="24" borderId="1" xfId="0" applyFont="1" applyFill="1" applyBorder="1" applyAlignment="1">
      <alignment horizontal="center" vertical="center" wrapText="1"/>
    </xf>
    <xf numFmtId="0" fontId="32" fillId="10" borderId="1" xfId="0" applyFont="1" applyFill="1" applyBorder="1" applyAlignment="1">
      <alignment horizontal="center" vertical="center" wrapText="1"/>
    </xf>
    <xf numFmtId="0" fontId="32" fillId="10" borderId="1" xfId="0" applyFont="1" applyFill="1" applyBorder="1" applyAlignment="1">
      <alignment horizontal="center" vertical="center"/>
    </xf>
    <xf numFmtId="0" fontId="9" fillId="3" borderId="19" xfId="0" applyFont="1" applyFill="1" applyBorder="1" applyAlignment="1">
      <alignment horizontal="center" vertical="center"/>
    </xf>
    <xf numFmtId="0" fontId="9" fillId="3" borderId="56" xfId="0" applyFont="1" applyFill="1" applyBorder="1" applyAlignment="1">
      <alignment horizontal="center" vertical="center"/>
    </xf>
    <xf numFmtId="0" fontId="9" fillId="11" borderId="1" xfId="0" applyFont="1" applyFill="1" applyBorder="1" applyAlignment="1">
      <alignment horizontal="center" vertical="center" wrapText="1"/>
    </xf>
    <xf numFmtId="0" fontId="47" fillId="0" borderId="30" xfId="0" applyFont="1" applyBorder="1" applyAlignment="1">
      <alignment horizontal="center"/>
    </xf>
    <xf numFmtId="0" fontId="10" fillId="10" borderId="20" xfId="0" applyFont="1" applyFill="1" applyBorder="1" applyAlignment="1">
      <alignment horizontal="center" vertical="center"/>
    </xf>
    <xf numFmtId="0" fontId="10" fillId="10" borderId="21" xfId="0" applyFont="1" applyFill="1" applyBorder="1" applyAlignment="1">
      <alignment horizontal="center" vertical="center"/>
    </xf>
    <xf numFmtId="0" fontId="10" fillId="10" borderId="22" xfId="0" applyFont="1" applyFill="1" applyBorder="1" applyAlignment="1">
      <alignment horizontal="center" vertical="center"/>
    </xf>
    <xf numFmtId="0" fontId="1" fillId="0" borderId="9" xfId="1" applyBorder="1" applyAlignment="1">
      <alignment horizontal="center"/>
    </xf>
    <xf numFmtId="0" fontId="1" fillId="0" borderId="10" xfId="1" applyBorder="1" applyAlignment="1">
      <alignment horizontal="center"/>
    </xf>
    <xf numFmtId="0" fontId="1" fillId="0" borderId="12" xfId="1" applyBorder="1" applyAlignment="1">
      <alignment horizontal="center"/>
    </xf>
    <xf numFmtId="0" fontId="1" fillId="0" borderId="15" xfId="1" applyBorder="1" applyAlignment="1">
      <alignment horizontal="center"/>
    </xf>
    <xf numFmtId="0" fontId="1" fillId="0" borderId="13" xfId="1" applyBorder="1" applyAlignment="1">
      <alignment horizontal="center"/>
    </xf>
    <xf numFmtId="0" fontId="1" fillId="0" borderId="14" xfId="1" applyBorder="1" applyAlignment="1">
      <alignment horizontal="center"/>
    </xf>
    <xf numFmtId="0" fontId="20" fillId="19" borderId="12" xfId="0" applyFont="1" applyFill="1" applyBorder="1" applyAlignment="1">
      <alignment horizontal="center" vertical="center" wrapText="1"/>
    </xf>
    <xf numFmtId="0" fontId="20" fillId="19" borderId="0" xfId="0" applyFont="1" applyFill="1" applyAlignment="1">
      <alignment horizontal="center" vertical="center" wrapText="1"/>
    </xf>
    <xf numFmtId="0" fontId="20" fillId="0" borderId="0" xfId="0" applyFont="1" applyAlignment="1">
      <alignment horizontal="center" vertical="center" wrapText="1"/>
    </xf>
    <xf numFmtId="0" fontId="20" fillId="0" borderId="15" xfId="0" applyFont="1" applyBorder="1" applyAlignment="1">
      <alignment horizontal="center" vertical="center" wrapText="1"/>
    </xf>
    <xf numFmtId="0" fontId="7" fillId="9" borderId="12" xfId="0" applyFont="1" applyFill="1" applyBorder="1" applyAlignment="1">
      <alignment horizontal="center" vertical="center" wrapText="1"/>
    </xf>
    <xf numFmtId="0" fontId="7" fillId="9" borderId="0" xfId="0" applyFont="1" applyFill="1" applyAlignment="1">
      <alignment horizontal="center" vertical="center" wrapText="1"/>
    </xf>
    <xf numFmtId="0" fontId="7" fillId="9" borderId="57" xfId="0" applyFont="1" applyFill="1" applyBorder="1" applyAlignment="1">
      <alignment horizontal="center" vertical="center" wrapText="1"/>
    </xf>
    <xf numFmtId="0" fontId="7" fillId="9" borderId="15" xfId="0" applyFont="1" applyFill="1" applyBorder="1" applyAlignment="1">
      <alignment horizontal="center" vertical="center" wrapText="1"/>
    </xf>
    <xf numFmtId="0" fontId="20" fillId="0" borderId="12" xfId="0" applyFont="1" applyBorder="1" applyAlignment="1">
      <alignment horizontal="center" vertical="center" wrapText="1"/>
    </xf>
    <xf numFmtId="14" fontId="20" fillId="0" borderId="0" xfId="0" applyNumberFormat="1" applyFont="1" applyAlignment="1">
      <alignment horizontal="center" vertical="center" wrapText="1"/>
    </xf>
    <xf numFmtId="14" fontId="20" fillId="0" borderId="15" xfId="0" applyNumberFormat="1" applyFont="1" applyBorder="1" applyAlignment="1">
      <alignment horizontal="center" vertical="center" wrapText="1"/>
    </xf>
    <xf numFmtId="0" fontId="21" fillId="0" borderId="11" xfId="0" applyFont="1" applyBorder="1" applyAlignment="1">
      <alignment horizontal="center" vertical="center" wrapText="1"/>
    </xf>
    <xf numFmtId="0" fontId="22" fillId="20" borderId="11" xfId="0" applyFont="1" applyFill="1" applyBorder="1" applyAlignment="1">
      <alignment horizontal="center" vertical="center" wrapText="1"/>
    </xf>
    <xf numFmtId="14" fontId="22" fillId="20" borderId="11" xfId="0" applyNumberFormat="1" applyFont="1" applyFill="1" applyBorder="1" applyAlignment="1">
      <alignment horizontal="center" vertical="center" wrapText="1"/>
    </xf>
    <xf numFmtId="0" fontId="9" fillId="14" borderId="3" xfId="0" applyFont="1" applyFill="1" applyBorder="1" applyAlignment="1">
      <alignment horizontal="center" vertical="center" wrapText="1"/>
    </xf>
    <xf numFmtId="0" fontId="9" fillId="14" borderId="4"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9" fillId="10" borderId="55" xfId="0" applyFont="1" applyFill="1" applyBorder="1" applyAlignment="1">
      <alignment horizontal="center" vertical="center" wrapText="1"/>
    </xf>
  </cellXfs>
  <cellStyles count="7">
    <cellStyle name="Comma" xfId="5" builtinId="3"/>
    <cellStyle name="Normal" xfId="0" builtinId="0"/>
    <cellStyle name="Normal 2" xfId="1" xr:uid="{00000000-0005-0000-0000-000002000000}"/>
    <cellStyle name="Normal 4" xfId="2" xr:uid="{00000000-0005-0000-0000-000003000000}"/>
    <cellStyle name="Normal 5" xfId="3" xr:uid="{00000000-0005-0000-0000-000004000000}"/>
    <cellStyle name="Normal 6" xfId="4" xr:uid="{00000000-0005-0000-0000-000005000000}"/>
    <cellStyle name="Percent" xfId="6" builtinId="5"/>
  </cellStyles>
  <dxfs count="10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none">
          <fgColor indexed="64"/>
          <bgColor indexed="65"/>
        </patternFill>
      </fill>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protection locked="0" hidden="0"/>
    </dxf>
    <dxf>
      <numFmt numFmtId="0" formatCode="General"/>
      <fill>
        <patternFill patternType="none">
          <fgColor indexed="64"/>
          <bgColor indexed="65"/>
        </patternFill>
      </fill>
      <alignment horizontal="center" vertical="center" textRotation="0" wrapText="1" indent="0" justifyLastLine="0" shrinkToFit="0" readingOrder="0"/>
      <protection locked="0" hidden="0"/>
    </dxf>
    <dxf>
      <numFmt numFmtId="168" formatCode="d/mm/yyyy\ h:mm"/>
      <alignment horizontal="center" vertical="center" textRotation="0" indent="0" justifyLastLine="0" shrinkToFit="0" readingOrder="0"/>
      <protection locked="0" hidden="0"/>
    </dxf>
    <dxf>
      <numFmt numFmtId="168" formatCode="d/mm/yyyy\ h:mm"/>
      <alignment horizontal="center" vertical="center" textRotation="0" indent="0" justifyLastLine="0" shrinkToFit="0" readingOrder="0"/>
      <protection locked="0" hidden="0"/>
    </dxf>
    <dxf>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border outline="0">
        <right style="thin">
          <color indexed="64"/>
        </right>
        <bottom style="thin">
          <color indexed="64"/>
        </bottom>
      </border>
    </dxf>
    <dxf>
      <alignment horizontal="center" vertical="center" textRotation="0" indent="0" justifyLastLine="0" shrinkToFit="0" readingOrder="0"/>
      <protection locked="0" hidden="0"/>
    </dxf>
    <dxf>
      <font>
        <b/>
        <i val="0"/>
        <strike val="0"/>
        <condense val="0"/>
        <extend val="0"/>
        <outline val="0"/>
        <shadow val="0"/>
        <u val="none"/>
        <vertAlign val="baseline"/>
        <sz val="14"/>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s>
  <tableStyles count="0" defaultTableStyle="TableStyleMedium2" defaultPivotStyle="PivotStyleLight16"/>
  <colors>
    <mruColors>
      <color rgb="FF77EEF2"/>
      <color rgb="FFFF99FF"/>
      <color rgb="FFCC66FF"/>
      <color rgb="FFCC99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Disponibilidad por aplicación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AEAAAA"/>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3-7252-4574-9DE4-8B925D3CA396}"/>
              </c:ext>
            </c:extLst>
          </c:dPt>
          <c:dPt>
            <c:idx val="1"/>
            <c:invertIfNegative val="0"/>
            <c:bubble3D val="0"/>
            <c:spPr>
              <a:solidFill>
                <a:srgbClr val="8EA9DB"/>
              </a:solidFill>
              <a:ln>
                <a:noFill/>
              </a:ln>
              <a:effectLst/>
            </c:spPr>
            <c:extLst>
              <c:ext xmlns:c16="http://schemas.microsoft.com/office/drawing/2014/chart" uri="{C3380CC4-5D6E-409C-BE32-E72D297353CC}">
                <c16:uniqueId val="{00000004-7252-4574-9DE4-8B925D3CA3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'SuChance - Huila'!$X$9:$X$11</c:f>
              <c:strCache>
                <c:ptCount val="3"/>
                <c:pt idx="0">
                  <c:v>JADE</c:v>
                </c:pt>
                <c:pt idx="1">
                  <c:v>SIGA</c:v>
                </c:pt>
                <c:pt idx="2">
                  <c:v>General Aplicacion.</c:v>
                </c:pt>
              </c:strCache>
            </c:strRef>
          </c:cat>
          <c:val>
            <c:numRef>
              <c:f>'SuChance - Huila'!$Y$9:$Y$11</c:f>
              <c:numCache>
                <c:formatCode>0.00</c:formatCode>
                <c:ptCount val="3"/>
                <c:pt idx="0">
                  <c:v>100</c:v>
                </c:pt>
                <c:pt idx="1">
                  <c:v>100</c:v>
                </c:pt>
                <c:pt idx="2">
                  <c:v>100</c:v>
                </c:pt>
              </c:numCache>
            </c:numRef>
          </c:val>
          <c:extLst>
            <c:ext xmlns:c16="http://schemas.microsoft.com/office/drawing/2014/chart" uri="{C3380CC4-5D6E-409C-BE32-E72D297353CC}">
              <c16:uniqueId val="{00000001-7252-4574-9DE4-8B925D3CA396}"/>
            </c:ext>
          </c:extLst>
        </c:ser>
        <c:dLbls>
          <c:dLblPos val="outEnd"/>
          <c:showLegendKey val="0"/>
          <c:showVal val="1"/>
          <c:showCatName val="0"/>
          <c:showSerName val="0"/>
          <c:showPercent val="0"/>
          <c:showBubbleSize val="0"/>
        </c:dLbls>
        <c:gapWidth val="219"/>
        <c:overlap val="-27"/>
        <c:axId val="1064377351"/>
        <c:axId val="1064403975"/>
      </c:barChart>
      <c:catAx>
        <c:axId val="1064377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03975"/>
        <c:crosses val="autoZero"/>
        <c:auto val="1"/>
        <c:lblAlgn val="ctr"/>
        <c:lblOffset val="100"/>
        <c:noMultiLvlLbl val="0"/>
      </c:catAx>
      <c:valAx>
        <c:axId val="1064403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77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Disponiblidad por producto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AEAAAA"/>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3-C7D3-4893-979D-01C17B2B5ADC}"/>
              </c:ext>
            </c:extLst>
          </c:dPt>
          <c:dPt>
            <c:idx val="1"/>
            <c:invertIfNegative val="0"/>
            <c:bubble3D val="0"/>
            <c:spPr>
              <a:solidFill>
                <a:srgbClr val="FFC000"/>
              </a:solidFill>
              <a:ln>
                <a:noFill/>
              </a:ln>
              <a:effectLst/>
            </c:spPr>
            <c:extLst>
              <c:ext xmlns:c16="http://schemas.microsoft.com/office/drawing/2014/chart" uri="{C3380CC4-5D6E-409C-BE32-E72D297353CC}">
                <c16:uniqueId val="{00000004-C7D3-4893-979D-01C17B2B5ADC}"/>
              </c:ext>
            </c:extLst>
          </c:dPt>
          <c:dPt>
            <c:idx val="2"/>
            <c:invertIfNegative val="0"/>
            <c:bubble3D val="0"/>
            <c:spPr>
              <a:solidFill>
                <a:srgbClr val="8EA9DB"/>
              </a:solidFill>
              <a:ln>
                <a:noFill/>
              </a:ln>
              <a:effectLst/>
            </c:spPr>
            <c:extLst>
              <c:ext xmlns:c16="http://schemas.microsoft.com/office/drawing/2014/chart" uri="{C3380CC4-5D6E-409C-BE32-E72D297353CC}">
                <c16:uniqueId val="{00000005-C7D3-4893-979D-01C17B2B5ADC}"/>
              </c:ext>
            </c:extLst>
          </c:dPt>
          <c:dPt>
            <c:idx val="3"/>
            <c:invertIfNegative val="0"/>
            <c:bubble3D val="0"/>
            <c:spPr>
              <a:solidFill>
                <a:srgbClr val="CC99FF"/>
              </a:solidFill>
              <a:ln>
                <a:noFill/>
              </a:ln>
              <a:effectLst/>
            </c:spPr>
            <c:extLst>
              <c:ext xmlns:c16="http://schemas.microsoft.com/office/drawing/2014/chart" uri="{C3380CC4-5D6E-409C-BE32-E72D297353CC}">
                <c16:uniqueId val="{00000006-C7D3-4893-979D-01C17B2B5A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'SuChance - Huila'!$X$15:$X$19</c:f>
              <c:strCache>
                <c:ptCount val="5"/>
                <c:pt idx="0">
                  <c:v>Apuestas - Chance</c:v>
                </c:pt>
                <c:pt idx="1">
                  <c:v>PAGOS</c:v>
                </c:pt>
                <c:pt idx="2">
                  <c:v>RECAUDOS</c:v>
                </c:pt>
                <c:pt idx="3">
                  <c:v>RECARGAS</c:v>
                </c:pt>
                <c:pt idx="4">
                  <c:v>General Prod.</c:v>
                </c:pt>
              </c:strCache>
            </c:strRef>
          </c:cat>
          <c:val>
            <c:numRef>
              <c:f>'SuChance - Huila'!$Y$15:$Y$19</c:f>
              <c:numCache>
                <c:formatCode>0.00</c:formatCode>
                <c:ptCount val="5"/>
                <c:pt idx="0">
                  <c:v>100</c:v>
                </c:pt>
                <c:pt idx="1">
                  <c:v>100</c:v>
                </c:pt>
                <c:pt idx="2">
                  <c:v>100</c:v>
                </c:pt>
                <c:pt idx="3">
                  <c:v>100</c:v>
                </c:pt>
                <c:pt idx="4">
                  <c:v>100</c:v>
                </c:pt>
              </c:numCache>
            </c:numRef>
          </c:val>
          <c:extLst>
            <c:ext xmlns:c16="http://schemas.microsoft.com/office/drawing/2014/chart" uri="{C3380CC4-5D6E-409C-BE32-E72D297353CC}">
              <c16:uniqueId val="{00000001-C7D3-4893-979D-01C17B2B5ADC}"/>
            </c:ext>
          </c:extLst>
        </c:ser>
        <c:dLbls>
          <c:dLblPos val="outEnd"/>
          <c:showLegendKey val="0"/>
          <c:showVal val="1"/>
          <c:showCatName val="0"/>
          <c:showSerName val="0"/>
          <c:showPercent val="0"/>
          <c:showBubbleSize val="0"/>
        </c:dLbls>
        <c:gapWidth val="219"/>
        <c:overlap val="-27"/>
        <c:axId val="1064433671"/>
        <c:axId val="1402077192"/>
      </c:barChart>
      <c:catAx>
        <c:axId val="1064433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77192"/>
        <c:crosses val="autoZero"/>
        <c:auto val="1"/>
        <c:lblAlgn val="ctr"/>
        <c:lblOffset val="100"/>
        <c:noMultiLvlLbl val="0"/>
      </c:catAx>
      <c:valAx>
        <c:axId val="1402077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33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Disponibilidad Octubre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D6-4FD4-8932-B7E53AC463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D6-4FD4-8932-B7E53AC463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Hoja2!$N$25:$N$26</c:f>
              <c:strCache>
                <c:ptCount val="2"/>
                <c:pt idx="0">
                  <c:v>Disponibilidad</c:v>
                </c:pt>
                <c:pt idx="1">
                  <c:v>Indisponibilidad</c:v>
                </c:pt>
              </c:strCache>
            </c:strRef>
          </c:cat>
          <c:val>
            <c:numRef>
              <c:f>Hoja2!$O$25:$O$26</c:f>
              <c:numCache>
                <c:formatCode>0.00%</c:formatCode>
                <c:ptCount val="2"/>
                <c:pt idx="0">
                  <c:v>0.99180000000000001</c:v>
                </c:pt>
                <c:pt idx="1">
                  <c:v>7.7999999999999996E-3</c:v>
                </c:pt>
              </c:numCache>
            </c:numRef>
          </c:val>
          <c:extLst>
            <c:ext xmlns:c16="http://schemas.microsoft.com/office/drawing/2014/chart" uri="{C3380CC4-5D6E-409C-BE32-E72D297353CC}">
              <c16:uniqueId val="{00000001-673A-46DD-910C-B68FEEBDE79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Hoja2!$C$36</c:f>
              <c:strCache>
                <c:ptCount val="1"/>
                <c:pt idx="0">
                  <c:v>% Disponibilidad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Hoja2!$B$37:$B$42</c:f>
              <c:strCache>
                <c:ptCount val="6"/>
                <c:pt idx="0">
                  <c:v>Mayo</c:v>
                </c:pt>
                <c:pt idx="1">
                  <c:v>Junio</c:v>
                </c:pt>
                <c:pt idx="2">
                  <c:v>Julio</c:v>
                </c:pt>
                <c:pt idx="3">
                  <c:v>Agosto</c:v>
                </c:pt>
                <c:pt idx="4">
                  <c:v>Septiembre</c:v>
                </c:pt>
                <c:pt idx="5">
                  <c:v>Octubre</c:v>
                </c:pt>
              </c:strCache>
            </c:strRef>
          </c:cat>
          <c:val>
            <c:numRef>
              <c:f>Hoja2!$C$37:$C$42</c:f>
              <c:numCache>
                <c:formatCode>_(* #,##0.00_);_(* \(#,##0.00\);_(* "-"??_);_(@_)</c:formatCode>
                <c:ptCount val="6"/>
                <c:pt idx="0">
                  <c:v>99.991</c:v>
                </c:pt>
                <c:pt idx="1">
                  <c:v>99.986000000000004</c:v>
                </c:pt>
                <c:pt idx="2">
                  <c:v>100</c:v>
                </c:pt>
                <c:pt idx="3">
                  <c:v>100</c:v>
                </c:pt>
                <c:pt idx="4">
                  <c:v>99.891748236331779</c:v>
                </c:pt>
                <c:pt idx="5">
                  <c:v>99.184030807279299</c:v>
                </c:pt>
              </c:numCache>
            </c:numRef>
          </c:val>
          <c:extLst>
            <c:ext xmlns:c16="http://schemas.microsoft.com/office/drawing/2014/chart" uri="{C3380CC4-5D6E-409C-BE32-E72D297353CC}">
              <c16:uniqueId val="{00000001-C810-4962-941A-F832E0FE8489}"/>
            </c:ext>
          </c:extLst>
        </c:ser>
        <c:dLbls>
          <c:dLblPos val="outEnd"/>
          <c:showLegendKey val="0"/>
          <c:showVal val="1"/>
          <c:showCatName val="0"/>
          <c:showSerName val="0"/>
          <c:showPercent val="0"/>
          <c:showBubbleSize val="0"/>
        </c:dLbls>
        <c:gapWidth val="219"/>
        <c:overlap val="-27"/>
        <c:axId val="1767731208"/>
        <c:axId val="1767733256"/>
      </c:barChart>
      <c:catAx>
        <c:axId val="1767731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67733256"/>
        <c:crosses val="autoZero"/>
        <c:auto val="1"/>
        <c:lblAlgn val="ctr"/>
        <c:lblOffset val="100"/>
        <c:noMultiLvlLbl val="0"/>
      </c:catAx>
      <c:valAx>
        <c:axId val="176773325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67731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Disponibilidad por aplicación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spPr>
              <a:solidFill>
                <a:srgbClr val="C6E0B4"/>
              </a:solidFill>
              <a:ln w="19050">
                <a:solidFill>
                  <a:schemeClr val="lt1"/>
                </a:solidFill>
              </a:ln>
              <a:effectLst/>
            </c:spPr>
            <c:extLst>
              <c:ext xmlns:c16="http://schemas.microsoft.com/office/drawing/2014/chart" uri="{C3380CC4-5D6E-409C-BE32-E72D297353CC}">
                <c16:uniqueId val="{00000003-AAFA-4728-B7A7-A8784FA2243E}"/>
              </c:ext>
            </c:extLst>
          </c:dPt>
          <c:dPt>
            <c:idx val="1"/>
            <c:invertIfNegative val="0"/>
            <c:bubble3D val="0"/>
            <c:spPr>
              <a:solidFill>
                <a:srgbClr val="B4C6E7"/>
              </a:solidFill>
              <a:ln w="19050">
                <a:solidFill>
                  <a:schemeClr val="lt1"/>
                </a:solidFill>
              </a:ln>
              <a:effectLst/>
            </c:spPr>
            <c:extLst>
              <c:ext xmlns:c16="http://schemas.microsoft.com/office/drawing/2014/chart" uri="{C3380CC4-5D6E-409C-BE32-E72D297353CC}">
                <c16:uniqueId val="{00000004-AAFA-4728-B7A7-A8784FA2243E}"/>
              </c:ext>
            </c:extLst>
          </c:dPt>
          <c:dPt>
            <c:idx val="2"/>
            <c:invertIfNegative val="0"/>
            <c:bubble3D val="0"/>
            <c:spPr>
              <a:solidFill>
                <a:srgbClr val="77EEF2"/>
              </a:solidFill>
              <a:ln w="19050">
                <a:solidFill>
                  <a:schemeClr val="lt1"/>
                </a:solidFill>
              </a:ln>
              <a:effectLst/>
            </c:spPr>
            <c:extLst>
              <c:ext xmlns:c16="http://schemas.microsoft.com/office/drawing/2014/chart" uri="{C3380CC4-5D6E-409C-BE32-E72D297353CC}">
                <c16:uniqueId val="{00000005-AAFA-4728-B7A7-A8784FA224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'Gana - Antioquia'!$Y$10:$Y$14</c:f>
              <c:strCache>
                <c:ptCount val="5"/>
                <c:pt idx="0">
                  <c:v>JADE</c:v>
                </c:pt>
                <c:pt idx="1">
                  <c:v>SIGA</c:v>
                </c:pt>
                <c:pt idx="2">
                  <c:v>INVICTUS</c:v>
                </c:pt>
                <c:pt idx="3">
                  <c:v>WEB'S</c:v>
                </c:pt>
                <c:pt idx="4">
                  <c:v>SALO -LOTERIA</c:v>
                </c:pt>
              </c:strCache>
            </c:strRef>
          </c:cat>
          <c:val>
            <c:numRef>
              <c:f>'Gana - Antioquia'!$Z$10:$Z$14</c:f>
              <c:numCache>
                <c:formatCode>0.00</c:formatCode>
                <c:ptCount val="5"/>
                <c:pt idx="0">
                  <c:v>100</c:v>
                </c:pt>
                <c:pt idx="1">
                  <c:v>100</c:v>
                </c:pt>
                <c:pt idx="2">
                  <c:v>100</c:v>
                </c:pt>
                <c:pt idx="3">
                  <c:v>99.784482758620683</c:v>
                </c:pt>
                <c:pt idx="4">
                  <c:v>100</c:v>
                </c:pt>
              </c:numCache>
            </c:numRef>
          </c:val>
          <c:extLst>
            <c:ext xmlns:c16="http://schemas.microsoft.com/office/drawing/2014/chart" uri="{C3380CC4-5D6E-409C-BE32-E72D297353CC}">
              <c16:uniqueId val="{00000001-AAFA-4728-B7A7-A8784FA2243E}"/>
            </c:ext>
          </c:extLst>
        </c:ser>
        <c:dLbls>
          <c:dLblPos val="outEnd"/>
          <c:showLegendKey val="0"/>
          <c:showVal val="1"/>
          <c:showCatName val="0"/>
          <c:showSerName val="0"/>
          <c:showPercent val="0"/>
          <c:showBubbleSize val="0"/>
        </c:dLbls>
        <c:gapWidth val="150"/>
        <c:axId val="177847815"/>
        <c:axId val="1144141831"/>
      </c:barChart>
      <c:catAx>
        <c:axId val="177847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41831"/>
        <c:crosses val="autoZero"/>
        <c:auto val="1"/>
        <c:lblAlgn val="ctr"/>
        <c:lblOffset val="100"/>
        <c:noMultiLvlLbl val="0"/>
      </c:catAx>
      <c:valAx>
        <c:axId val="1144141831"/>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47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Disponiblidad por producto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A9D08E"/>
            </a:solidFill>
            <a:ln>
              <a:noFill/>
            </a:ln>
            <a:effectLst/>
          </c:spPr>
          <c:invertIfNegative val="0"/>
          <c:dPt>
            <c:idx val="1"/>
            <c:invertIfNegative val="0"/>
            <c:bubble3D val="0"/>
            <c:spPr>
              <a:solidFill>
                <a:srgbClr val="CC99FF"/>
              </a:solidFill>
              <a:ln>
                <a:noFill/>
              </a:ln>
              <a:effectLst/>
            </c:spPr>
            <c:extLst>
              <c:ext xmlns:c16="http://schemas.microsoft.com/office/drawing/2014/chart" uri="{C3380CC4-5D6E-409C-BE32-E72D297353CC}">
                <c16:uniqueId val="{00000003-BE07-4534-862E-01DECAE2D535}"/>
              </c:ext>
            </c:extLst>
          </c:dPt>
          <c:dPt>
            <c:idx val="2"/>
            <c:invertIfNegative val="0"/>
            <c:bubble3D val="0"/>
            <c:spPr>
              <a:solidFill>
                <a:srgbClr val="DBDBDB"/>
              </a:solidFill>
              <a:ln>
                <a:noFill/>
              </a:ln>
              <a:effectLst/>
            </c:spPr>
            <c:extLst>
              <c:ext xmlns:c16="http://schemas.microsoft.com/office/drawing/2014/chart" uri="{C3380CC4-5D6E-409C-BE32-E72D297353CC}">
                <c16:uniqueId val="{00000004-BE07-4534-862E-01DECAE2D535}"/>
              </c:ext>
            </c:extLst>
          </c:dPt>
          <c:dPt>
            <c:idx val="3"/>
            <c:invertIfNegative val="0"/>
            <c:bubble3D val="0"/>
            <c:spPr>
              <a:solidFill>
                <a:srgbClr val="7030A0"/>
              </a:solidFill>
              <a:ln>
                <a:noFill/>
              </a:ln>
              <a:effectLst/>
            </c:spPr>
            <c:extLst>
              <c:ext xmlns:c16="http://schemas.microsoft.com/office/drawing/2014/chart" uri="{C3380CC4-5D6E-409C-BE32-E72D297353CC}">
                <c16:uniqueId val="{00000005-BE07-4534-862E-01DECAE2D5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'Gana - Antioquia'!$Y$19:$Y$22</c:f>
              <c:strCache>
                <c:ptCount val="4"/>
                <c:pt idx="0">
                  <c:v>Apuestas - Chance</c:v>
                </c:pt>
                <c:pt idx="1">
                  <c:v>PAGOS</c:v>
                </c:pt>
                <c:pt idx="2">
                  <c:v>RECAUDOS</c:v>
                </c:pt>
                <c:pt idx="3">
                  <c:v>RECARGAS</c:v>
                </c:pt>
              </c:strCache>
            </c:strRef>
          </c:cat>
          <c:val>
            <c:numRef>
              <c:f>'Gana - Antioquia'!$Z$19:$Z$22</c:f>
              <c:numCache>
                <c:formatCode>0.00</c:formatCode>
                <c:ptCount val="4"/>
                <c:pt idx="0">
                  <c:v>99.746168582376043</c:v>
                </c:pt>
                <c:pt idx="1">
                  <c:v>100</c:v>
                </c:pt>
                <c:pt idx="2">
                  <c:v>100</c:v>
                </c:pt>
                <c:pt idx="3">
                  <c:v>100</c:v>
                </c:pt>
              </c:numCache>
            </c:numRef>
          </c:val>
          <c:extLst>
            <c:ext xmlns:c16="http://schemas.microsoft.com/office/drawing/2014/chart" uri="{C3380CC4-5D6E-409C-BE32-E72D297353CC}">
              <c16:uniqueId val="{00000001-BE07-4534-862E-01DECAE2D535}"/>
            </c:ext>
          </c:extLst>
        </c:ser>
        <c:dLbls>
          <c:dLblPos val="outEnd"/>
          <c:showLegendKey val="0"/>
          <c:showVal val="1"/>
          <c:showCatName val="0"/>
          <c:showSerName val="0"/>
          <c:showPercent val="0"/>
          <c:showBubbleSize val="0"/>
        </c:dLbls>
        <c:gapWidth val="219"/>
        <c:overlap val="-27"/>
        <c:axId val="1393310727"/>
        <c:axId val="1393337351"/>
      </c:barChart>
      <c:catAx>
        <c:axId val="1393310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37351"/>
        <c:crosses val="autoZero"/>
        <c:auto val="1"/>
        <c:lblAlgn val="ctr"/>
        <c:lblOffset val="100"/>
        <c:noMultiLvlLbl val="0"/>
      </c:catAx>
      <c:valAx>
        <c:axId val="1393337351"/>
        <c:scaling>
          <c:orientation val="minMax"/>
          <c:max val="100"/>
          <c:min val="8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10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'Gana - Antioquia'!$Y$15</c:f>
              <c:strCache>
                <c:ptCount val="1"/>
                <c:pt idx="0">
                  <c:v>General Aplicacion.</c:v>
                </c:pt>
              </c:strCache>
            </c:strRef>
          </c:tx>
          <c:dPt>
            <c:idx val="0"/>
            <c:bubble3D val="0"/>
            <c:spPr>
              <a:solidFill>
                <a:srgbClr val="CC99FF"/>
              </a:solidFill>
              <a:ln w="19050">
                <a:solidFill>
                  <a:schemeClr val="lt1"/>
                </a:solidFill>
              </a:ln>
              <a:effectLst/>
            </c:spPr>
            <c:extLst>
              <c:ext xmlns:c16="http://schemas.microsoft.com/office/drawing/2014/chart" uri="{C3380CC4-5D6E-409C-BE32-E72D297353CC}">
                <c16:uniqueId val="{00000003-8A6D-42B5-9D54-B905276615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'Gana - Antioquia'!$Z$15</c:f>
              <c:numCache>
                <c:formatCode>0.00</c:formatCode>
                <c:ptCount val="1"/>
                <c:pt idx="0">
                  <c:v>99.984913793103445</c:v>
                </c:pt>
              </c:numCache>
            </c:numRef>
          </c:val>
          <c:extLst>
            <c:ext xmlns:c16="http://schemas.microsoft.com/office/drawing/2014/chart" uri="{C3380CC4-5D6E-409C-BE32-E72D297353CC}">
              <c16:uniqueId val="{00000001-8A6D-42B5-9D54-B9052766154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Disponibilidad General x Prod.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'Gana - Antioquia'!$Y$23</c:f>
              <c:strCache>
                <c:ptCount val="1"/>
                <c:pt idx="0">
                  <c:v>General Prod.</c:v>
                </c:pt>
              </c:strCache>
            </c:strRef>
          </c:tx>
          <c:spPr>
            <a:solidFill>
              <a:srgbClr val="CC66FF"/>
            </a:solidFill>
          </c:spPr>
          <c:dPt>
            <c:idx val="0"/>
            <c:bubble3D val="0"/>
            <c:spPr>
              <a:solidFill>
                <a:srgbClr val="CC66FF"/>
              </a:solidFill>
              <a:ln w="19050">
                <a:solidFill>
                  <a:schemeClr val="lt1"/>
                </a:solidFill>
              </a:ln>
              <a:effectLst/>
            </c:spPr>
            <c:extLst>
              <c:ext xmlns:c16="http://schemas.microsoft.com/office/drawing/2014/chart" uri="{C3380CC4-5D6E-409C-BE32-E72D297353CC}">
                <c16:uniqueId val="{00000001-31DB-4DEA-BFEA-BEBA53663D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'Gana - Antioquia'!$Z$23</c:f>
              <c:numCache>
                <c:formatCode>0.00</c:formatCode>
                <c:ptCount val="1"/>
                <c:pt idx="0">
                  <c:v>99.855316091954336</c:v>
                </c:pt>
              </c:numCache>
            </c:numRef>
          </c:val>
          <c:extLst>
            <c:ext xmlns:c16="http://schemas.microsoft.com/office/drawing/2014/chart" uri="{C3380CC4-5D6E-409C-BE32-E72D297353CC}">
              <c16:uniqueId val="{00000001-E97D-45EC-988E-093D23D7355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Cumplimiento ANS Requerimientos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54-49A8-9417-CCC12846DC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6F-4980-A633-6F2460690BD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5717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'Gana - Antioquia'!$AQ$12:$AQ$13</c:f>
              <c:strCache>
                <c:ptCount val="2"/>
                <c:pt idx="0">
                  <c:v>Cumple</c:v>
                </c:pt>
                <c:pt idx="1">
                  <c:v>No cumple</c:v>
                </c:pt>
              </c:strCache>
            </c:strRef>
          </c:cat>
          <c:val>
            <c:numRef>
              <c:f>'Gana - Antioquia'!$AR$12:$AR$13</c:f>
              <c:numCache>
                <c:formatCode>0.0</c:formatCode>
                <c:ptCount val="2"/>
                <c:pt idx="0">
                  <c:v>74.8</c:v>
                </c:pt>
                <c:pt idx="1">
                  <c:v>25.200000000000003</c:v>
                </c:pt>
              </c:numCache>
            </c:numRef>
          </c:val>
          <c:extLst>
            <c:ext xmlns:c16="http://schemas.microsoft.com/office/drawing/2014/chart" uri="{C3380CC4-5D6E-409C-BE32-E72D297353CC}">
              <c16:uniqueId val="{00000001-696F-4980-A633-6F2460690BD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Cumplimiento ANS Incidentes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6E-44AC-87DC-265721FD5E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6E-44AC-87DC-265721FD5EE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5717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'Gana - Antioquia'!$AQ$17:$AQ$18</c:f>
              <c:strCache>
                <c:ptCount val="2"/>
                <c:pt idx="0">
                  <c:v>Cumple</c:v>
                </c:pt>
                <c:pt idx="1">
                  <c:v>No cumple</c:v>
                </c:pt>
              </c:strCache>
            </c:strRef>
          </c:cat>
          <c:val>
            <c:numRef>
              <c:f>'Gana - Antioquia'!$AR$17:$AR$18</c:f>
              <c:numCache>
                <c:formatCode>0.00</c:formatCode>
                <c:ptCount val="2"/>
                <c:pt idx="0">
                  <c:v>71.05263157894737</c:v>
                </c:pt>
                <c:pt idx="1">
                  <c:v>28.94736842105263</c:v>
                </c:pt>
              </c:numCache>
            </c:numRef>
          </c:val>
          <c:extLst>
            <c:ext xmlns:c16="http://schemas.microsoft.com/office/drawing/2014/chart" uri="{C3380CC4-5D6E-409C-BE32-E72D297353CC}">
              <c16:uniqueId val="{00000001-1946-4155-987D-990D202168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Disponibilidad por Aplicación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'Gana Gana - Tolima'!$X$9:$X$10</c:f>
              <c:strCache>
                <c:ptCount val="2"/>
                <c:pt idx="0">
                  <c:v>JADE</c:v>
                </c:pt>
                <c:pt idx="1">
                  <c:v>SIGA</c:v>
                </c:pt>
              </c:strCache>
            </c:strRef>
          </c:cat>
          <c:val>
            <c:numRef>
              <c:f>'Gana Gana - Tolima'!$Y$9:$Y$10</c:f>
              <c:numCache>
                <c:formatCode>0.00</c:formatCode>
                <c:ptCount val="2"/>
                <c:pt idx="0">
                  <c:v>99.940134099622441</c:v>
                </c:pt>
                <c:pt idx="1">
                  <c:v>99.940134099622441</c:v>
                </c:pt>
              </c:numCache>
            </c:numRef>
          </c:val>
          <c:extLst>
            <c:ext xmlns:c16="http://schemas.microsoft.com/office/drawing/2014/chart" uri="{C3380CC4-5D6E-409C-BE32-E72D297353CC}">
              <c16:uniqueId val="{00000001-4A8B-4822-9B01-6DCFEF749EB1}"/>
            </c:ext>
          </c:extLst>
        </c:ser>
        <c:dLbls>
          <c:dLblPos val="outEnd"/>
          <c:showLegendKey val="0"/>
          <c:showVal val="1"/>
          <c:showCatName val="0"/>
          <c:showSerName val="0"/>
          <c:showPercent val="0"/>
          <c:showBubbleSize val="0"/>
        </c:dLbls>
        <c:gapWidth val="219"/>
        <c:overlap val="-27"/>
        <c:axId val="1352692231"/>
        <c:axId val="1352694279"/>
      </c:barChart>
      <c:catAx>
        <c:axId val="1352692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94279"/>
        <c:crosses val="autoZero"/>
        <c:auto val="1"/>
        <c:lblAlgn val="ctr"/>
        <c:lblOffset val="100"/>
        <c:noMultiLvlLbl val="0"/>
      </c:catAx>
      <c:valAx>
        <c:axId val="1352694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92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disponibilidad por Producto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'Gana Gana - Tolima'!$X$15:$X$18</c:f>
              <c:strCache>
                <c:ptCount val="4"/>
                <c:pt idx="0">
                  <c:v>Apuestas - Chance</c:v>
                </c:pt>
                <c:pt idx="1">
                  <c:v>PAGOS</c:v>
                </c:pt>
                <c:pt idx="2">
                  <c:v>RECAUDOS</c:v>
                </c:pt>
                <c:pt idx="3">
                  <c:v>RECARGAS</c:v>
                </c:pt>
              </c:strCache>
            </c:strRef>
          </c:cat>
          <c:val>
            <c:numRef>
              <c:f>'Gana Gana - Tolima'!$Y$15:$Y$18</c:f>
              <c:numCache>
                <c:formatCode>0.00</c:formatCode>
                <c:ptCount val="4"/>
                <c:pt idx="0">
                  <c:v>99.940134099622441</c:v>
                </c:pt>
                <c:pt idx="1">
                  <c:v>99.940134099622441</c:v>
                </c:pt>
                <c:pt idx="2">
                  <c:v>99.940134099622441</c:v>
                </c:pt>
                <c:pt idx="3">
                  <c:v>100</c:v>
                </c:pt>
              </c:numCache>
            </c:numRef>
          </c:val>
          <c:extLst>
            <c:ext xmlns:c16="http://schemas.microsoft.com/office/drawing/2014/chart" uri="{C3380CC4-5D6E-409C-BE32-E72D297353CC}">
              <c16:uniqueId val="{00000001-24CC-4B25-82A6-3D6181AF261C}"/>
            </c:ext>
          </c:extLst>
        </c:ser>
        <c:dLbls>
          <c:dLblPos val="outEnd"/>
          <c:showLegendKey val="0"/>
          <c:showVal val="1"/>
          <c:showCatName val="0"/>
          <c:showSerName val="0"/>
          <c:showPercent val="0"/>
          <c:showBubbleSize val="0"/>
        </c:dLbls>
        <c:gapWidth val="219"/>
        <c:overlap val="-27"/>
        <c:axId val="928411656"/>
        <c:axId val="928413704"/>
      </c:barChart>
      <c:catAx>
        <c:axId val="928411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13704"/>
        <c:crosses val="autoZero"/>
        <c:auto val="1"/>
        <c:lblAlgn val="ctr"/>
        <c:lblOffset val="100"/>
        <c:noMultiLvlLbl val="0"/>
      </c:catAx>
      <c:valAx>
        <c:axId val="928413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11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'Gana Gana - Tolima'!$X$11</c:f>
              <c:strCache>
                <c:ptCount val="1"/>
                <c:pt idx="0">
                  <c:v>General Aplicacion.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95-4746-BA99-81A3738D87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'Gana Gana - Tolima'!$Y$11</c:f>
              <c:numCache>
                <c:formatCode>0.00</c:formatCode>
                <c:ptCount val="1"/>
                <c:pt idx="0">
                  <c:v>99.940134099622441</c:v>
                </c:pt>
              </c:numCache>
            </c:numRef>
          </c:val>
          <c:extLst>
            <c:ext xmlns:c16="http://schemas.microsoft.com/office/drawing/2014/chart" uri="{C3380CC4-5D6E-409C-BE32-E72D297353CC}">
              <c16:uniqueId val="{00000001-B9F1-4A84-95BC-C3B5FDC8BDD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'Gana Gana - Tolima'!$X$19</c:f>
              <c:strCache>
                <c:ptCount val="1"/>
                <c:pt idx="0">
                  <c:v>General Prod.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89-4233-BD57-ED61CEB379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'Gana Gana - Tolima'!$Y$19</c:f>
              <c:numCache>
                <c:formatCode>0.00</c:formatCode>
                <c:ptCount val="1"/>
                <c:pt idx="0">
                  <c:v>100</c:v>
                </c:pt>
              </c:numCache>
            </c:numRef>
          </c:val>
          <c:extLst>
            <c:ext xmlns:c16="http://schemas.microsoft.com/office/drawing/2014/chart" uri="{C3380CC4-5D6E-409C-BE32-E72D297353CC}">
              <c16:uniqueId val="{00000001-1F1B-4E00-A6B2-4BB69304826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Disponibilidad General Aplicación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8CBAD"/>
              </a:solidFill>
              <a:ln>
                <a:noFill/>
              </a:ln>
              <a:effectLst/>
            </c:spPr>
            <c:extLst>
              <c:ext xmlns:c16="http://schemas.microsoft.com/office/drawing/2014/chart" uri="{C3380CC4-5D6E-409C-BE32-E72D297353CC}">
                <c16:uniqueId val="{00000003-F8F2-428E-B223-26062E1753C2}"/>
              </c:ext>
            </c:extLst>
          </c:dPt>
          <c:dPt>
            <c:idx val="1"/>
            <c:invertIfNegative val="0"/>
            <c:bubble3D val="0"/>
            <c:spPr>
              <a:solidFill>
                <a:srgbClr val="C65911"/>
              </a:solidFill>
              <a:ln>
                <a:noFill/>
              </a:ln>
              <a:effectLst/>
            </c:spPr>
            <c:extLst>
              <c:ext xmlns:c16="http://schemas.microsoft.com/office/drawing/2014/chart" uri="{C3380CC4-5D6E-409C-BE32-E72D297353CC}">
                <c16:uniqueId val="{00000004-F8F2-428E-B223-26062E1753C2}"/>
              </c:ext>
            </c:extLst>
          </c:dPt>
          <c:dPt>
            <c:idx val="3"/>
            <c:invertIfNegative val="0"/>
            <c:bubble3D val="0"/>
            <c:spPr>
              <a:solidFill>
                <a:srgbClr val="CC99FF"/>
              </a:solidFill>
              <a:ln>
                <a:noFill/>
              </a:ln>
              <a:effectLst/>
            </c:spPr>
            <c:extLst>
              <c:ext xmlns:c16="http://schemas.microsoft.com/office/drawing/2014/chart" uri="{C3380CC4-5D6E-409C-BE32-E72D297353CC}">
                <c16:uniqueId val="{00000005-F8F2-428E-B223-26062E1753C2}"/>
              </c:ext>
            </c:extLst>
          </c:dPt>
          <c:dPt>
            <c:idx val="4"/>
            <c:invertIfNegative val="0"/>
            <c:bubble3D val="0"/>
            <c:spPr>
              <a:solidFill>
                <a:srgbClr val="FFD966"/>
              </a:solidFill>
              <a:ln>
                <a:noFill/>
              </a:ln>
              <a:effectLst/>
            </c:spPr>
            <c:extLst>
              <c:ext xmlns:c16="http://schemas.microsoft.com/office/drawing/2014/chart" uri="{C3380CC4-5D6E-409C-BE32-E72D297353CC}">
                <c16:uniqueId val="{00000000-3958-4AF4-A81C-79C0F094728F}"/>
              </c:ext>
            </c:extLst>
          </c:dPt>
          <c:dPt>
            <c:idx val="5"/>
            <c:invertIfNegative val="0"/>
            <c:bubble3D val="0"/>
            <c:spPr>
              <a:solidFill>
                <a:srgbClr val="FFC000"/>
              </a:solidFill>
              <a:ln>
                <a:noFill/>
              </a:ln>
              <a:effectLst/>
            </c:spPr>
            <c:extLst>
              <c:ext xmlns:c16="http://schemas.microsoft.com/office/drawing/2014/chart" uri="{C3380CC4-5D6E-409C-BE32-E72D297353CC}">
                <c16:uniqueId val="{00000001-3958-4AF4-A81C-79C0F094728F}"/>
              </c:ext>
            </c:extLst>
          </c:dPt>
          <c:dPt>
            <c:idx val="6"/>
            <c:invertIfNegative val="0"/>
            <c:bubble3D val="0"/>
            <c:spPr>
              <a:solidFill>
                <a:srgbClr val="A9D08E"/>
              </a:solidFill>
              <a:ln>
                <a:noFill/>
              </a:ln>
              <a:effectLst/>
            </c:spPr>
            <c:extLst>
              <c:ext xmlns:c16="http://schemas.microsoft.com/office/drawing/2014/chart" uri="{C3380CC4-5D6E-409C-BE32-E72D297353CC}">
                <c16:uniqueId val="{00000002-3958-4AF4-A81C-79C0F09472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Resumen!$X$9:$X$15</c:f>
              <c:strCache>
                <c:ptCount val="7"/>
                <c:pt idx="0">
                  <c:v>Acertemos - Cauca</c:v>
                </c:pt>
                <c:pt idx="1">
                  <c:v>Jer - Boyaca</c:v>
                </c:pt>
                <c:pt idx="2">
                  <c:v>SuChance - Huila</c:v>
                </c:pt>
                <c:pt idx="3">
                  <c:v>MatrixRedes</c:v>
                </c:pt>
                <c:pt idx="4">
                  <c:v>Gana Gana - Tolina</c:v>
                </c:pt>
                <c:pt idx="5">
                  <c:v>Santander La Perla</c:v>
                </c:pt>
                <c:pt idx="6">
                  <c:v>Gana - Antioquia</c:v>
                </c:pt>
              </c:strCache>
            </c:strRef>
          </c:cat>
          <c:val>
            <c:numRef>
              <c:f>Resumen!$Y$9:$Y$15</c:f>
              <c:numCache>
                <c:formatCode>0.00</c:formatCode>
                <c:ptCount val="7"/>
                <c:pt idx="0">
                  <c:v>100</c:v>
                </c:pt>
                <c:pt idx="1">
                  <c:v>99.800239463583139</c:v>
                </c:pt>
                <c:pt idx="2">
                  <c:v>99.816499042155854</c:v>
                </c:pt>
                <c:pt idx="3">
                  <c:v>100</c:v>
                </c:pt>
                <c:pt idx="4">
                  <c:v>99.940134099622441</c:v>
                </c:pt>
                <c:pt idx="5">
                  <c:v>100</c:v>
                </c:pt>
                <c:pt idx="6">
                  <c:v>99.984913793103445</c:v>
                </c:pt>
              </c:numCache>
            </c:numRef>
          </c:val>
          <c:extLst>
            <c:ext xmlns:c16="http://schemas.microsoft.com/office/drawing/2014/chart" uri="{C3380CC4-5D6E-409C-BE32-E72D297353CC}">
              <c16:uniqueId val="{00000001-F8F2-428E-B223-26062E1753C2}"/>
            </c:ext>
          </c:extLst>
        </c:ser>
        <c:dLbls>
          <c:dLblPos val="outEnd"/>
          <c:showLegendKey val="0"/>
          <c:showVal val="1"/>
          <c:showCatName val="0"/>
          <c:showSerName val="0"/>
          <c:showPercent val="0"/>
          <c:showBubbleSize val="0"/>
        </c:dLbls>
        <c:gapWidth val="219"/>
        <c:overlap val="-27"/>
        <c:axId val="2100537351"/>
        <c:axId val="2103314951"/>
      </c:barChart>
      <c:catAx>
        <c:axId val="2100537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314951"/>
        <c:crosses val="autoZero"/>
        <c:auto val="1"/>
        <c:lblAlgn val="ctr"/>
        <c:lblOffset val="100"/>
        <c:noMultiLvlLbl val="0"/>
      </c:catAx>
      <c:valAx>
        <c:axId val="2103314951"/>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537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image" Target="../media/image1.png"/><Relationship Id="rId5" Type="http://schemas.openxmlformats.org/officeDocument/2006/relationships/chart" Target="../charts/chart14.xml"/><Relationship Id="rId4"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390525</xdr:colOff>
      <xdr:row>0</xdr:row>
      <xdr:rowOff>76200</xdr:rowOff>
    </xdr:from>
    <xdr:to>
      <xdr:col>1</xdr:col>
      <xdr:colOff>590550</xdr:colOff>
      <xdr:row>2</xdr:row>
      <xdr:rowOff>114300</xdr:rowOff>
    </xdr:to>
    <xdr:pic>
      <xdr:nvPicPr>
        <xdr:cNvPr id="2" name="Imagen 1">
          <a:extLst>
            <a:ext uri="{FF2B5EF4-FFF2-40B4-BE49-F238E27FC236}">
              <a16:creationId xmlns:a16="http://schemas.microsoft.com/office/drawing/2014/main" id="{FF851567-3102-4FE3-ABAF-D7F7E7944490}"/>
            </a:ext>
          </a:extLst>
        </xdr:cNvPr>
        <xdr:cNvPicPr>
          <a:picLocks noChangeAspect="1"/>
        </xdr:cNvPicPr>
      </xdr:nvPicPr>
      <xdr:blipFill>
        <a:blip xmlns:r="http://schemas.openxmlformats.org/officeDocument/2006/relationships" r:embed="rId1"/>
        <a:stretch>
          <a:fillRect/>
        </a:stretch>
      </xdr:blipFill>
      <xdr:spPr>
        <a:xfrm>
          <a:off x="390525" y="76200"/>
          <a:ext cx="962025" cy="50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38100</xdr:rowOff>
    </xdr:from>
    <xdr:to>
      <xdr:col>3</xdr:col>
      <xdr:colOff>466725</xdr:colOff>
      <xdr:row>2</xdr:row>
      <xdr:rowOff>114300</xdr:rowOff>
    </xdr:to>
    <xdr:pic>
      <xdr:nvPicPr>
        <xdr:cNvPr id="3" name="Imagen 2">
          <a:extLst>
            <a:ext uri="{FF2B5EF4-FFF2-40B4-BE49-F238E27FC236}">
              <a16:creationId xmlns:a16="http://schemas.microsoft.com/office/drawing/2014/main" id="{A0B05E3E-68F1-4427-9750-DC4567ACC331}"/>
            </a:ext>
          </a:extLst>
        </xdr:cNvPr>
        <xdr:cNvPicPr>
          <a:picLocks noChangeAspect="1"/>
        </xdr:cNvPicPr>
      </xdr:nvPicPr>
      <xdr:blipFill>
        <a:blip xmlns:r="http://schemas.openxmlformats.org/officeDocument/2006/relationships" r:embed="rId1"/>
        <a:stretch>
          <a:fillRect/>
        </a:stretch>
      </xdr:blipFill>
      <xdr:spPr>
        <a:xfrm>
          <a:off x="1581150" y="38100"/>
          <a:ext cx="962025" cy="504825"/>
        </a:xfrm>
        <a:prstGeom prst="rect">
          <a:avLst/>
        </a:prstGeom>
      </xdr:spPr>
    </xdr:pic>
    <xdr:clientData/>
  </xdr:twoCellAnchor>
  <xdr:twoCellAnchor>
    <xdr:from>
      <xdr:col>25</xdr:col>
      <xdr:colOff>152400</xdr:colOff>
      <xdr:row>1</xdr:row>
      <xdr:rowOff>114300</xdr:rowOff>
    </xdr:from>
    <xdr:to>
      <xdr:col>31</xdr:col>
      <xdr:colOff>152400</xdr:colOff>
      <xdr:row>11</xdr:row>
      <xdr:rowOff>28575</xdr:rowOff>
    </xdr:to>
    <xdr:graphicFrame macro="">
      <xdr:nvGraphicFramePr>
        <xdr:cNvPr id="2" name="Gráfico 1">
          <a:extLst>
            <a:ext uri="{FF2B5EF4-FFF2-40B4-BE49-F238E27FC236}">
              <a16:creationId xmlns:a16="http://schemas.microsoft.com/office/drawing/2014/main" id="{0673A045-D106-80FA-047C-2D1D68C81B71}"/>
            </a:ext>
            <a:ext uri="{147F2762-F138-4A5C-976F-8EAC2B608ADB}">
              <a16:predDERef xmlns:a16="http://schemas.microsoft.com/office/drawing/2014/main" pred="{A0B05E3E-68F1-4427-9750-DC4567ACC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171450</xdr:colOff>
      <xdr:row>14</xdr:row>
      <xdr:rowOff>9525</xdr:rowOff>
    </xdr:from>
    <xdr:to>
      <xdr:col>31</xdr:col>
      <xdr:colOff>171450</xdr:colOff>
      <xdr:row>28</xdr:row>
      <xdr:rowOff>85725</xdr:rowOff>
    </xdr:to>
    <xdr:graphicFrame macro="">
      <xdr:nvGraphicFramePr>
        <xdr:cNvPr id="4" name="Gráfico 3">
          <a:extLst>
            <a:ext uri="{FF2B5EF4-FFF2-40B4-BE49-F238E27FC236}">
              <a16:creationId xmlns:a16="http://schemas.microsoft.com/office/drawing/2014/main" id="{24C49DBF-8D9F-97E1-E8B0-35FB6579B26F}"/>
            </a:ext>
            <a:ext uri="{147F2762-F138-4A5C-976F-8EAC2B608ADB}">
              <a16:predDERef xmlns:a16="http://schemas.microsoft.com/office/drawing/2014/main" pred="{0673A045-D106-80FA-047C-2D1D68C81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57150</xdr:colOff>
      <xdr:row>0</xdr:row>
      <xdr:rowOff>38100</xdr:rowOff>
    </xdr:from>
    <xdr:to>
      <xdr:col>3</xdr:col>
      <xdr:colOff>466725</xdr:colOff>
      <xdr:row>2</xdr:row>
      <xdr:rowOff>114300</xdr:rowOff>
    </xdr:to>
    <xdr:pic>
      <xdr:nvPicPr>
        <xdr:cNvPr id="2" name="Imagen 2">
          <a:extLst>
            <a:ext uri="{FF2B5EF4-FFF2-40B4-BE49-F238E27FC236}">
              <a16:creationId xmlns:a16="http://schemas.microsoft.com/office/drawing/2014/main" id="{850265F0-CBBF-4DFA-84C9-A868D36886D5}"/>
            </a:ext>
          </a:extLst>
        </xdr:cNvPr>
        <xdr:cNvPicPr>
          <a:picLocks noChangeAspect="1"/>
        </xdr:cNvPicPr>
      </xdr:nvPicPr>
      <xdr:blipFill>
        <a:blip xmlns:r="http://schemas.openxmlformats.org/officeDocument/2006/relationships" r:embed="rId1"/>
        <a:stretch>
          <a:fillRect/>
        </a:stretch>
      </xdr:blipFill>
      <xdr:spPr>
        <a:xfrm>
          <a:off x="1581150" y="38100"/>
          <a:ext cx="962025" cy="504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466725</xdr:colOff>
      <xdr:row>26</xdr:row>
      <xdr:rowOff>114300</xdr:rowOff>
    </xdr:from>
    <xdr:to>
      <xdr:col>20</xdr:col>
      <xdr:colOff>552450</xdr:colOff>
      <xdr:row>42</xdr:row>
      <xdr:rowOff>152400</xdr:rowOff>
    </xdr:to>
    <xdr:graphicFrame macro="">
      <xdr:nvGraphicFramePr>
        <xdr:cNvPr id="2" name="Gráfico 1">
          <a:extLst>
            <a:ext uri="{FF2B5EF4-FFF2-40B4-BE49-F238E27FC236}">
              <a16:creationId xmlns:a16="http://schemas.microsoft.com/office/drawing/2014/main" id="{3C3EC402-2326-E32B-E418-5B3E9611C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1371600</xdr:colOff>
      <xdr:row>33</xdr:row>
      <xdr:rowOff>152400</xdr:rowOff>
    </xdr:from>
    <xdr:to>
      <xdr:col>11</xdr:col>
      <xdr:colOff>171450</xdr:colOff>
      <xdr:row>48</xdr:row>
      <xdr:rowOff>38100</xdr:rowOff>
    </xdr:to>
    <xdr:graphicFrame macro="">
      <xdr:nvGraphicFramePr>
        <xdr:cNvPr id="3" name="Gráfico 2">
          <a:extLst>
            <a:ext uri="{FF2B5EF4-FFF2-40B4-BE49-F238E27FC236}">
              <a16:creationId xmlns:a16="http://schemas.microsoft.com/office/drawing/2014/main" id="{D0F30BA7-3636-9893-1BA1-1CDB01C01145}"/>
            </a:ext>
            <a:ext uri="{147F2762-F138-4A5C-976F-8EAC2B608ADB}">
              <a16:predDERef xmlns:a16="http://schemas.microsoft.com/office/drawing/2014/main" pred="{3C3EC402-2326-E32B-E418-5B3E9611C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57150</xdr:colOff>
      <xdr:row>0</xdr:row>
      <xdr:rowOff>38100</xdr:rowOff>
    </xdr:from>
    <xdr:to>
      <xdr:col>3</xdr:col>
      <xdr:colOff>466725</xdr:colOff>
      <xdr:row>2</xdr:row>
      <xdr:rowOff>114300</xdr:rowOff>
    </xdr:to>
    <xdr:pic>
      <xdr:nvPicPr>
        <xdr:cNvPr id="4" name="Imagen 2">
          <a:extLst>
            <a:ext uri="{FF2B5EF4-FFF2-40B4-BE49-F238E27FC236}">
              <a16:creationId xmlns:a16="http://schemas.microsoft.com/office/drawing/2014/main" id="{FA9FDC83-3DB9-4202-8589-819169B48B8F}"/>
            </a:ext>
          </a:extLst>
        </xdr:cNvPr>
        <xdr:cNvPicPr>
          <a:picLocks noChangeAspect="1"/>
        </xdr:cNvPicPr>
      </xdr:nvPicPr>
      <xdr:blipFill>
        <a:blip xmlns:r="http://schemas.openxmlformats.org/officeDocument/2006/relationships" r:embed="rId1"/>
        <a:stretch>
          <a:fillRect/>
        </a:stretch>
      </xdr:blipFill>
      <xdr:spPr>
        <a:xfrm>
          <a:off x="1581150" y="38100"/>
          <a:ext cx="962025" cy="504825"/>
        </a:xfrm>
        <a:prstGeom prst="rect">
          <a:avLst/>
        </a:prstGeom>
      </xdr:spPr>
    </xdr:pic>
    <xdr:clientData/>
  </xdr:twoCellAnchor>
  <xdr:twoCellAnchor>
    <xdr:from>
      <xdr:col>26</xdr:col>
      <xdr:colOff>219075</xdr:colOff>
      <xdr:row>4</xdr:row>
      <xdr:rowOff>66675</xdr:rowOff>
    </xdr:from>
    <xdr:to>
      <xdr:col>31</xdr:col>
      <xdr:colOff>38100</xdr:colOff>
      <xdr:row>14</xdr:row>
      <xdr:rowOff>0</xdr:rowOff>
    </xdr:to>
    <xdr:graphicFrame macro="">
      <xdr:nvGraphicFramePr>
        <xdr:cNvPr id="15" name="Gráfico 1">
          <a:extLst>
            <a:ext uri="{FF2B5EF4-FFF2-40B4-BE49-F238E27FC236}">
              <a16:creationId xmlns:a16="http://schemas.microsoft.com/office/drawing/2014/main" id="{2BA0D71A-1211-4FFF-D4D0-5C686BCEAF1A}"/>
            </a:ext>
            <a:ext uri="{147F2762-F138-4A5C-976F-8EAC2B608ADB}">
              <a16:predDERef xmlns:a16="http://schemas.microsoft.com/office/drawing/2014/main" pred="{FA9FDC83-3DB9-4202-8589-819169B48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238125</xdr:colOff>
      <xdr:row>16</xdr:row>
      <xdr:rowOff>57150</xdr:rowOff>
    </xdr:from>
    <xdr:to>
      <xdr:col>31</xdr:col>
      <xdr:colOff>57150</xdr:colOff>
      <xdr:row>29</xdr:row>
      <xdr:rowOff>133350</xdr:rowOff>
    </xdr:to>
    <xdr:graphicFrame macro="">
      <xdr:nvGraphicFramePr>
        <xdr:cNvPr id="16" name="Gráfico 4">
          <a:extLst>
            <a:ext uri="{FF2B5EF4-FFF2-40B4-BE49-F238E27FC236}">
              <a16:creationId xmlns:a16="http://schemas.microsoft.com/office/drawing/2014/main" id="{415B1866-EB73-3EDD-4F0B-86AA8464EC36}"/>
            </a:ext>
            <a:ext uri="{147F2762-F138-4A5C-976F-8EAC2B608ADB}">
              <a16:predDERef xmlns:a16="http://schemas.microsoft.com/office/drawing/2014/main" pred="{2BA0D71A-1211-4FFF-D4D0-5C686BCEA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133350</xdr:colOff>
      <xdr:row>4</xdr:row>
      <xdr:rowOff>104775</xdr:rowOff>
    </xdr:from>
    <xdr:to>
      <xdr:col>39</xdr:col>
      <xdr:colOff>314325</xdr:colOff>
      <xdr:row>14</xdr:row>
      <xdr:rowOff>0</xdr:rowOff>
    </xdr:to>
    <xdr:graphicFrame macro="">
      <xdr:nvGraphicFramePr>
        <xdr:cNvPr id="3" name="Gráfico 2">
          <a:extLst>
            <a:ext uri="{FF2B5EF4-FFF2-40B4-BE49-F238E27FC236}">
              <a16:creationId xmlns:a16="http://schemas.microsoft.com/office/drawing/2014/main" id="{0F6B2CE9-0171-0E0B-1BF8-5E0316478C4E}"/>
            </a:ext>
            <a:ext uri="{147F2762-F138-4A5C-976F-8EAC2B608ADB}">
              <a16:predDERef xmlns:a16="http://schemas.microsoft.com/office/drawing/2014/main" pred="{415B1866-EB73-3EDD-4F0B-86AA8464E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95250</xdr:colOff>
      <xdr:row>16</xdr:row>
      <xdr:rowOff>47625</xdr:rowOff>
    </xdr:from>
    <xdr:to>
      <xdr:col>39</xdr:col>
      <xdr:colOff>257175</xdr:colOff>
      <xdr:row>29</xdr:row>
      <xdr:rowOff>104775</xdr:rowOff>
    </xdr:to>
    <xdr:graphicFrame macro="">
      <xdr:nvGraphicFramePr>
        <xdr:cNvPr id="6" name="Gráfico 5">
          <a:extLst>
            <a:ext uri="{FF2B5EF4-FFF2-40B4-BE49-F238E27FC236}">
              <a16:creationId xmlns:a16="http://schemas.microsoft.com/office/drawing/2014/main" id="{A2B9928C-360D-9825-701B-5228D8237485}"/>
            </a:ext>
            <a:ext uri="{147F2762-F138-4A5C-976F-8EAC2B608ADB}">
              <a16:predDERef xmlns:a16="http://schemas.microsoft.com/office/drawing/2014/main" pred="{0F6B2CE9-0171-0E0B-1BF8-5E0316478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38100</xdr:colOff>
      <xdr:row>3</xdr:row>
      <xdr:rowOff>76200</xdr:rowOff>
    </xdr:from>
    <xdr:to>
      <xdr:col>49</xdr:col>
      <xdr:colOff>523875</xdr:colOff>
      <xdr:row>13</xdr:row>
      <xdr:rowOff>9525</xdr:rowOff>
    </xdr:to>
    <xdr:graphicFrame macro="">
      <xdr:nvGraphicFramePr>
        <xdr:cNvPr id="8" name="Gráfico 7">
          <a:extLst>
            <a:ext uri="{FF2B5EF4-FFF2-40B4-BE49-F238E27FC236}">
              <a16:creationId xmlns:a16="http://schemas.microsoft.com/office/drawing/2014/main" id="{032C1831-5C93-5DDB-19B8-16E4B7D18D28}"/>
            </a:ext>
            <a:ext uri="{147F2762-F138-4A5C-976F-8EAC2B608ADB}">
              <a16:predDERef xmlns:a16="http://schemas.microsoft.com/office/drawing/2014/main" pred="{A2B9928C-360D-9825-701B-5228D8237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57150</xdr:colOff>
      <xdr:row>14</xdr:row>
      <xdr:rowOff>114300</xdr:rowOff>
    </xdr:from>
    <xdr:to>
      <xdr:col>49</xdr:col>
      <xdr:colOff>542925</xdr:colOff>
      <xdr:row>29</xdr:row>
      <xdr:rowOff>0</xdr:rowOff>
    </xdr:to>
    <xdr:graphicFrame macro="">
      <xdr:nvGraphicFramePr>
        <xdr:cNvPr id="9" name="Gráfico 8">
          <a:extLst>
            <a:ext uri="{FF2B5EF4-FFF2-40B4-BE49-F238E27FC236}">
              <a16:creationId xmlns:a16="http://schemas.microsoft.com/office/drawing/2014/main" id="{543B1F45-1482-2D25-DB43-5472182598D6}"/>
            </a:ext>
            <a:ext uri="{147F2762-F138-4A5C-976F-8EAC2B608ADB}">
              <a16:predDERef xmlns:a16="http://schemas.microsoft.com/office/drawing/2014/main" pred="{032C1831-5C93-5DDB-19B8-16E4B7D18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57150</xdr:colOff>
      <xdr:row>0</xdr:row>
      <xdr:rowOff>38100</xdr:rowOff>
    </xdr:from>
    <xdr:to>
      <xdr:col>3</xdr:col>
      <xdr:colOff>466725</xdr:colOff>
      <xdr:row>2</xdr:row>
      <xdr:rowOff>114300</xdr:rowOff>
    </xdr:to>
    <xdr:pic>
      <xdr:nvPicPr>
        <xdr:cNvPr id="3" name="Imagen 2">
          <a:extLst>
            <a:ext uri="{FF2B5EF4-FFF2-40B4-BE49-F238E27FC236}">
              <a16:creationId xmlns:a16="http://schemas.microsoft.com/office/drawing/2014/main" id="{6DB3D688-1428-41F8-BEBE-81BC0324CFC7}"/>
            </a:ext>
          </a:extLst>
        </xdr:cNvPr>
        <xdr:cNvPicPr>
          <a:picLocks noChangeAspect="1"/>
        </xdr:cNvPicPr>
      </xdr:nvPicPr>
      <xdr:blipFill>
        <a:blip xmlns:r="http://schemas.openxmlformats.org/officeDocument/2006/relationships" r:embed="rId1"/>
        <a:stretch>
          <a:fillRect/>
        </a:stretch>
      </xdr:blipFill>
      <xdr:spPr>
        <a:xfrm>
          <a:off x="1581150" y="38100"/>
          <a:ext cx="962025" cy="504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190500</xdr:colOff>
      <xdr:row>0</xdr:row>
      <xdr:rowOff>76200</xdr:rowOff>
    </xdr:from>
    <xdr:to>
      <xdr:col>2</xdr:col>
      <xdr:colOff>104774</xdr:colOff>
      <xdr:row>2</xdr:row>
      <xdr:rowOff>155278</xdr:rowOff>
    </xdr:to>
    <xdr:pic>
      <xdr:nvPicPr>
        <xdr:cNvPr id="3" name="Imagen 2">
          <a:extLst>
            <a:ext uri="{FF2B5EF4-FFF2-40B4-BE49-F238E27FC236}">
              <a16:creationId xmlns:a16="http://schemas.microsoft.com/office/drawing/2014/main" id="{15AA4CC7-D5A5-4299-95C0-E67EB487AD16}"/>
            </a:ext>
          </a:extLst>
        </xdr:cNvPr>
        <xdr:cNvPicPr>
          <a:picLocks noChangeAspect="1"/>
        </xdr:cNvPicPr>
      </xdr:nvPicPr>
      <xdr:blipFill>
        <a:blip xmlns:r="http://schemas.openxmlformats.org/officeDocument/2006/relationships" r:embed="rId1"/>
        <a:stretch>
          <a:fillRect/>
        </a:stretch>
      </xdr:blipFill>
      <xdr:spPr>
        <a:xfrm>
          <a:off x="190500" y="76200"/>
          <a:ext cx="1066799" cy="50770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57150</xdr:colOff>
      <xdr:row>0</xdr:row>
      <xdr:rowOff>38100</xdr:rowOff>
    </xdr:from>
    <xdr:to>
      <xdr:col>3</xdr:col>
      <xdr:colOff>466725</xdr:colOff>
      <xdr:row>2</xdr:row>
      <xdr:rowOff>114300</xdr:rowOff>
    </xdr:to>
    <xdr:pic>
      <xdr:nvPicPr>
        <xdr:cNvPr id="3" name="Imagen 2">
          <a:extLst>
            <a:ext uri="{FF2B5EF4-FFF2-40B4-BE49-F238E27FC236}">
              <a16:creationId xmlns:a16="http://schemas.microsoft.com/office/drawing/2014/main" id="{E724382D-1A4A-4A01-9E94-3D2D1A741C8F}"/>
            </a:ext>
          </a:extLst>
        </xdr:cNvPr>
        <xdr:cNvPicPr>
          <a:picLocks noChangeAspect="1"/>
        </xdr:cNvPicPr>
      </xdr:nvPicPr>
      <xdr:blipFill>
        <a:blip xmlns:r="http://schemas.openxmlformats.org/officeDocument/2006/relationships" r:embed="rId1"/>
        <a:stretch>
          <a:fillRect/>
        </a:stretch>
      </xdr:blipFill>
      <xdr:spPr>
        <a:xfrm>
          <a:off x="1581150" y="38100"/>
          <a:ext cx="962025" cy="504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57150</xdr:colOff>
      <xdr:row>0</xdr:row>
      <xdr:rowOff>38100</xdr:rowOff>
    </xdr:from>
    <xdr:to>
      <xdr:col>3</xdr:col>
      <xdr:colOff>466725</xdr:colOff>
      <xdr:row>2</xdr:row>
      <xdr:rowOff>114300</xdr:rowOff>
    </xdr:to>
    <xdr:pic>
      <xdr:nvPicPr>
        <xdr:cNvPr id="4" name="Imagen 2">
          <a:extLst>
            <a:ext uri="{FF2B5EF4-FFF2-40B4-BE49-F238E27FC236}">
              <a16:creationId xmlns:a16="http://schemas.microsoft.com/office/drawing/2014/main" id="{D107BBE6-2733-4641-89B7-814F285CE11F}"/>
            </a:ext>
          </a:extLst>
        </xdr:cNvPr>
        <xdr:cNvPicPr>
          <a:picLocks noChangeAspect="1"/>
        </xdr:cNvPicPr>
      </xdr:nvPicPr>
      <xdr:blipFill>
        <a:blip xmlns:r="http://schemas.openxmlformats.org/officeDocument/2006/relationships" r:embed="rId1"/>
        <a:stretch>
          <a:fillRect/>
        </a:stretch>
      </xdr:blipFill>
      <xdr:spPr>
        <a:xfrm>
          <a:off x="1581150" y="38100"/>
          <a:ext cx="962025" cy="504825"/>
        </a:xfrm>
        <a:prstGeom prst="rect">
          <a:avLst/>
        </a:prstGeom>
      </xdr:spPr>
    </xdr:pic>
    <xdr:clientData/>
  </xdr:twoCellAnchor>
  <xdr:twoCellAnchor>
    <xdr:from>
      <xdr:col>25</xdr:col>
      <xdr:colOff>114300</xdr:colOff>
      <xdr:row>1</xdr:row>
      <xdr:rowOff>66675</xdr:rowOff>
    </xdr:from>
    <xdr:to>
      <xdr:col>31</xdr:col>
      <xdr:colOff>114300</xdr:colOff>
      <xdr:row>10</xdr:row>
      <xdr:rowOff>171450</xdr:rowOff>
    </xdr:to>
    <xdr:graphicFrame macro="">
      <xdr:nvGraphicFramePr>
        <xdr:cNvPr id="3" name="Gráfico 2">
          <a:extLst>
            <a:ext uri="{FF2B5EF4-FFF2-40B4-BE49-F238E27FC236}">
              <a16:creationId xmlns:a16="http://schemas.microsoft.com/office/drawing/2014/main" id="{53159962-CBFB-DADE-3DBB-D404B7D454FA}"/>
            </a:ext>
            <a:ext uri="{147F2762-F138-4A5C-976F-8EAC2B608ADB}">
              <a16:predDERef xmlns:a16="http://schemas.microsoft.com/office/drawing/2014/main" pred="{D107BBE6-2733-4641-89B7-814F285CE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85725</xdr:colOff>
      <xdr:row>13</xdr:row>
      <xdr:rowOff>104775</xdr:rowOff>
    </xdr:from>
    <xdr:to>
      <xdr:col>31</xdr:col>
      <xdr:colOff>85725</xdr:colOff>
      <xdr:row>27</xdr:row>
      <xdr:rowOff>180975</xdr:rowOff>
    </xdr:to>
    <xdr:graphicFrame macro="">
      <xdr:nvGraphicFramePr>
        <xdr:cNvPr id="5" name="Gráfico 4">
          <a:extLst>
            <a:ext uri="{FF2B5EF4-FFF2-40B4-BE49-F238E27FC236}">
              <a16:creationId xmlns:a16="http://schemas.microsoft.com/office/drawing/2014/main" id="{B295492C-D24C-3167-4941-AD09600F35EC}"/>
            </a:ext>
            <a:ext uri="{147F2762-F138-4A5C-976F-8EAC2B608ADB}">
              <a16:predDERef xmlns:a16="http://schemas.microsoft.com/office/drawing/2014/main" pred="{53159962-CBFB-DADE-3DBB-D404B7D45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304800</xdr:colOff>
      <xdr:row>1</xdr:row>
      <xdr:rowOff>104775</xdr:rowOff>
    </xdr:from>
    <xdr:to>
      <xdr:col>37</xdr:col>
      <xdr:colOff>304800</xdr:colOff>
      <xdr:row>11</xdr:row>
      <xdr:rowOff>19050</xdr:rowOff>
    </xdr:to>
    <xdr:graphicFrame macro="">
      <xdr:nvGraphicFramePr>
        <xdr:cNvPr id="6" name="Gráfico 5">
          <a:extLst>
            <a:ext uri="{FF2B5EF4-FFF2-40B4-BE49-F238E27FC236}">
              <a16:creationId xmlns:a16="http://schemas.microsoft.com/office/drawing/2014/main" id="{39AE4477-AE65-AF8E-9887-E57EF006BD49}"/>
            </a:ext>
            <a:ext uri="{147F2762-F138-4A5C-976F-8EAC2B608ADB}">
              <a16:predDERef xmlns:a16="http://schemas.microsoft.com/office/drawing/2014/main" pred="{B295492C-D24C-3167-4941-AD09600F3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200025</xdr:colOff>
      <xdr:row>13</xdr:row>
      <xdr:rowOff>104775</xdr:rowOff>
    </xdr:from>
    <xdr:to>
      <xdr:col>37</xdr:col>
      <xdr:colOff>200025</xdr:colOff>
      <xdr:row>27</xdr:row>
      <xdr:rowOff>180975</xdr:rowOff>
    </xdr:to>
    <xdr:graphicFrame macro="">
      <xdr:nvGraphicFramePr>
        <xdr:cNvPr id="7" name="Gráfico 6">
          <a:extLst>
            <a:ext uri="{FF2B5EF4-FFF2-40B4-BE49-F238E27FC236}">
              <a16:creationId xmlns:a16="http://schemas.microsoft.com/office/drawing/2014/main" id="{1345BC9F-63BA-1E65-7A57-BB7C0C4FF3C7}"/>
            </a:ext>
            <a:ext uri="{147F2762-F138-4A5C-976F-8EAC2B608ADB}">
              <a16:predDERef xmlns:a16="http://schemas.microsoft.com/office/drawing/2014/main" pred="{39AE4477-AE65-AF8E-9887-E57EF006B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219076</xdr:colOff>
      <xdr:row>0</xdr:row>
      <xdr:rowOff>104776</xdr:rowOff>
    </xdr:from>
    <xdr:to>
      <xdr:col>1</xdr:col>
      <xdr:colOff>469076</xdr:colOff>
      <xdr:row>2</xdr:row>
      <xdr:rowOff>85725</xdr:rowOff>
    </xdr:to>
    <xdr:pic>
      <xdr:nvPicPr>
        <xdr:cNvPr id="2" name="Imagen 1">
          <a:extLst>
            <a:ext uri="{FF2B5EF4-FFF2-40B4-BE49-F238E27FC236}">
              <a16:creationId xmlns:a16="http://schemas.microsoft.com/office/drawing/2014/main" id="{9B86E532-078D-4C3A-829B-2F1434E1080F}"/>
            </a:ext>
          </a:extLst>
        </xdr:cNvPr>
        <xdr:cNvPicPr>
          <a:picLocks noChangeAspect="1"/>
        </xdr:cNvPicPr>
      </xdr:nvPicPr>
      <xdr:blipFill>
        <a:blip xmlns:r="http://schemas.openxmlformats.org/officeDocument/2006/relationships" r:embed="rId1"/>
        <a:stretch>
          <a:fillRect/>
        </a:stretch>
      </xdr:blipFill>
      <xdr:spPr>
        <a:xfrm>
          <a:off x="219076" y="104776"/>
          <a:ext cx="1012000" cy="409574"/>
        </a:xfrm>
        <a:prstGeom prst="rect">
          <a:avLst/>
        </a:prstGeom>
      </xdr:spPr>
    </xdr:pic>
    <xdr:clientData/>
  </xdr:twoCellAnchor>
  <xdr:twoCellAnchor>
    <xdr:from>
      <xdr:col>25</xdr:col>
      <xdr:colOff>238125</xdr:colOff>
      <xdr:row>5</xdr:row>
      <xdr:rowOff>657225</xdr:rowOff>
    </xdr:from>
    <xdr:to>
      <xdr:col>31</xdr:col>
      <xdr:colOff>238125</xdr:colOff>
      <xdr:row>15</xdr:row>
      <xdr:rowOff>47625</xdr:rowOff>
    </xdr:to>
    <xdr:graphicFrame macro="">
      <xdr:nvGraphicFramePr>
        <xdr:cNvPr id="31" name="Gráfico 2">
          <a:extLst>
            <a:ext uri="{FF2B5EF4-FFF2-40B4-BE49-F238E27FC236}">
              <a16:creationId xmlns:a16="http://schemas.microsoft.com/office/drawing/2014/main" id="{ED7742D2-785E-65EA-A9DE-5525A8D9F7D6}"/>
            </a:ext>
            <a:ext uri="{147F2762-F138-4A5C-976F-8EAC2B608ADB}">
              <a16:predDERef xmlns:a16="http://schemas.microsoft.com/office/drawing/2014/main" pred="{9B86E532-078D-4C3A-829B-2F1434E10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190500</xdr:colOff>
      <xdr:row>0</xdr:row>
      <xdr:rowOff>85725</xdr:rowOff>
    </xdr:from>
    <xdr:to>
      <xdr:col>1</xdr:col>
      <xdr:colOff>495299</xdr:colOff>
      <xdr:row>2</xdr:row>
      <xdr:rowOff>164803</xdr:rowOff>
    </xdr:to>
    <xdr:pic>
      <xdr:nvPicPr>
        <xdr:cNvPr id="4" name="Imagen 3">
          <a:extLst>
            <a:ext uri="{FF2B5EF4-FFF2-40B4-BE49-F238E27FC236}">
              <a16:creationId xmlns:a16="http://schemas.microsoft.com/office/drawing/2014/main" id="{55092369-0261-4765-8E08-BF1FA5B7D0F6}"/>
            </a:ext>
          </a:extLst>
        </xdr:cNvPr>
        <xdr:cNvPicPr>
          <a:picLocks noChangeAspect="1"/>
        </xdr:cNvPicPr>
      </xdr:nvPicPr>
      <xdr:blipFill>
        <a:blip xmlns:r="http://schemas.openxmlformats.org/officeDocument/2006/relationships" r:embed="rId1"/>
        <a:stretch>
          <a:fillRect/>
        </a:stretch>
      </xdr:blipFill>
      <xdr:spPr>
        <a:xfrm>
          <a:off x="190500" y="85725"/>
          <a:ext cx="1066799" cy="50770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561975</xdr:colOff>
      <xdr:row>0</xdr:row>
      <xdr:rowOff>40826</xdr:rowOff>
    </xdr:from>
    <xdr:to>
      <xdr:col>0</xdr:col>
      <xdr:colOff>1600200</xdr:colOff>
      <xdr:row>2</xdr:row>
      <xdr:rowOff>161925</xdr:rowOff>
    </xdr:to>
    <xdr:pic>
      <xdr:nvPicPr>
        <xdr:cNvPr id="2" name="Imagen 1">
          <a:extLst>
            <a:ext uri="{FF2B5EF4-FFF2-40B4-BE49-F238E27FC236}">
              <a16:creationId xmlns:a16="http://schemas.microsoft.com/office/drawing/2014/main" id="{29EF8B23-E72B-4231-8879-51B28C807F8B}"/>
            </a:ext>
          </a:extLst>
        </xdr:cNvPr>
        <xdr:cNvPicPr>
          <a:picLocks noChangeAspect="1"/>
        </xdr:cNvPicPr>
      </xdr:nvPicPr>
      <xdr:blipFill>
        <a:blip xmlns:r="http://schemas.openxmlformats.org/officeDocument/2006/relationships" r:embed="rId1"/>
        <a:stretch>
          <a:fillRect/>
        </a:stretch>
      </xdr:blipFill>
      <xdr:spPr>
        <a:xfrm>
          <a:off x="561975" y="40826"/>
          <a:ext cx="1038225" cy="5497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57875</xdr:colOff>
      <xdr:row>0</xdr:row>
      <xdr:rowOff>144684</xdr:rowOff>
    </xdr:from>
    <xdr:to>
      <xdr:col>1</xdr:col>
      <xdr:colOff>560079</xdr:colOff>
      <xdr:row>2</xdr:row>
      <xdr:rowOff>94682</xdr:rowOff>
    </xdr:to>
    <xdr:pic>
      <xdr:nvPicPr>
        <xdr:cNvPr id="2" name="Imagen 1">
          <a:extLst>
            <a:ext uri="{FF2B5EF4-FFF2-40B4-BE49-F238E27FC236}">
              <a16:creationId xmlns:a16="http://schemas.microsoft.com/office/drawing/2014/main" id="{D0ED8BD9-8E75-434B-8140-DAB57FD942AF}"/>
            </a:ext>
          </a:extLst>
        </xdr:cNvPr>
        <xdr:cNvPicPr>
          <a:picLocks noChangeAspect="1"/>
        </xdr:cNvPicPr>
      </xdr:nvPicPr>
      <xdr:blipFill>
        <a:blip xmlns:r="http://schemas.openxmlformats.org/officeDocument/2006/relationships" r:embed="rId1"/>
        <a:stretch>
          <a:fillRect/>
        </a:stretch>
      </xdr:blipFill>
      <xdr:spPr>
        <a:xfrm>
          <a:off x="57875" y="144684"/>
          <a:ext cx="1117109" cy="3840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INFO%20MERY\MyDrive\OneDrive%20-%20GrupoMatrix\MODELO%20OPERATIVO\INFORMES%20MENSUALES\ESTADISTICAS%20MESA\Disponibilidad\Bit&#225;cora%20Disponibilidad%20APP%203011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indisponibilidad"/>
      <sheetName val="APP"/>
      <sheetName val="Maestro"/>
    </sheetNames>
    <sheetDataSet>
      <sheetData sheetId="0"/>
      <sheetData sheetId="1" refreshError="1"/>
      <sheetData sheetId="2"/>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677AAC3-2B35-406D-97D8-7EEE92F8546E}">
    <nsvFilter filterId="{5030FAAD-3950-4530-9EE9-DB288CDC1331}" ref="A6:AB6998" tableId="2">
      <sortRules>
        <sortRule colId="0" id="{D3B502FA-7B7C-4885-B460-105D14AEBDCC}">
          <sortCondition ref="A6:A6998"/>
        </sortRule>
      </sortRules>
    </nsvFilter>
  </namedSheetView>
</namedSheetViews>
</file>

<file path=xl/persons/person.xml><?xml version="1.0" encoding="utf-8"?>
<personList xmlns="http://schemas.microsoft.com/office/spreadsheetml/2018/threadedcomments" xmlns:x="http://schemas.openxmlformats.org/spreadsheetml/2006/main">
  <person displayName="Gustavo Lopez Bedoya" id="{E1DCB930-7C70-4DD5-8227-8C70EE0C023A}" userId="S::gustavo.lopez@grupomatrix.co::03abe996-1a4b-4cbd-bd59-e8640d4e63e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269CF4-CBAF-4290-B88B-A762E86E46CA}" name="disponibilidad" displayName="disponibilidad" ref="A6:AB6998" totalsRowShown="0" headerRowDxfId="104" dataDxfId="103" tableBorderDxfId="102">
  <autoFilter ref="A6:AB6998" xr:uid="{5030FAAD-3950-4530-9EE9-DB288CDC1331}"/>
  <tableColumns count="28">
    <tableColumn id="1" xr3:uid="{D3B502FA-7B7C-4885-B460-105D14AEBDCC}" name="Mes" dataDxfId="101"/>
    <tableColumn id="2" xr3:uid="{4E648467-FE35-4364-A960-AA8FA32FA341}" name="Producto afectado o aplicación " dataDxfId="100"/>
    <tableColumn id="4" xr3:uid="{701660AD-BC6A-4B8A-A6EC-20F9ADCB817C}" name="Incidente" dataDxfId="99"/>
    <tableColumn id="5" xr3:uid="{4C63D9BE-5263-4F6A-9A13-323120B10705}" name="Fecha y hora inicio" dataDxfId="98"/>
    <tableColumn id="6" xr3:uid="{002B3347-DCB7-45B6-8C33-E2EAA1C7C16A}" name="Fecha y hora fin" dataDxfId="97"/>
    <tableColumn id="19" xr3:uid="{C8782AB3-8E70-4ED1-9067-A1F4D166275D}" name="Tiempo falla _x000a_(en Mintuos)" dataDxfId="96">
      <calculatedColumnFormula>+(disponibilidad[[#This Row],[Fecha y hora fin]]-disponibilidad[[#This Row],[Fecha y hora inicio]])*1440</calculatedColumnFormula>
    </tableColumn>
    <tableColumn id="11" xr3:uid="{5C456208-5D3B-4A59-8639-3F904904859D}" name="Tipo de afectación " dataDxfId="95"/>
    <tableColumn id="43" xr3:uid="{C4BCF1D5-4A46-46D5-B0A2-CE92F3AC1A65}" name="JADE" dataDxfId="94"/>
    <tableColumn id="44" xr3:uid="{54EDC53C-A71A-4D3F-A023-D7916F9AA726}" name="SIGA" dataDxfId="93"/>
    <tableColumn id="50" xr3:uid="{7EC340DD-9EA5-4448-9D87-2BEA226588A4}" name="APLICACIONES WEB GANA" dataDxfId="92"/>
    <tableColumn id="7" xr3:uid="{A11681D7-E83F-428C-A8FC-38F1C3C8BF09}" name="INVICTUS" dataDxfId="91"/>
    <tableColumn id="9" xr3:uid="{B623AC82-056F-4AD3-9046-75B61D516410}" name="SALO -LOTERIA" dataDxfId="90"/>
    <tableColumn id="36" xr3:uid="{AC34F15A-9A7F-445C-84CE-4ED0E45AE323}" name="Acertemos - Cauca" dataDxfId="89"/>
    <tableColumn id="31" xr3:uid="{D0AAA2EE-921D-4C41-A03D-A15A23C1439A}" name="Jer - Boyacá" dataDxfId="88"/>
    <tableColumn id="32" xr3:uid="{5A5443B5-0F26-4803-8ED2-5E2B9C67705B}" name="Suchance - Huila" dataDxfId="87"/>
    <tableColumn id="34" xr3:uid="{92C3784D-FFE2-4CB9-AC92-5280E1517F92}" name="MatrixRedes" dataDxfId="86"/>
    <tableColumn id="35" xr3:uid="{3629C877-ACF0-45B9-8B8B-DE2A076D90E8}" name="Gana - Antioquia" dataDxfId="85"/>
    <tableColumn id="27" xr3:uid="{DB495926-FE25-4993-9E22-650832B35BEC}" name="Gana Gana - Tolima" dataDxfId="84"/>
    <tableColumn id="3" xr3:uid="{F397EB87-0598-4FE3-82DC-72618DCE421A}" name="Santander La Perla" dataDxfId="83"/>
    <tableColumn id="17" xr3:uid="{FC931B3B-3DDB-4A6A-BE22-75E7EDC47EEF}" name="Apuestas - Chance" dataDxfId="82"/>
    <tableColumn id="20" xr3:uid="{2BD46D27-6BAD-43E2-80D1-139D6A0EBB46}" name="PAGOS" dataDxfId="81"/>
    <tableColumn id="38" xr3:uid="{34A0A232-C163-4353-A926-F353CD35FC15}" name="RECAUDOS" dataDxfId="80"/>
    <tableColumn id="16" xr3:uid="{75A3DD18-3D4D-423D-9C2D-E8B1703C9B2B}" name="RECARGAS" dataDxfId="79"/>
    <tableColumn id="49" xr3:uid="{C17F6C50-05E3-48C1-A961-4086F3FF0A58}" name="Responsable Falla" dataDxfId="78"/>
    <tableColumn id="8" xr3:uid="{D077A2C2-D96F-4731-97F0-71C0B48684F6}" name="Descripción" dataDxfId="77"/>
    <tableColumn id="13" xr3:uid="{21ED3FFD-1005-472E-B93D-EC53AC630503}" name="Causa raiz" dataDxfId="76"/>
    <tableColumn id="14" xr3:uid="{E3881EFC-505C-452A-9F6F-B685FFF6E317}" name="Plan accion" dataDxfId="75"/>
    <tableColumn id="15" xr3:uid="{93989CFC-26EB-43BE-907A-EB2E3C07607F}" name="Analista MDS" dataDxfId="74"/>
  </tableColumns>
  <tableStyleInfo name="TableStyleMedium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2-02-11T22:21:19.44" personId="{E1DCB930-7C70-4DD5-8227-8C70EE0C023A}" id="{7EF5919F-8935-4690-8BC0-F8B61CB0FE1E}">
    <text>Si aplica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92D050"/>
  </sheetPr>
  <dimension ref="A1:AB6998"/>
  <sheetViews>
    <sheetView showGridLines="0" tabSelected="1" zoomScale="61" zoomScaleNormal="61" workbookViewId="0">
      <pane ySplit="6" topLeftCell="O53" activePane="bottomLeft" state="frozen"/>
      <selection pane="bottomLeft" activeCell="Z56" sqref="Z56"/>
    </sheetView>
  </sheetViews>
  <sheetFormatPr defaultColWidth="11.42578125" defaultRowHeight="28.5" customHeight="1"/>
  <cols>
    <col min="1" max="1" width="11.42578125" style="28"/>
    <col min="2" max="2" width="35.7109375" style="28" bestFit="1" customWidth="1"/>
    <col min="3" max="3" width="20.140625" style="28" customWidth="1"/>
    <col min="4" max="4" width="26.140625" style="29" customWidth="1"/>
    <col min="5" max="5" width="20.28515625" style="29" customWidth="1"/>
    <col min="6" max="6" width="31.5703125" style="28" customWidth="1"/>
    <col min="7" max="7" width="25" style="28" bestFit="1" customWidth="1"/>
    <col min="8" max="8" width="14.28515625" style="28" customWidth="1"/>
    <col min="9" max="9" width="13.7109375" style="28" customWidth="1"/>
    <col min="10" max="12" width="18.5703125" style="28" customWidth="1"/>
    <col min="13" max="14" width="11.42578125" style="28" customWidth="1"/>
    <col min="15" max="16" width="7.28515625" style="28" customWidth="1"/>
    <col min="17" max="18" width="9.140625" style="28" customWidth="1"/>
    <col min="19" max="19" width="8.85546875" style="28" customWidth="1"/>
    <col min="20" max="20" width="6.85546875" style="28" customWidth="1"/>
    <col min="21" max="21" width="10.140625" style="28" customWidth="1"/>
    <col min="22" max="22" width="6.28515625" style="28" customWidth="1"/>
    <col min="23" max="23" width="6.5703125" style="28" customWidth="1"/>
    <col min="24" max="24" width="19.28515625" style="30" customWidth="1"/>
    <col min="25" max="25" width="40.140625" style="35" bestFit="1" customWidth="1"/>
    <col min="26" max="26" width="59.42578125" style="35" customWidth="1"/>
    <col min="27" max="27" width="59.140625" style="28" customWidth="1"/>
    <col min="28" max="28" width="28.7109375" style="28" bestFit="1" customWidth="1"/>
    <col min="29" max="16384" width="11.42578125" style="28"/>
  </cols>
  <sheetData>
    <row r="1" spans="1:28" s="46" customFormat="1" ht="18.75" customHeight="1">
      <c r="A1" s="320"/>
      <c r="B1" s="320"/>
      <c r="C1" s="321">
        <v>8</v>
      </c>
      <c r="D1" s="321"/>
      <c r="E1" s="321"/>
      <c r="F1" s="321"/>
      <c r="G1" s="321"/>
      <c r="H1" s="321"/>
      <c r="I1" s="321"/>
      <c r="J1" s="321"/>
      <c r="K1" s="321"/>
      <c r="L1" s="321"/>
      <c r="M1" s="321"/>
      <c r="N1" s="321"/>
      <c r="O1" s="321"/>
      <c r="P1" s="321"/>
      <c r="Q1" s="321"/>
      <c r="R1" s="321"/>
      <c r="S1" s="321"/>
      <c r="T1" s="321"/>
      <c r="U1" s="321"/>
      <c r="V1" s="321"/>
      <c r="W1" s="321"/>
      <c r="X1" s="321"/>
      <c r="Y1" s="321"/>
      <c r="Z1" s="321"/>
      <c r="AA1" s="45" t="s">
        <v>0</v>
      </c>
      <c r="AB1" s="45" t="s">
        <v>1</v>
      </c>
    </row>
    <row r="2" spans="1:28" s="46" customFormat="1" ht="18" customHeight="1">
      <c r="A2" s="320"/>
      <c r="B2" s="320"/>
      <c r="C2" s="322" t="s">
        <v>2</v>
      </c>
      <c r="D2" s="322"/>
      <c r="E2" s="322"/>
      <c r="F2" s="322"/>
      <c r="G2" s="322"/>
      <c r="H2" s="322"/>
      <c r="I2" s="322"/>
      <c r="J2" s="322"/>
      <c r="K2" s="322"/>
      <c r="L2" s="322"/>
      <c r="M2" s="322"/>
      <c r="N2" s="322"/>
      <c r="O2" s="322"/>
      <c r="P2" s="322"/>
      <c r="Q2" s="322"/>
      <c r="R2" s="322"/>
      <c r="S2" s="322"/>
      <c r="T2" s="322"/>
      <c r="U2" s="322"/>
      <c r="V2" s="322"/>
      <c r="W2" s="322"/>
      <c r="X2" s="322"/>
      <c r="Y2" s="322"/>
      <c r="Z2" s="322"/>
      <c r="AA2" s="47" t="s">
        <v>3</v>
      </c>
      <c r="AB2" s="48">
        <v>0</v>
      </c>
    </row>
    <row r="3" spans="1:28" s="46" customFormat="1" ht="18.75" customHeight="1">
      <c r="A3" s="320"/>
      <c r="B3" s="320"/>
      <c r="C3" s="323" t="s">
        <v>4</v>
      </c>
      <c r="D3" s="323"/>
      <c r="E3" s="323"/>
      <c r="F3" s="323"/>
      <c r="G3" s="323"/>
      <c r="H3" s="323"/>
      <c r="I3" s="323"/>
      <c r="J3" s="323"/>
      <c r="K3" s="323"/>
      <c r="L3" s="323"/>
      <c r="M3" s="323"/>
      <c r="N3" s="323"/>
      <c r="O3" s="323"/>
      <c r="P3" s="323"/>
      <c r="Q3" s="323"/>
      <c r="R3" s="323"/>
      <c r="S3" s="323"/>
      <c r="T3" s="323"/>
      <c r="U3" s="323"/>
      <c r="V3" s="323"/>
      <c r="W3" s="323"/>
      <c r="X3" s="323"/>
      <c r="Y3" s="323"/>
      <c r="Z3" s="323"/>
      <c r="AA3" s="45" t="s">
        <v>5</v>
      </c>
      <c r="AB3" s="49">
        <v>45525</v>
      </c>
    </row>
    <row r="4" spans="1:28" s="50" customFormat="1" ht="6" customHeight="1">
      <c r="D4" s="51"/>
      <c r="E4" s="51"/>
      <c r="X4" s="52"/>
      <c r="Y4" s="126"/>
      <c r="Z4" s="126"/>
    </row>
    <row r="5" spans="1:28" ht="34.5" hidden="1" customHeight="1">
      <c r="H5" s="319" t="s">
        <v>6</v>
      </c>
      <c r="I5" s="319"/>
      <c r="J5" s="319"/>
      <c r="K5" s="185"/>
      <c r="L5" s="185"/>
      <c r="M5" s="317" t="s">
        <v>7</v>
      </c>
      <c r="N5" s="317"/>
      <c r="O5" s="317"/>
      <c r="P5" s="317"/>
      <c r="Q5" s="317"/>
      <c r="R5" s="317"/>
      <c r="S5" s="317"/>
      <c r="T5" s="318" t="s">
        <v>8</v>
      </c>
      <c r="U5" s="318"/>
      <c r="V5" s="318"/>
      <c r="W5" s="318"/>
    </row>
    <row r="6" spans="1:28" s="44" customFormat="1" ht="75.75" customHeight="1">
      <c r="A6" s="39" t="s">
        <v>9</v>
      </c>
      <c r="B6" s="40" t="s">
        <v>10</v>
      </c>
      <c r="C6" s="41" t="s">
        <v>11</v>
      </c>
      <c r="D6" s="42" t="s">
        <v>12</v>
      </c>
      <c r="E6" s="42" t="s">
        <v>13</v>
      </c>
      <c r="F6" s="39" t="s">
        <v>14</v>
      </c>
      <c r="G6" s="43" t="s">
        <v>15</v>
      </c>
      <c r="H6" s="31" t="s">
        <v>16</v>
      </c>
      <c r="I6" s="31" t="s">
        <v>17</v>
      </c>
      <c r="J6" s="128" t="s">
        <v>18</v>
      </c>
      <c r="K6" s="128" t="s">
        <v>19</v>
      </c>
      <c r="L6" s="128" t="s">
        <v>20</v>
      </c>
      <c r="M6" s="32" t="s">
        <v>21</v>
      </c>
      <c r="N6" s="32" t="s">
        <v>22</v>
      </c>
      <c r="O6" s="32" t="s">
        <v>23</v>
      </c>
      <c r="P6" s="32" t="s">
        <v>24</v>
      </c>
      <c r="Q6" s="32" t="s">
        <v>25</v>
      </c>
      <c r="R6" s="32" t="s">
        <v>26</v>
      </c>
      <c r="S6" s="32" t="s">
        <v>27</v>
      </c>
      <c r="T6" s="33" t="s">
        <v>28</v>
      </c>
      <c r="U6" s="33" t="s">
        <v>29</v>
      </c>
      <c r="V6" s="33" t="s">
        <v>30</v>
      </c>
      <c r="W6" s="33" t="s">
        <v>31</v>
      </c>
      <c r="X6" s="43" t="s">
        <v>32</v>
      </c>
      <c r="Y6" s="43" t="s">
        <v>33</v>
      </c>
      <c r="Z6" s="43" t="s">
        <v>34</v>
      </c>
      <c r="AA6" s="43" t="s">
        <v>35</v>
      </c>
      <c r="AB6" s="43" t="s">
        <v>36</v>
      </c>
    </row>
    <row r="7" spans="1:28" ht="28.5" customHeight="1">
      <c r="A7" s="28" t="s">
        <v>37</v>
      </c>
      <c r="B7" s="34" t="s">
        <v>16</v>
      </c>
      <c r="C7" s="28" t="s">
        <v>38</v>
      </c>
      <c r="D7" s="29">
        <v>46024.541666666664</v>
      </c>
      <c r="E7" s="29">
        <v>46024.558333333334</v>
      </c>
      <c r="F7" s="115">
        <v>60</v>
      </c>
      <c r="G7" s="28" t="s">
        <v>39</v>
      </c>
      <c r="H7" s="197" t="s">
        <v>40</v>
      </c>
      <c r="I7" s="197" t="s">
        <v>41</v>
      </c>
      <c r="J7" s="197" t="s">
        <v>41</v>
      </c>
      <c r="K7" s="197" t="s">
        <v>40</v>
      </c>
      <c r="L7" s="197" t="s">
        <v>41</v>
      </c>
      <c r="M7" s="197" t="s">
        <v>41</v>
      </c>
      <c r="N7" s="197" t="s">
        <v>41</v>
      </c>
      <c r="O7" s="197" t="s">
        <v>41</v>
      </c>
      <c r="P7" s="197" t="s">
        <v>41</v>
      </c>
      <c r="Q7" s="197" t="s">
        <v>40</v>
      </c>
      <c r="R7" s="197" t="s">
        <v>41</v>
      </c>
      <c r="S7" s="197" t="s">
        <v>41</v>
      </c>
      <c r="T7" s="197" t="s">
        <v>40</v>
      </c>
      <c r="U7" s="197" t="s">
        <v>40</v>
      </c>
      <c r="V7" s="197" t="s">
        <v>40</v>
      </c>
      <c r="W7" s="197" t="s">
        <v>40</v>
      </c>
      <c r="X7" s="30" t="s">
        <v>42</v>
      </c>
      <c r="Y7" s="35" t="s">
        <v>43</v>
      </c>
      <c r="Z7" s="241" t="s">
        <v>44</v>
      </c>
      <c r="AA7" s="170" t="s">
        <v>45</v>
      </c>
      <c r="AB7" s="34" t="s">
        <v>46</v>
      </c>
    </row>
    <row r="8" spans="1:28" ht="28.5" customHeight="1">
      <c r="A8" s="28" t="s">
        <v>37</v>
      </c>
      <c r="B8" s="34" t="s">
        <v>47</v>
      </c>
      <c r="C8" s="28">
        <v>728296</v>
      </c>
      <c r="D8" s="29">
        <v>46038.345833333333</v>
      </c>
      <c r="E8" s="29">
        <v>46038.364583333336</v>
      </c>
      <c r="F8" s="115">
        <f>+(disponibilidad[[#This Row],[Fecha y hora fin]]-disponibilidad[[#This Row],[Fecha y hora inicio]])*1440</f>
        <v>27.000000004190952</v>
      </c>
      <c r="G8" s="28" t="s">
        <v>48</v>
      </c>
      <c r="H8" s="116" t="s">
        <v>40</v>
      </c>
      <c r="I8" s="116" t="s">
        <v>41</v>
      </c>
      <c r="J8" s="116" t="s">
        <v>41</v>
      </c>
      <c r="K8" s="116" t="s">
        <v>41</v>
      </c>
      <c r="L8" s="116" t="s">
        <v>41</v>
      </c>
      <c r="M8" s="116" t="s">
        <v>41</v>
      </c>
      <c r="N8" s="116" t="s">
        <v>41</v>
      </c>
      <c r="O8" s="116" t="s">
        <v>40</v>
      </c>
      <c r="P8" s="116" t="s">
        <v>41</v>
      </c>
      <c r="Q8" s="116" t="s">
        <v>41</v>
      </c>
      <c r="R8" s="116" t="s">
        <v>41</v>
      </c>
      <c r="S8" s="116" t="s">
        <v>41</v>
      </c>
      <c r="T8" s="28" t="s">
        <v>40</v>
      </c>
      <c r="U8" s="28" t="s">
        <v>40</v>
      </c>
      <c r="V8" s="28" t="s">
        <v>40</v>
      </c>
      <c r="W8" s="28" t="s">
        <v>40</v>
      </c>
      <c r="X8" s="30" t="s">
        <v>42</v>
      </c>
      <c r="Y8" s="35" t="s">
        <v>49</v>
      </c>
      <c r="Z8" s="127" t="s">
        <v>50</v>
      </c>
      <c r="AA8" s="115" t="s">
        <v>51</v>
      </c>
      <c r="AB8" s="34" t="s">
        <v>52</v>
      </c>
    </row>
    <row r="9" spans="1:28" ht="28.5" customHeight="1">
      <c r="A9" s="28" t="s">
        <v>37</v>
      </c>
      <c r="B9" s="34" t="s">
        <v>53</v>
      </c>
      <c r="C9" s="28">
        <v>728306</v>
      </c>
      <c r="D9" s="29">
        <v>46038.458333333336</v>
      </c>
      <c r="E9" s="29">
        <v>46038.472222222219</v>
      </c>
      <c r="F9" s="115">
        <f>+(disponibilidad[[#This Row],[Fecha y hora fin]]-disponibilidad[[#This Row],[Fecha y hora inicio]])*1440</f>
        <v>19.999999991850927</v>
      </c>
      <c r="G9" s="28" t="s">
        <v>39</v>
      </c>
      <c r="H9" s="116" t="s">
        <v>40</v>
      </c>
      <c r="I9" s="116" t="s">
        <v>41</v>
      </c>
      <c r="J9" s="116" t="s">
        <v>41</v>
      </c>
      <c r="K9" s="116" t="s">
        <v>41</v>
      </c>
      <c r="L9" s="116" t="s">
        <v>41</v>
      </c>
      <c r="M9" s="116" t="s">
        <v>41</v>
      </c>
      <c r="N9" s="116" t="s">
        <v>41</v>
      </c>
      <c r="O9" s="116" t="s">
        <v>41</v>
      </c>
      <c r="P9" s="116" t="s">
        <v>41</v>
      </c>
      <c r="Q9" s="116" t="s">
        <v>41</v>
      </c>
      <c r="R9" s="116" t="s">
        <v>40</v>
      </c>
      <c r="S9" s="116" t="s">
        <v>41</v>
      </c>
      <c r="T9" s="28" t="s">
        <v>40</v>
      </c>
      <c r="U9" s="28" t="s">
        <v>40</v>
      </c>
      <c r="V9" s="28" t="s">
        <v>40</v>
      </c>
      <c r="W9" s="28" t="s">
        <v>40</v>
      </c>
      <c r="X9" s="30" t="s">
        <v>42</v>
      </c>
      <c r="Y9" s="35" t="s">
        <v>54</v>
      </c>
      <c r="Z9" s="127" t="s">
        <v>55</v>
      </c>
      <c r="AA9" s="115" t="s">
        <v>56</v>
      </c>
      <c r="AB9" s="34" t="s">
        <v>52</v>
      </c>
    </row>
    <row r="10" spans="1:28" ht="28.5" customHeight="1">
      <c r="A10" s="28" t="s">
        <v>37</v>
      </c>
      <c r="B10" s="34" t="s">
        <v>57</v>
      </c>
      <c r="C10" s="28">
        <v>728344</v>
      </c>
      <c r="D10" s="29">
        <v>46041.349305555559</v>
      </c>
      <c r="E10" s="29">
        <v>46041.359722222223</v>
      </c>
      <c r="F10" s="115">
        <f>+(disponibilidad[[#This Row],[Fecha y hora fin]]-disponibilidad[[#This Row],[Fecha y hora inicio]])*1440</f>
        <v>14.99999999650754</v>
      </c>
      <c r="G10" s="28" t="s">
        <v>48</v>
      </c>
      <c r="H10" s="116" t="s">
        <v>40</v>
      </c>
      <c r="I10" s="116" t="s">
        <v>41</v>
      </c>
      <c r="J10" s="116" t="s">
        <v>41</v>
      </c>
      <c r="K10" s="116" t="s">
        <v>41</v>
      </c>
      <c r="L10" s="116" t="s">
        <v>41</v>
      </c>
      <c r="M10" s="116" t="s">
        <v>41</v>
      </c>
      <c r="N10" s="116" t="s">
        <v>41</v>
      </c>
      <c r="O10" s="116" t="s">
        <v>41</v>
      </c>
      <c r="P10" s="116" t="s">
        <v>41</v>
      </c>
      <c r="Q10" s="116" t="s">
        <v>41</v>
      </c>
      <c r="R10" s="116" t="s">
        <v>41</v>
      </c>
      <c r="S10" s="116" t="s">
        <v>40</v>
      </c>
      <c r="T10" s="28" t="s">
        <v>40</v>
      </c>
      <c r="U10" s="28" t="s">
        <v>40</v>
      </c>
      <c r="V10" s="28" t="s">
        <v>40</v>
      </c>
      <c r="W10" s="28" t="s">
        <v>40</v>
      </c>
      <c r="X10" s="30" t="s">
        <v>42</v>
      </c>
      <c r="Y10" s="35" t="s">
        <v>49</v>
      </c>
      <c r="Z10" s="127" t="s">
        <v>58</v>
      </c>
      <c r="AA10" s="115" t="s">
        <v>51</v>
      </c>
      <c r="AB10" s="34" t="s">
        <v>52</v>
      </c>
    </row>
    <row r="11" spans="1:28" ht="28.5" customHeight="1">
      <c r="A11" s="28" t="s">
        <v>37</v>
      </c>
      <c r="B11" s="34" t="s">
        <v>59</v>
      </c>
      <c r="C11" s="28">
        <v>728342</v>
      </c>
      <c r="D11" s="29">
        <v>46041.347222222219</v>
      </c>
      <c r="E11" s="29">
        <v>46041.359722222223</v>
      </c>
      <c r="F11" s="115">
        <f>+(disponibilidad[[#This Row],[Fecha y hora fin]]-disponibilidad[[#This Row],[Fecha y hora inicio]])*1440</f>
        <v>18.000000006286427</v>
      </c>
      <c r="G11" s="28" t="s">
        <v>48</v>
      </c>
      <c r="H11" s="116" t="s">
        <v>40</v>
      </c>
      <c r="I11" s="116" t="s">
        <v>41</v>
      </c>
      <c r="J11" s="116" t="s">
        <v>41</v>
      </c>
      <c r="K11" s="116" t="s">
        <v>41</v>
      </c>
      <c r="L11" s="116" t="s">
        <v>41</v>
      </c>
      <c r="M11" s="116" t="s">
        <v>41</v>
      </c>
      <c r="N11" s="116" t="s">
        <v>41</v>
      </c>
      <c r="O11" s="116" t="s">
        <v>40</v>
      </c>
      <c r="P11" s="116" t="s">
        <v>41</v>
      </c>
      <c r="Q11" s="116" t="s">
        <v>41</v>
      </c>
      <c r="R11" s="116" t="s">
        <v>41</v>
      </c>
      <c r="S11" s="116" t="s">
        <v>41</v>
      </c>
      <c r="T11" s="28" t="s">
        <v>40</v>
      </c>
      <c r="U11" s="28" t="s">
        <v>40</v>
      </c>
      <c r="V11" s="28" t="s">
        <v>40</v>
      </c>
      <c r="W11" s="28" t="s">
        <v>40</v>
      </c>
      <c r="X11" s="30" t="s">
        <v>42</v>
      </c>
      <c r="Y11" s="35" t="s">
        <v>49</v>
      </c>
      <c r="Z11" s="127" t="s">
        <v>50</v>
      </c>
      <c r="AA11" s="115" t="s">
        <v>51</v>
      </c>
      <c r="AB11" s="34" t="s">
        <v>52</v>
      </c>
    </row>
    <row r="12" spans="1:28" ht="28.5" customHeight="1">
      <c r="A12" s="28" t="s">
        <v>37</v>
      </c>
      <c r="B12" s="34" t="s">
        <v>60</v>
      </c>
      <c r="C12" s="28">
        <v>728345</v>
      </c>
      <c r="D12" s="29">
        <v>46041.363194444442</v>
      </c>
      <c r="E12" s="29">
        <v>46041.371527777781</v>
      </c>
      <c r="F12" s="115">
        <f>+(disponibilidad[[#This Row],[Fecha y hora fin]]-disponibilidad[[#This Row],[Fecha y hora inicio]])*1440</f>
        <v>12.000000007683411</v>
      </c>
      <c r="G12" s="28" t="s">
        <v>48</v>
      </c>
      <c r="H12" s="116" t="s">
        <v>40</v>
      </c>
      <c r="I12" s="116" t="s">
        <v>41</v>
      </c>
      <c r="J12" s="116" t="s">
        <v>41</v>
      </c>
      <c r="K12" s="116" t="s">
        <v>41</v>
      </c>
      <c r="L12" s="116" t="s">
        <v>41</v>
      </c>
      <c r="M12" s="116" t="s">
        <v>40</v>
      </c>
      <c r="N12" s="116" t="s">
        <v>41</v>
      </c>
      <c r="O12" s="116" t="s">
        <v>41</v>
      </c>
      <c r="P12" s="116" t="s">
        <v>41</v>
      </c>
      <c r="Q12" s="116" t="s">
        <v>41</v>
      </c>
      <c r="R12" s="116" t="s">
        <v>41</v>
      </c>
      <c r="S12" s="116" t="s">
        <v>41</v>
      </c>
      <c r="T12" s="28" t="s">
        <v>40</v>
      </c>
      <c r="U12" s="28" t="s">
        <v>40</v>
      </c>
      <c r="V12" s="28" t="s">
        <v>40</v>
      </c>
      <c r="W12" s="28" t="s">
        <v>40</v>
      </c>
      <c r="X12" s="30" t="s">
        <v>42</v>
      </c>
      <c r="Y12" s="35" t="s">
        <v>49</v>
      </c>
      <c r="Z12" s="127" t="s">
        <v>50</v>
      </c>
      <c r="AA12" s="115" t="s">
        <v>56</v>
      </c>
      <c r="AB12" s="34" t="s">
        <v>52</v>
      </c>
    </row>
    <row r="13" spans="1:28" ht="28.5" customHeight="1">
      <c r="A13" s="28" t="s">
        <v>37</v>
      </c>
      <c r="B13" s="34" t="s">
        <v>60</v>
      </c>
      <c r="C13" s="28">
        <v>728381</v>
      </c>
      <c r="D13" s="29">
        <v>46042.313194444447</v>
      </c>
      <c r="E13" s="29">
        <v>46042.320833333331</v>
      </c>
      <c r="F13" s="115">
        <f>+(disponibilidad[[#This Row],[Fecha y hora fin]]-disponibilidad[[#This Row],[Fecha y hora inicio]])*1440</f>
        <v>10.999999993946403</v>
      </c>
      <c r="G13" s="28" t="s">
        <v>48</v>
      </c>
      <c r="H13" s="116" t="s">
        <v>40</v>
      </c>
      <c r="I13" s="116" t="s">
        <v>41</v>
      </c>
      <c r="J13" s="116" t="s">
        <v>41</v>
      </c>
      <c r="K13" s="116" t="s">
        <v>41</v>
      </c>
      <c r="L13" s="116" t="s">
        <v>41</v>
      </c>
      <c r="M13" s="116" t="s">
        <v>40</v>
      </c>
      <c r="N13" s="116" t="s">
        <v>41</v>
      </c>
      <c r="O13" s="116" t="s">
        <v>41</v>
      </c>
      <c r="P13" s="116" t="s">
        <v>41</v>
      </c>
      <c r="Q13" s="116" t="s">
        <v>41</v>
      </c>
      <c r="R13" s="116" t="s">
        <v>41</v>
      </c>
      <c r="S13" s="116" t="s">
        <v>41</v>
      </c>
      <c r="T13" s="28" t="s">
        <v>40</v>
      </c>
      <c r="U13" s="28" t="s">
        <v>40</v>
      </c>
      <c r="V13" s="28" t="s">
        <v>40</v>
      </c>
      <c r="W13" s="28" t="s">
        <v>40</v>
      </c>
      <c r="X13" s="30" t="s">
        <v>42</v>
      </c>
      <c r="Y13" s="35" t="s">
        <v>49</v>
      </c>
      <c r="Z13" s="127" t="s">
        <v>50</v>
      </c>
      <c r="AA13" s="115" t="s">
        <v>56</v>
      </c>
      <c r="AB13" s="34" t="s">
        <v>52</v>
      </c>
    </row>
    <row r="14" spans="1:28" ht="28.5" customHeight="1">
      <c r="A14" s="28" t="s">
        <v>37</v>
      </c>
      <c r="B14" s="34" t="s">
        <v>61</v>
      </c>
      <c r="C14" s="28">
        <v>728382</v>
      </c>
      <c r="D14" s="29">
        <v>46042.313888888886</v>
      </c>
      <c r="E14" s="29">
        <v>46042.329861111109</v>
      </c>
      <c r="F14" s="115">
        <f>+(disponibilidad[[#This Row],[Fecha y hora fin]]-disponibilidad[[#This Row],[Fecha y hora inicio]])*1440</f>
        <v>23.000000001629815</v>
      </c>
      <c r="G14" s="28" t="s">
        <v>48</v>
      </c>
      <c r="H14" s="116" t="s">
        <v>40</v>
      </c>
      <c r="I14" s="116" t="s">
        <v>41</v>
      </c>
      <c r="J14" s="116" t="s">
        <v>41</v>
      </c>
      <c r="K14" s="116" t="s">
        <v>41</v>
      </c>
      <c r="L14" s="116" t="s">
        <v>41</v>
      </c>
      <c r="M14" s="116" t="s">
        <v>41</v>
      </c>
      <c r="N14" s="116" t="s">
        <v>41</v>
      </c>
      <c r="O14" s="116" t="s">
        <v>40</v>
      </c>
      <c r="P14" s="116" t="s">
        <v>41</v>
      </c>
      <c r="Q14" s="116" t="s">
        <v>41</v>
      </c>
      <c r="R14" s="116" t="s">
        <v>41</v>
      </c>
      <c r="S14" s="116" t="s">
        <v>41</v>
      </c>
      <c r="T14" s="28" t="s">
        <v>40</v>
      </c>
      <c r="U14" s="28" t="s">
        <v>40</v>
      </c>
      <c r="V14" s="28" t="s">
        <v>40</v>
      </c>
      <c r="W14" s="28" t="s">
        <v>40</v>
      </c>
      <c r="X14" s="30" t="s">
        <v>42</v>
      </c>
      <c r="Y14" s="35" t="s">
        <v>49</v>
      </c>
      <c r="Z14" s="127" t="s">
        <v>50</v>
      </c>
      <c r="AA14" s="115" t="s">
        <v>56</v>
      </c>
      <c r="AB14" s="34" t="s">
        <v>52</v>
      </c>
    </row>
    <row r="15" spans="1:28" ht="28.5" customHeight="1">
      <c r="A15" s="28" t="s">
        <v>37</v>
      </c>
      <c r="B15" s="34" t="s">
        <v>62</v>
      </c>
      <c r="C15" s="28">
        <v>728385</v>
      </c>
      <c r="D15" s="29">
        <v>46042.349305555559</v>
      </c>
      <c r="E15" s="29">
        <v>46042.404166666667</v>
      </c>
      <c r="F15" s="115">
        <f>+(disponibilidad[[#This Row],[Fecha y hora fin]]-disponibilidad[[#This Row],[Fecha y hora inicio]])*1440</f>
        <v>78.999999995576218</v>
      </c>
      <c r="G15" s="28" t="s">
        <v>48</v>
      </c>
      <c r="H15" s="116" t="s">
        <v>40</v>
      </c>
      <c r="I15" s="116" t="s">
        <v>41</v>
      </c>
      <c r="J15" s="116" t="s">
        <v>41</v>
      </c>
      <c r="K15" s="116" t="s">
        <v>41</v>
      </c>
      <c r="L15" s="116" t="s">
        <v>41</v>
      </c>
      <c r="M15" s="116" t="s">
        <v>41</v>
      </c>
      <c r="N15" s="116" t="s">
        <v>41</v>
      </c>
      <c r="O15" s="116" t="s">
        <v>41</v>
      </c>
      <c r="P15" s="116" t="s">
        <v>41</v>
      </c>
      <c r="Q15" s="116" t="s">
        <v>41</v>
      </c>
      <c r="R15" s="116" t="s">
        <v>41</v>
      </c>
      <c r="S15" s="116" t="s">
        <v>40</v>
      </c>
      <c r="T15" s="28" t="s">
        <v>40</v>
      </c>
      <c r="U15" s="28" t="s">
        <v>40</v>
      </c>
      <c r="V15" s="28" t="s">
        <v>40</v>
      </c>
      <c r="W15" s="28" t="s">
        <v>40</v>
      </c>
      <c r="X15" s="30" t="s">
        <v>42</v>
      </c>
      <c r="Y15" s="35" t="s">
        <v>49</v>
      </c>
      <c r="Z15" s="127" t="s">
        <v>63</v>
      </c>
      <c r="AA15" s="115" t="s">
        <v>64</v>
      </c>
      <c r="AB15" s="34" t="s">
        <v>52</v>
      </c>
    </row>
    <row r="16" spans="1:28" ht="45.75">
      <c r="A16" s="28" t="s">
        <v>37</v>
      </c>
      <c r="B16" s="304" t="s">
        <v>65</v>
      </c>
      <c r="C16" s="28" t="s">
        <v>66</v>
      </c>
      <c r="D16" s="29">
        <v>46044.387499999997</v>
      </c>
      <c r="E16" s="29">
        <v>46044.4375</v>
      </c>
      <c r="F16" s="115">
        <f>+(disponibilidad[[#This Row],[Fecha y hora fin]]-disponibilidad[[#This Row],[Fecha y hora inicio]])*1440</f>
        <v>72.000000004190952</v>
      </c>
      <c r="G16" s="28" t="s">
        <v>39</v>
      </c>
      <c r="H16" s="116" t="s">
        <v>40</v>
      </c>
      <c r="I16" s="116" t="s">
        <v>41</v>
      </c>
      <c r="J16" s="116" t="s">
        <v>41</v>
      </c>
      <c r="K16" s="116" t="s">
        <v>41</v>
      </c>
      <c r="L16" s="116" t="s">
        <v>41</v>
      </c>
      <c r="M16" s="116" t="s">
        <v>41</v>
      </c>
      <c r="N16" s="116" t="s">
        <v>41</v>
      </c>
      <c r="O16" s="116" t="s">
        <v>41</v>
      </c>
      <c r="P16" s="116" t="s">
        <v>41</v>
      </c>
      <c r="Q16" s="116" t="s">
        <v>40</v>
      </c>
      <c r="R16" s="116" t="s">
        <v>41</v>
      </c>
      <c r="S16" s="116" t="s">
        <v>41</v>
      </c>
      <c r="T16" s="28" t="s">
        <v>41</v>
      </c>
      <c r="U16" s="28" t="s">
        <v>41</v>
      </c>
      <c r="V16" s="28" t="s">
        <v>40</v>
      </c>
      <c r="W16" s="28" t="s">
        <v>41</v>
      </c>
      <c r="X16" s="30" t="s">
        <v>67</v>
      </c>
      <c r="Y16" s="35" t="s">
        <v>68</v>
      </c>
      <c r="Z16" s="127" t="s">
        <v>69</v>
      </c>
      <c r="AA16" s="115" t="s">
        <v>70</v>
      </c>
      <c r="AB16" s="34" t="s">
        <v>52</v>
      </c>
    </row>
    <row r="17" spans="1:28" ht="30.75">
      <c r="A17" s="28" t="s">
        <v>37</v>
      </c>
      <c r="B17" s="34" t="s">
        <v>61</v>
      </c>
      <c r="C17" s="28">
        <v>728503</v>
      </c>
      <c r="D17" s="29">
        <v>46045.599999999999</v>
      </c>
      <c r="E17" s="29">
        <v>46045.611111111109</v>
      </c>
      <c r="F17" s="115">
        <f>+(disponibilidad[[#This Row],[Fecha y hora fin]]-disponibilidad[[#This Row],[Fecha y hora inicio]])*1440</f>
        <v>15.999999999767169</v>
      </c>
      <c r="G17" s="28" t="s">
        <v>48</v>
      </c>
      <c r="H17" s="116" t="s">
        <v>40</v>
      </c>
      <c r="I17" s="116" t="s">
        <v>41</v>
      </c>
      <c r="J17" s="116" t="s">
        <v>41</v>
      </c>
      <c r="K17" s="116" t="s">
        <v>41</v>
      </c>
      <c r="L17" s="116" t="s">
        <v>41</v>
      </c>
      <c r="M17" s="116" t="s">
        <v>41</v>
      </c>
      <c r="N17" s="116" t="s">
        <v>41</v>
      </c>
      <c r="O17" s="116" t="s">
        <v>40</v>
      </c>
      <c r="P17" s="116" t="s">
        <v>41</v>
      </c>
      <c r="Q17" s="116" t="s">
        <v>41</v>
      </c>
      <c r="R17" s="116" t="s">
        <v>41</v>
      </c>
      <c r="S17" s="116" t="s">
        <v>41</v>
      </c>
      <c r="T17" s="28" t="s">
        <v>40</v>
      </c>
      <c r="U17" s="28" t="s">
        <v>40</v>
      </c>
      <c r="V17" s="28" t="s">
        <v>40</v>
      </c>
      <c r="W17" s="28" t="s">
        <v>40</v>
      </c>
      <c r="X17" s="30" t="s">
        <v>42</v>
      </c>
      <c r="Y17" s="35" t="s">
        <v>49</v>
      </c>
      <c r="Z17" s="127" t="s">
        <v>58</v>
      </c>
      <c r="AA17" s="115" t="s">
        <v>56</v>
      </c>
      <c r="AB17" s="34" t="s">
        <v>52</v>
      </c>
    </row>
    <row r="18" spans="1:28" ht="30.75">
      <c r="A18" s="28" t="s">
        <v>37</v>
      </c>
      <c r="B18" s="34" t="s">
        <v>71</v>
      </c>
      <c r="C18" s="28">
        <v>728576</v>
      </c>
      <c r="D18" s="29">
        <v>46048.34097222222</v>
      </c>
      <c r="E18" s="29">
        <v>46048.36041666667</v>
      </c>
      <c r="F18" s="115">
        <f>+(disponibilidad[[#This Row],[Fecha y hora fin]]-disponibilidad[[#This Row],[Fecha y hora inicio]])*1440</f>
        <v>28.000000007450581</v>
      </c>
      <c r="G18" s="28" t="s">
        <v>39</v>
      </c>
      <c r="H18" s="116" t="s">
        <v>40</v>
      </c>
      <c r="I18" s="116" t="s">
        <v>41</v>
      </c>
      <c r="J18" s="116" t="s">
        <v>41</v>
      </c>
      <c r="K18" s="116" t="s">
        <v>41</v>
      </c>
      <c r="L18" s="116" t="s">
        <v>41</v>
      </c>
      <c r="M18" s="116" t="s">
        <v>41</v>
      </c>
      <c r="N18" s="116" t="s">
        <v>41</v>
      </c>
      <c r="O18" s="116" t="s">
        <v>40</v>
      </c>
      <c r="P18" s="116" t="s">
        <v>41</v>
      </c>
      <c r="Q18" s="116" t="s">
        <v>41</v>
      </c>
      <c r="R18" s="116" t="s">
        <v>41</v>
      </c>
      <c r="S18" s="116" t="s">
        <v>41</v>
      </c>
      <c r="T18" s="28" t="s">
        <v>40</v>
      </c>
      <c r="U18" s="28" t="s">
        <v>40</v>
      </c>
      <c r="V18" s="28" t="s">
        <v>40</v>
      </c>
      <c r="W18" s="28" t="s">
        <v>40</v>
      </c>
      <c r="X18" s="30" t="s">
        <v>42</v>
      </c>
      <c r="Y18" s="35" t="s">
        <v>49</v>
      </c>
      <c r="Z18" s="127" t="s">
        <v>58</v>
      </c>
      <c r="AA18" s="115" t="s">
        <v>56</v>
      </c>
      <c r="AB18" s="34" t="s">
        <v>52</v>
      </c>
    </row>
    <row r="19" spans="1:28" ht="30.75">
      <c r="A19" s="28" t="s">
        <v>37</v>
      </c>
      <c r="B19" s="34" t="s">
        <v>72</v>
      </c>
      <c r="C19" s="28">
        <v>728580</v>
      </c>
      <c r="D19" s="29">
        <v>46048.348611111112</v>
      </c>
      <c r="E19" s="29">
        <v>46048.36041666667</v>
      </c>
      <c r="F19" s="115">
        <f>+(disponibilidad[[#This Row],[Fecha y hora fin]]-disponibilidad[[#This Row],[Fecha y hora inicio]])*1440</f>
        <v>17.000000003026798</v>
      </c>
      <c r="G19" s="28" t="s">
        <v>39</v>
      </c>
      <c r="H19" s="116" t="s">
        <v>40</v>
      </c>
      <c r="I19" s="116" t="s">
        <v>41</v>
      </c>
      <c r="J19" s="116" t="s">
        <v>41</v>
      </c>
      <c r="K19" s="116" t="s">
        <v>41</v>
      </c>
      <c r="L19" s="116" t="s">
        <v>41</v>
      </c>
      <c r="M19" s="116" t="s">
        <v>41</v>
      </c>
      <c r="N19" s="116" t="s">
        <v>40</v>
      </c>
      <c r="O19" s="116" t="s">
        <v>41</v>
      </c>
      <c r="P19" s="116" t="s">
        <v>41</v>
      </c>
      <c r="Q19" s="116" t="s">
        <v>41</v>
      </c>
      <c r="R19" s="116" t="s">
        <v>41</v>
      </c>
      <c r="S19" s="116" t="s">
        <v>41</v>
      </c>
      <c r="T19" s="28" t="s">
        <v>40</v>
      </c>
      <c r="U19" s="28" t="s">
        <v>40</v>
      </c>
      <c r="V19" s="28" t="s">
        <v>40</v>
      </c>
      <c r="W19" s="28" t="s">
        <v>40</v>
      </c>
      <c r="X19" s="30" t="s">
        <v>42</v>
      </c>
      <c r="Y19" s="35" t="s">
        <v>49</v>
      </c>
      <c r="Z19" s="127" t="s">
        <v>58</v>
      </c>
      <c r="AA19" s="115" t="s">
        <v>56</v>
      </c>
      <c r="AB19" s="34" t="s">
        <v>52</v>
      </c>
    </row>
    <row r="20" spans="1:28" ht="30.75">
      <c r="A20" s="28" t="s">
        <v>37</v>
      </c>
      <c r="B20" s="34" t="s">
        <v>73</v>
      </c>
      <c r="C20" s="28">
        <v>728621</v>
      </c>
      <c r="D20" s="29">
        <v>46049.281944444447</v>
      </c>
      <c r="E20" s="29">
        <v>46049.302777777775</v>
      </c>
      <c r="F20" s="115">
        <f>+(disponibilidad[[#This Row],[Fecha y hora fin]]-disponibilidad[[#This Row],[Fecha y hora inicio]])*1440</f>
        <v>29.999999993015081</v>
      </c>
      <c r="G20" s="28" t="s">
        <v>39</v>
      </c>
      <c r="H20" s="116" t="s">
        <v>40</v>
      </c>
      <c r="I20" s="116" t="s">
        <v>41</v>
      </c>
      <c r="J20" s="116" t="s">
        <v>41</v>
      </c>
      <c r="K20" s="116" t="s">
        <v>41</v>
      </c>
      <c r="L20" s="116" t="s">
        <v>41</v>
      </c>
      <c r="M20" s="116" t="s">
        <v>41</v>
      </c>
      <c r="N20" s="116" t="s">
        <v>40</v>
      </c>
      <c r="O20" s="116" t="s">
        <v>41</v>
      </c>
      <c r="P20" s="116" t="s">
        <v>41</v>
      </c>
      <c r="Q20" s="116" t="s">
        <v>41</v>
      </c>
      <c r="R20" s="116" t="s">
        <v>41</v>
      </c>
      <c r="S20" s="116" t="s">
        <v>41</v>
      </c>
      <c r="T20" s="28" t="s">
        <v>40</v>
      </c>
      <c r="U20" s="28" t="s">
        <v>40</v>
      </c>
      <c r="V20" s="28" t="s">
        <v>40</v>
      </c>
      <c r="W20" s="28" t="s">
        <v>40</v>
      </c>
      <c r="X20" s="30" t="s">
        <v>42</v>
      </c>
      <c r="Y20" s="35" t="s">
        <v>54</v>
      </c>
      <c r="Z20" s="127" t="s">
        <v>74</v>
      </c>
      <c r="AA20" s="115" t="s">
        <v>75</v>
      </c>
      <c r="AB20" s="34" t="s">
        <v>52</v>
      </c>
    </row>
    <row r="21" spans="1:28" ht="30.75">
      <c r="A21" s="28" t="s">
        <v>37</v>
      </c>
      <c r="B21" s="34" t="s">
        <v>76</v>
      </c>
      <c r="C21" s="28">
        <v>728660</v>
      </c>
      <c r="D21" s="29">
        <v>46049.743055555555</v>
      </c>
      <c r="E21" s="29">
        <v>46049.752083333333</v>
      </c>
      <c r="F21" s="115">
        <f>+(disponibilidad[[#This Row],[Fecha y hora fin]]-disponibilidad[[#This Row],[Fecha y hora inicio]])*1440</f>
        <v>13.000000000465661</v>
      </c>
      <c r="G21" s="28" t="s">
        <v>48</v>
      </c>
      <c r="H21" s="116" t="s">
        <v>40</v>
      </c>
      <c r="I21" s="116" t="s">
        <v>41</v>
      </c>
      <c r="J21" s="116" t="s">
        <v>41</v>
      </c>
      <c r="K21" s="116" t="s">
        <v>41</v>
      </c>
      <c r="L21" s="116" t="s">
        <v>41</v>
      </c>
      <c r="M21" s="116" t="s">
        <v>41</v>
      </c>
      <c r="N21" s="116" t="s">
        <v>41</v>
      </c>
      <c r="O21" s="116" t="s">
        <v>41</v>
      </c>
      <c r="P21" s="116" t="s">
        <v>41</v>
      </c>
      <c r="Q21" s="116" t="s">
        <v>41</v>
      </c>
      <c r="R21" s="116" t="s">
        <v>40</v>
      </c>
      <c r="S21" s="116" t="s">
        <v>41</v>
      </c>
      <c r="T21" s="28" t="s">
        <v>40</v>
      </c>
      <c r="U21" s="28" t="s">
        <v>40</v>
      </c>
      <c r="V21" s="28" t="s">
        <v>40</v>
      </c>
      <c r="W21" s="28" t="s">
        <v>40</v>
      </c>
      <c r="X21" s="30" t="s">
        <v>42</v>
      </c>
      <c r="Y21" s="35" t="s">
        <v>49</v>
      </c>
      <c r="Z21" s="127" t="s">
        <v>50</v>
      </c>
      <c r="AA21" s="115" t="s">
        <v>56</v>
      </c>
      <c r="AB21" s="34" t="s">
        <v>52</v>
      </c>
    </row>
    <row r="22" spans="1:28" ht="30.75">
      <c r="A22" s="28" t="s">
        <v>37</v>
      </c>
      <c r="B22" s="34" t="s">
        <v>47</v>
      </c>
      <c r="C22" s="28">
        <v>728682</v>
      </c>
      <c r="D22" s="29">
        <v>46050.515277777777</v>
      </c>
      <c r="E22" s="29">
        <v>46050.524305555555</v>
      </c>
      <c r="F22" s="115">
        <f>+(disponibilidad[[#This Row],[Fecha y hora fin]]-disponibilidad[[#This Row],[Fecha y hora inicio]])*1440</f>
        <v>13.000000000465661</v>
      </c>
      <c r="G22" s="28" t="s">
        <v>39</v>
      </c>
      <c r="H22" s="116" t="s">
        <v>40</v>
      </c>
      <c r="I22" s="116" t="s">
        <v>41</v>
      </c>
      <c r="J22" s="116" t="s">
        <v>41</v>
      </c>
      <c r="K22" s="116" t="s">
        <v>41</v>
      </c>
      <c r="L22" s="116" t="s">
        <v>41</v>
      </c>
      <c r="M22" s="116" t="s">
        <v>41</v>
      </c>
      <c r="N22" s="116" t="s">
        <v>41</v>
      </c>
      <c r="O22" s="116" t="s">
        <v>40</v>
      </c>
      <c r="P22" s="116" t="s">
        <v>41</v>
      </c>
      <c r="Q22" s="116" t="s">
        <v>41</v>
      </c>
      <c r="R22" s="116" t="s">
        <v>41</v>
      </c>
      <c r="S22" s="116" t="s">
        <v>41</v>
      </c>
      <c r="T22" s="28" t="s">
        <v>40</v>
      </c>
      <c r="U22" s="28" t="s">
        <v>40</v>
      </c>
      <c r="V22" s="28" t="s">
        <v>40</v>
      </c>
      <c r="W22" s="28" t="s">
        <v>40</v>
      </c>
      <c r="X22" s="30" t="s">
        <v>42</v>
      </c>
      <c r="Y22" s="35" t="s">
        <v>49</v>
      </c>
      <c r="Z22" s="127" t="s">
        <v>58</v>
      </c>
      <c r="AA22" s="115" t="s">
        <v>56</v>
      </c>
      <c r="AB22" s="34" t="s">
        <v>52</v>
      </c>
    </row>
    <row r="23" spans="1:28" ht="30.75">
      <c r="A23" s="28" t="s">
        <v>37</v>
      </c>
      <c r="B23" s="34" t="s">
        <v>47</v>
      </c>
      <c r="C23" s="28">
        <v>728759</v>
      </c>
      <c r="D23" s="29">
        <v>46052.345138888886</v>
      </c>
      <c r="E23" s="29">
        <v>46052.356944444444</v>
      </c>
      <c r="F23" s="115">
        <f>+(disponibilidad[[#This Row],[Fecha y hora fin]]-disponibilidad[[#This Row],[Fecha y hora inicio]])*1440</f>
        <v>17.000000003026798</v>
      </c>
      <c r="G23" s="28" t="s">
        <v>39</v>
      </c>
      <c r="H23" s="116" t="s">
        <v>40</v>
      </c>
      <c r="I23" s="116" t="s">
        <v>41</v>
      </c>
      <c r="J23" s="116" t="s">
        <v>41</v>
      </c>
      <c r="K23" s="116" t="s">
        <v>41</v>
      </c>
      <c r="L23" s="116" t="s">
        <v>41</v>
      </c>
      <c r="M23" s="116" t="s">
        <v>41</v>
      </c>
      <c r="N23" s="116" t="s">
        <v>41</v>
      </c>
      <c r="O23" s="116" t="s">
        <v>40</v>
      </c>
      <c r="P23" s="116" t="s">
        <v>41</v>
      </c>
      <c r="Q23" s="116" t="s">
        <v>41</v>
      </c>
      <c r="R23" s="116" t="s">
        <v>41</v>
      </c>
      <c r="S23" s="116" t="s">
        <v>41</v>
      </c>
      <c r="T23" s="28" t="s">
        <v>40</v>
      </c>
      <c r="U23" s="28" t="s">
        <v>40</v>
      </c>
      <c r="V23" s="28" t="s">
        <v>40</v>
      </c>
      <c r="W23" s="28" t="s">
        <v>40</v>
      </c>
      <c r="X23" s="30" t="s">
        <v>42</v>
      </c>
      <c r="Y23" s="35" t="s">
        <v>49</v>
      </c>
      <c r="Z23" s="127" t="s">
        <v>58</v>
      </c>
      <c r="AA23" s="115" t="s">
        <v>56</v>
      </c>
      <c r="AB23" s="34" t="s">
        <v>52</v>
      </c>
    </row>
    <row r="24" spans="1:28" ht="30.75">
      <c r="A24" s="28" t="s">
        <v>37</v>
      </c>
      <c r="B24" s="34" t="s">
        <v>77</v>
      </c>
      <c r="C24" s="28" t="s">
        <v>78</v>
      </c>
      <c r="D24" s="29">
        <v>46052.661111111112</v>
      </c>
      <c r="E24" s="29">
        <v>46052.701388888891</v>
      </c>
      <c r="F24" s="115">
        <f>+(disponibilidad[[#This Row],[Fecha y hora fin]]-disponibilidad[[#This Row],[Fecha y hora inicio]])*1440</f>
        <v>58.000000000465661</v>
      </c>
      <c r="G24" s="28" t="s">
        <v>39</v>
      </c>
      <c r="H24" s="116" t="s">
        <v>40</v>
      </c>
      <c r="I24" s="116" t="s">
        <v>40</v>
      </c>
      <c r="J24" s="116" t="s">
        <v>41</v>
      </c>
      <c r="K24" s="116" t="s">
        <v>41</v>
      </c>
      <c r="L24" s="116" t="s">
        <v>40</v>
      </c>
      <c r="M24" s="116" t="s">
        <v>41</v>
      </c>
      <c r="N24" s="116" t="s">
        <v>41</v>
      </c>
      <c r="O24" s="116" t="s">
        <v>41</v>
      </c>
      <c r="P24" s="116" t="s">
        <v>41</v>
      </c>
      <c r="Q24" s="116" t="s">
        <v>40</v>
      </c>
      <c r="R24" s="116" t="s">
        <v>41</v>
      </c>
      <c r="S24" s="116" t="s">
        <v>41</v>
      </c>
      <c r="T24" s="28" t="s">
        <v>41</v>
      </c>
      <c r="U24" s="28" t="s">
        <v>41</v>
      </c>
      <c r="V24" s="28" t="s">
        <v>40</v>
      </c>
      <c r="W24" s="28" t="s">
        <v>41</v>
      </c>
      <c r="X24" s="30" t="s">
        <v>42</v>
      </c>
      <c r="Y24" s="35" t="s">
        <v>79</v>
      </c>
      <c r="Z24" s="127" t="s">
        <v>80</v>
      </c>
      <c r="AA24" s="115" t="s">
        <v>81</v>
      </c>
      <c r="AB24" s="34" t="s">
        <v>52</v>
      </c>
    </row>
    <row r="25" spans="1:28" ht="30.75">
      <c r="A25" s="28" t="s">
        <v>37</v>
      </c>
      <c r="B25" s="34" t="s">
        <v>82</v>
      </c>
      <c r="C25" s="28" t="s">
        <v>83</v>
      </c>
      <c r="D25" s="29">
        <v>46052.877083333333</v>
      </c>
      <c r="E25" s="29">
        <v>46052.919444444444</v>
      </c>
      <c r="F25" s="115">
        <f>+(disponibilidad[[#This Row],[Fecha y hora fin]]-disponibilidad[[#This Row],[Fecha y hora inicio]])*1440</f>
        <v>60.999999999767169</v>
      </c>
      <c r="G25" s="28" t="s">
        <v>48</v>
      </c>
      <c r="H25" s="116" t="s">
        <v>41</v>
      </c>
      <c r="I25" s="116" t="s">
        <v>41</v>
      </c>
      <c r="J25" s="116" t="s">
        <v>40</v>
      </c>
      <c r="K25" s="116" t="s">
        <v>41</v>
      </c>
      <c r="L25" s="116" t="s">
        <v>41</v>
      </c>
      <c r="M25" s="116" t="s">
        <v>41</v>
      </c>
      <c r="N25" s="116" t="s">
        <v>41</v>
      </c>
      <c r="O25" s="116" t="s">
        <v>41</v>
      </c>
      <c r="P25" s="116" t="s">
        <v>41</v>
      </c>
      <c r="Q25" s="116" t="s">
        <v>40</v>
      </c>
      <c r="R25" s="116" t="s">
        <v>41</v>
      </c>
      <c r="S25" s="116" t="s">
        <v>41</v>
      </c>
      <c r="T25" s="28" t="s">
        <v>40</v>
      </c>
      <c r="U25" s="28" t="s">
        <v>41</v>
      </c>
      <c r="V25" s="28" t="s">
        <v>41</v>
      </c>
      <c r="W25" s="28" t="s">
        <v>41</v>
      </c>
      <c r="X25" s="30" t="s">
        <v>42</v>
      </c>
      <c r="Y25" s="35" t="s">
        <v>49</v>
      </c>
      <c r="Z25" s="127" t="s">
        <v>84</v>
      </c>
      <c r="AA25" s="115" t="s">
        <v>85</v>
      </c>
      <c r="AB25" s="34" t="s">
        <v>52</v>
      </c>
    </row>
    <row r="26" spans="1:28" ht="28.5" customHeight="1">
      <c r="A26" s="28" t="s">
        <v>37</v>
      </c>
      <c r="B26" s="34" t="s">
        <v>86</v>
      </c>
      <c r="C26" s="28" t="s">
        <v>87</v>
      </c>
      <c r="D26" s="29">
        <v>46053.488194444442</v>
      </c>
      <c r="E26" s="29">
        <v>46053.534722222219</v>
      </c>
      <c r="F26" s="115">
        <f>F32+(disponibilidad[[#This Row],[Fecha y hora fin]]-disponibilidad[[#This Row],[Fecha y hora inicio]])*1440</f>
        <v>84.999999994179234</v>
      </c>
      <c r="G26" s="28" t="s">
        <v>39</v>
      </c>
      <c r="H26" s="116" t="s">
        <v>40</v>
      </c>
      <c r="I26" s="116" t="s">
        <v>41</v>
      </c>
      <c r="J26" s="116" t="s">
        <v>41</v>
      </c>
      <c r="K26" s="116" t="s">
        <v>40</v>
      </c>
      <c r="L26" s="197" t="s">
        <v>41</v>
      </c>
      <c r="M26" s="116" t="s">
        <v>41</v>
      </c>
      <c r="N26" s="116" t="s">
        <v>41</v>
      </c>
      <c r="O26" s="116" t="s">
        <v>41</v>
      </c>
      <c r="P26" s="116" t="s">
        <v>41</v>
      </c>
      <c r="Q26" s="116" t="s">
        <v>40</v>
      </c>
      <c r="R26" s="116" t="s">
        <v>41</v>
      </c>
      <c r="S26" s="116" t="s">
        <v>41</v>
      </c>
      <c r="T26" s="28" t="s">
        <v>41</v>
      </c>
      <c r="U26" s="28" t="s">
        <v>41</v>
      </c>
      <c r="V26" s="28" t="s">
        <v>41</v>
      </c>
      <c r="W26" s="28" t="s">
        <v>40</v>
      </c>
      <c r="X26" s="30" t="s">
        <v>67</v>
      </c>
      <c r="Y26" s="35" t="s">
        <v>88</v>
      </c>
      <c r="Z26" s="127" t="s">
        <v>89</v>
      </c>
      <c r="AA26" s="170" t="s">
        <v>90</v>
      </c>
      <c r="AB26" s="34" t="s">
        <v>52</v>
      </c>
    </row>
    <row r="27" spans="1:28" ht="28.5" customHeight="1">
      <c r="A27" s="28" t="s">
        <v>91</v>
      </c>
      <c r="B27" s="34" t="s">
        <v>92</v>
      </c>
      <c r="C27" s="28" t="s">
        <v>93</v>
      </c>
      <c r="D27" s="292">
        <v>46055.286111111112</v>
      </c>
      <c r="E27" s="292">
        <v>46055.288888888892</v>
      </c>
      <c r="F27" s="115">
        <f>+(disponibilidad[[#This Row],[Fecha y hora fin]]-disponibilidad[[#This Row],[Fecha y hora inicio]])*1440</f>
        <v>4.0000000025611371</v>
      </c>
      <c r="G27" s="28" t="s">
        <v>39</v>
      </c>
      <c r="H27" s="116" t="s">
        <v>41</v>
      </c>
      <c r="I27" s="116" t="s">
        <v>41</v>
      </c>
      <c r="J27" s="116" t="s">
        <v>41</v>
      </c>
      <c r="K27" s="116" t="s">
        <v>41</v>
      </c>
      <c r="L27" s="116" t="s">
        <v>41</v>
      </c>
      <c r="M27" s="116" t="s">
        <v>41</v>
      </c>
      <c r="N27" s="116" t="s">
        <v>41</v>
      </c>
      <c r="O27" s="116" t="s">
        <v>41</v>
      </c>
      <c r="P27" s="116" t="s">
        <v>41</v>
      </c>
      <c r="Q27" s="116" t="s">
        <v>40</v>
      </c>
      <c r="R27" s="116" t="s">
        <v>41</v>
      </c>
      <c r="S27" s="116" t="s">
        <v>41</v>
      </c>
      <c r="T27" s="28" t="s">
        <v>41</v>
      </c>
      <c r="U27" s="28" t="s">
        <v>41</v>
      </c>
      <c r="V27" s="28" t="s">
        <v>41</v>
      </c>
      <c r="W27" s="28" t="s">
        <v>40</v>
      </c>
      <c r="X27" s="30" t="s">
        <v>67</v>
      </c>
      <c r="Y27" s="35" t="s">
        <v>68</v>
      </c>
      <c r="Z27" s="127" t="s">
        <v>94</v>
      </c>
      <c r="AA27" s="170" t="s">
        <v>95</v>
      </c>
      <c r="AB27" s="34" t="s">
        <v>96</v>
      </c>
    </row>
    <row r="28" spans="1:28" ht="28.5" customHeight="1">
      <c r="A28" s="28" t="s">
        <v>91</v>
      </c>
      <c r="B28" s="34" t="s">
        <v>73</v>
      </c>
      <c r="C28" s="28">
        <v>728830</v>
      </c>
      <c r="D28" s="292">
        <v>46055.301388888889</v>
      </c>
      <c r="E28" s="292">
        <v>46055.319444444445</v>
      </c>
      <c r="F28" s="115">
        <f>+(disponibilidad[[#This Row],[Fecha y hora fin]]-disponibilidad[[#This Row],[Fecha y hora inicio]])*1440</f>
        <v>26.000000000931323</v>
      </c>
      <c r="G28" s="28" t="s">
        <v>39</v>
      </c>
      <c r="H28" s="116" t="s">
        <v>40</v>
      </c>
      <c r="I28" s="116" t="s">
        <v>41</v>
      </c>
      <c r="J28" s="116" t="s">
        <v>41</v>
      </c>
      <c r="K28" s="116" t="s">
        <v>41</v>
      </c>
      <c r="L28" s="116" t="s">
        <v>41</v>
      </c>
      <c r="M28" s="116" t="s">
        <v>41</v>
      </c>
      <c r="N28" s="116" t="s">
        <v>40</v>
      </c>
      <c r="O28" s="116" t="s">
        <v>41</v>
      </c>
      <c r="P28" s="116" t="s">
        <v>41</v>
      </c>
      <c r="Q28" s="116" t="s">
        <v>41</v>
      </c>
      <c r="R28" s="116" t="s">
        <v>41</v>
      </c>
      <c r="S28" s="116" t="s">
        <v>41</v>
      </c>
      <c r="T28" s="28" t="s">
        <v>40</v>
      </c>
      <c r="U28" s="28" t="s">
        <v>40</v>
      </c>
      <c r="V28" s="28" t="s">
        <v>40</v>
      </c>
      <c r="W28" s="28" t="s">
        <v>40</v>
      </c>
      <c r="X28" s="114" t="s">
        <v>42</v>
      </c>
      <c r="Y28" s="35" t="s">
        <v>54</v>
      </c>
      <c r="Z28" s="127" t="s">
        <v>97</v>
      </c>
      <c r="AA28" s="115" t="s">
        <v>98</v>
      </c>
      <c r="AB28" s="34" t="s">
        <v>52</v>
      </c>
    </row>
    <row r="29" spans="1:28" ht="28.5" customHeight="1">
      <c r="A29" s="28" t="s">
        <v>91</v>
      </c>
      <c r="B29" s="34" t="s">
        <v>53</v>
      </c>
      <c r="C29" s="28">
        <v>728832</v>
      </c>
      <c r="D29" s="292">
        <v>46055.336805555555</v>
      </c>
      <c r="E29" s="292">
        <v>46055.368055555555</v>
      </c>
      <c r="F29" s="115">
        <f>+(disponibilidad[[#This Row],[Fecha y hora fin]]-disponibilidad[[#This Row],[Fecha y hora inicio]])*1440</f>
        <v>45</v>
      </c>
      <c r="G29" s="28" t="s">
        <v>39</v>
      </c>
      <c r="H29" s="116" t="s">
        <v>40</v>
      </c>
      <c r="I29" s="116" t="s">
        <v>41</v>
      </c>
      <c r="J29" s="116" t="s">
        <v>41</v>
      </c>
      <c r="K29" s="116" t="s">
        <v>41</v>
      </c>
      <c r="L29" s="116" t="s">
        <v>41</v>
      </c>
      <c r="M29" s="116" t="s">
        <v>41</v>
      </c>
      <c r="N29" s="116" t="s">
        <v>41</v>
      </c>
      <c r="O29" s="116" t="s">
        <v>40</v>
      </c>
      <c r="P29" s="116" t="s">
        <v>41</v>
      </c>
      <c r="Q29" s="116" t="s">
        <v>41</v>
      </c>
      <c r="R29" s="116" t="s">
        <v>41</v>
      </c>
      <c r="S29" s="116" t="s">
        <v>41</v>
      </c>
      <c r="T29" s="28" t="s">
        <v>40</v>
      </c>
      <c r="U29" s="28" t="s">
        <v>40</v>
      </c>
      <c r="V29" s="28" t="s">
        <v>40</v>
      </c>
      <c r="W29" s="28" t="s">
        <v>40</v>
      </c>
      <c r="X29" s="114" t="s">
        <v>42</v>
      </c>
      <c r="Y29" s="35" t="s">
        <v>54</v>
      </c>
      <c r="Z29" s="127" t="s">
        <v>99</v>
      </c>
      <c r="AA29" s="115" t="s">
        <v>100</v>
      </c>
      <c r="AB29" s="34" t="s">
        <v>52</v>
      </c>
    </row>
    <row r="30" spans="1:28" ht="28.5" customHeight="1">
      <c r="A30" s="28" t="s">
        <v>91</v>
      </c>
      <c r="B30" s="34" t="s">
        <v>101</v>
      </c>
      <c r="C30" s="28" t="s">
        <v>102</v>
      </c>
      <c r="D30" s="292">
        <v>46055.463194444441</v>
      </c>
      <c r="E30" s="292">
        <v>46055.476388888892</v>
      </c>
      <c r="F30" s="115">
        <f>+(disponibilidad[[#This Row],[Fecha y hora fin]]-disponibilidad[[#This Row],[Fecha y hora inicio]])*1440</f>
        <v>19.000000009546056</v>
      </c>
      <c r="G30" s="28" t="s">
        <v>39</v>
      </c>
      <c r="H30" s="116" t="s">
        <v>41</v>
      </c>
      <c r="I30" s="116" t="s">
        <v>41</v>
      </c>
      <c r="J30" s="116" t="s">
        <v>41</v>
      </c>
      <c r="K30" s="116" t="s">
        <v>41</v>
      </c>
      <c r="L30" s="116" t="s">
        <v>41</v>
      </c>
      <c r="M30" s="116" t="s">
        <v>41</v>
      </c>
      <c r="N30" s="116" t="s">
        <v>41</v>
      </c>
      <c r="O30" s="116" t="s">
        <v>41</v>
      </c>
      <c r="P30" s="116" t="s">
        <v>41</v>
      </c>
      <c r="Q30" s="116" t="s">
        <v>40</v>
      </c>
      <c r="R30" s="116" t="s">
        <v>41</v>
      </c>
      <c r="S30" s="116" t="s">
        <v>41</v>
      </c>
      <c r="T30" s="28" t="s">
        <v>41</v>
      </c>
      <c r="U30" s="28" t="s">
        <v>41</v>
      </c>
      <c r="V30" s="28" t="s">
        <v>41</v>
      </c>
      <c r="W30" s="28" t="s">
        <v>40</v>
      </c>
      <c r="X30" s="114" t="s">
        <v>67</v>
      </c>
      <c r="Y30" s="35" t="s">
        <v>103</v>
      </c>
      <c r="Z30" s="127" t="s">
        <v>89</v>
      </c>
      <c r="AA30" s="115" t="s">
        <v>90</v>
      </c>
      <c r="AB30" s="34" t="s">
        <v>52</v>
      </c>
    </row>
    <row r="31" spans="1:28" ht="28.5" customHeight="1">
      <c r="A31" s="28" t="s">
        <v>91</v>
      </c>
      <c r="B31" s="34" t="s">
        <v>73</v>
      </c>
      <c r="C31" s="28">
        <v>728874</v>
      </c>
      <c r="D31" s="292">
        <v>46055.59097222222</v>
      </c>
      <c r="E31" s="292">
        <v>46055.632638888892</v>
      </c>
      <c r="F31" s="115">
        <f>+(disponibilidad[[#This Row],[Fecha y hora fin]]-disponibilidad[[#This Row],[Fecha y hora inicio]])*1440</f>
        <v>60.000000006984919</v>
      </c>
      <c r="G31" s="28" t="s">
        <v>39</v>
      </c>
      <c r="H31" s="116" t="s">
        <v>40</v>
      </c>
      <c r="I31" s="116" t="s">
        <v>41</v>
      </c>
      <c r="J31" s="116" t="s">
        <v>41</v>
      </c>
      <c r="K31" s="116" t="s">
        <v>41</v>
      </c>
      <c r="L31" s="116" t="s">
        <v>41</v>
      </c>
      <c r="M31" s="116" t="s">
        <v>41</v>
      </c>
      <c r="N31" s="116" t="s">
        <v>40</v>
      </c>
      <c r="O31" s="116" t="s">
        <v>41</v>
      </c>
      <c r="P31" s="116" t="s">
        <v>41</v>
      </c>
      <c r="Q31" s="116" t="s">
        <v>41</v>
      </c>
      <c r="R31" s="116" t="s">
        <v>41</v>
      </c>
      <c r="S31" s="116" t="s">
        <v>41</v>
      </c>
      <c r="T31" s="28" t="s">
        <v>40</v>
      </c>
      <c r="U31" s="28" t="s">
        <v>40</v>
      </c>
      <c r="V31" s="28" t="s">
        <v>40</v>
      </c>
      <c r="W31" s="28" t="s">
        <v>40</v>
      </c>
      <c r="X31" s="114" t="s">
        <v>42</v>
      </c>
      <c r="Y31" s="35" t="s">
        <v>54</v>
      </c>
      <c r="Z31" s="127" t="s">
        <v>97</v>
      </c>
      <c r="AA31" s="115" t="s">
        <v>98</v>
      </c>
      <c r="AB31" s="34" t="s">
        <v>52</v>
      </c>
    </row>
    <row r="32" spans="1:28" ht="28.5" customHeight="1">
      <c r="A32" s="28" t="s">
        <v>91</v>
      </c>
      <c r="B32" s="34" t="s">
        <v>104</v>
      </c>
      <c r="C32" s="28" t="s">
        <v>105</v>
      </c>
      <c r="D32" s="29">
        <v>46057.256944444445</v>
      </c>
      <c r="E32" s="29">
        <v>46057.269444444442</v>
      </c>
      <c r="F32" s="115">
        <f>+(disponibilidad[[#This Row],[Fecha y hora fin]]-disponibilidad[[#This Row],[Fecha y hora inicio]])*1440</f>
        <v>17.999999995809048</v>
      </c>
      <c r="G32" s="28" t="s">
        <v>39</v>
      </c>
      <c r="H32" s="197" t="s">
        <v>41</v>
      </c>
      <c r="I32" s="197" t="s">
        <v>41</v>
      </c>
      <c r="J32" s="197" t="s">
        <v>41</v>
      </c>
      <c r="K32" s="197" t="s">
        <v>41</v>
      </c>
      <c r="L32" s="197" t="s">
        <v>41</v>
      </c>
      <c r="M32" s="197" t="s">
        <v>41</v>
      </c>
      <c r="N32" s="197" t="s">
        <v>41</v>
      </c>
      <c r="O32" s="197" t="s">
        <v>41</v>
      </c>
      <c r="P32" s="197" t="s">
        <v>41</v>
      </c>
      <c r="Q32" s="197" t="s">
        <v>40</v>
      </c>
      <c r="R32" s="197" t="s">
        <v>41</v>
      </c>
      <c r="S32" s="197" t="s">
        <v>41</v>
      </c>
      <c r="T32" s="197" t="s">
        <v>41</v>
      </c>
      <c r="U32" s="197" t="s">
        <v>41</v>
      </c>
      <c r="V32" s="197" t="s">
        <v>41</v>
      </c>
      <c r="W32" s="197" t="s">
        <v>40</v>
      </c>
      <c r="X32" s="30" t="s">
        <v>67</v>
      </c>
      <c r="Y32" s="35" t="s">
        <v>88</v>
      </c>
      <c r="Z32" s="241" t="s">
        <v>94</v>
      </c>
      <c r="AA32" s="170" t="s">
        <v>95</v>
      </c>
      <c r="AB32" s="34" t="s">
        <v>106</v>
      </c>
    </row>
    <row r="33" spans="1:28" ht="30.75">
      <c r="A33" s="28" t="s">
        <v>91</v>
      </c>
      <c r="B33" s="34" t="s">
        <v>107</v>
      </c>
      <c r="C33" s="28" t="s">
        <v>108</v>
      </c>
      <c r="D33" s="29">
        <v>46057.442361111112</v>
      </c>
      <c r="E33" s="29">
        <v>46057.446527777778</v>
      </c>
      <c r="F33" s="115">
        <f>+(disponibilidad[[#This Row],[Fecha y hora fin]]-disponibilidad[[#This Row],[Fecha y hora inicio]])*1440</f>
        <v>5.9999999986030161</v>
      </c>
      <c r="G33" s="28" t="s">
        <v>39</v>
      </c>
      <c r="H33" s="197" t="s">
        <v>41</v>
      </c>
      <c r="I33" s="197" t="s">
        <v>41</v>
      </c>
      <c r="J33" s="197" t="s">
        <v>41</v>
      </c>
      <c r="K33" s="197" t="s">
        <v>41</v>
      </c>
      <c r="L33" s="197" t="s">
        <v>41</v>
      </c>
      <c r="M33" s="197" t="s">
        <v>41</v>
      </c>
      <c r="N33" s="197" t="s">
        <v>41</v>
      </c>
      <c r="O33" s="197" t="s">
        <v>41</v>
      </c>
      <c r="P33" s="197" t="s">
        <v>41</v>
      </c>
      <c r="Q33" s="197" t="s">
        <v>40</v>
      </c>
      <c r="R33" s="197" t="s">
        <v>41</v>
      </c>
      <c r="S33" s="197" t="s">
        <v>41</v>
      </c>
      <c r="T33" s="28" t="s">
        <v>40</v>
      </c>
      <c r="U33" s="28" t="s">
        <v>41</v>
      </c>
      <c r="V33" s="28" t="s">
        <v>41</v>
      </c>
      <c r="W33" s="28" t="s">
        <v>41</v>
      </c>
      <c r="X33" s="30" t="s">
        <v>42</v>
      </c>
      <c r="Y33" s="35" t="s">
        <v>88</v>
      </c>
      <c r="Z33" s="241" t="s">
        <v>94</v>
      </c>
      <c r="AA33" s="170" t="s">
        <v>95</v>
      </c>
      <c r="AB33" s="34" t="s">
        <v>106</v>
      </c>
    </row>
    <row r="34" spans="1:28" ht="30.75">
      <c r="A34" s="28" t="s">
        <v>91</v>
      </c>
      <c r="B34" s="34" t="s">
        <v>109</v>
      </c>
      <c r="C34" s="28" t="s">
        <v>110</v>
      </c>
      <c r="D34" s="29">
        <v>46065.333333333336</v>
      </c>
      <c r="E34" s="29">
        <v>46065.368055555555</v>
      </c>
      <c r="F34" s="115">
        <f>+(disponibilidad[[#This Row],[Fecha y hora fin]]-disponibilidad[[#This Row],[Fecha y hora inicio]])*1440</f>
        <v>49.999999995343387</v>
      </c>
      <c r="G34" s="28" t="s">
        <v>39</v>
      </c>
      <c r="H34" s="197" t="s">
        <v>41</v>
      </c>
      <c r="I34" s="197" t="s">
        <v>41</v>
      </c>
      <c r="J34" s="197" t="s">
        <v>41</v>
      </c>
      <c r="K34" s="197" t="s">
        <v>41</v>
      </c>
      <c r="L34" s="197" t="s">
        <v>41</v>
      </c>
      <c r="M34" s="197" t="s">
        <v>41</v>
      </c>
      <c r="N34" s="197" t="s">
        <v>41</v>
      </c>
      <c r="O34" s="197" t="s">
        <v>41</v>
      </c>
      <c r="P34" s="197" t="s">
        <v>41</v>
      </c>
      <c r="Q34" s="197" t="s">
        <v>40</v>
      </c>
      <c r="R34" s="197" t="s">
        <v>41</v>
      </c>
      <c r="S34" s="197" t="s">
        <v>41</v>
      </c>
      <c r="T34" s="197" t="s">
        <v>41</v>
      </c>
      <c r="U34" s="197" t="s">
        <v>41</v>
      </c>
      <c r="V34" s="197" t="s">
        <v>41</v>
      </c>
      <c r="W34" s="28" t="s">
        <v>40</v>
      </c>
      <c r="X34" s="30" t="s">
        <v>67</v>
      </c>
      <c r="Y34" s="35" t="s">
        <v>88</v>
      </c>
      <c r="Z34" s="242" t="s">
        <v>111</v>
      </c>
      <c r="AA34" s="34" t="s">
        <v>90</v>
      </c>
      <c r="AB34" s="34" t="s">
        <v>46</v>
      </c>
    </row>
    <row r="35" spans="1:28" ht="30.75">
      <c r="A35" s="28" t="s">
        <v>91</v>
      </c>
      <c r="B35" s="34" t="s">
        <v>109</v>
      </c>
      <c r="C35" s="28" t="s">
        <v>112</v>
      </c>
      <c r="D35" s="29">
        <v>46055.560416666667</v>
      </c>
      <c r="E35" s="29">
        <v>46055.568749999999</v>
      </c>
      <c r="F35" s="115">
        <f>+(disponibilidad[[#This Row],[Fecha y hora fin]]-disponibilidad[[#This Row],[Fecha y hora inicio]])*1440</f>
        <v>11.999999997206032</v>
      </c>
      <c r="G35" s="28" t="s">
        <v>39</v>
      </c>
      <c r="H35" s="28" t="s">
        <v>41</v>
      </c>
      <c r="I35" s="197" t="s">
        <v>41</v>
      </c>
      <c r="J35" s="197" t="s">
        <v>41</v>
      </c>
      <c r="K35" s="197" t="s">
        <v>41</v>
      </c>
      <c r="L35" s="197" t="s">
        <v>41</v>
      </c>
      <c r="M35" s="197" t="s">
        <v>41</v>
      </c>
      <c r="N35" s="197" t="s">
        <v>41</v>
      </c>
      <c r="O35" s="197" t="s">
        <v>41</v>
      </c>
      <c r="P35" s="197" t="s">
        <v>41</v>
      </c>
      <c r="Q35" s="197" t="s">
        <v>40</v>
      </c>
      <c r="R35" s="197" t="s">
        <v>41</v>
      </c>
      <c r="S35" s="197" t="s">
        <v>41</v>
      </c>
      <c r="T35" s="197" t="s">
        <v>41</v>
      </c>
      <c r="U35" s="197" t="s">
        <v>41</v>
      </c>
      <c r="V35" s="197" t="s">
        <v>40</v>
      </c>
      <c r="W35" s="28" t="s">
        <v>41</v>
      </c>
      <c r="X35" s="30" t="s">
        <v>67</v>
      </c>
      <c r="Y35" s="35" t="s">
        <v>68</v>
      </c>
      <c r="Z35" s="242" t="s">
        <v>94</v>
      </c>
      <c r="AA35" s="34" t="s">
        <v>95</v>
      </c>
      <c r="AB35" s="34" t="s">
        <v>96</v>
      </c>
    </row>
    <row r="36" spans="1:28" ht="27" customHeight="1">
      <c r="A36" s="28" t="s">
        <v>91</v>
      </c>
      <c r="B36" s="28" t="s">
        <v>86</v>
      </c>
      <c r="C36" s="28" t="s">
        <v>113</v>
      </c>
      <c r="D36" s="29">
        <v>46056.256944444445</v>
      </c>
      <c r="E36" s="29">
        <v>46056.268750000003</v>
      </c>
      <c r="F36" s="115">
        <f>+(disponibilidad[[#This Row],[Fecha y hora fin]]-disponibilidad[[#This Row],[Fecha y hora inicio]])*1440</f>
        <v>17.000000003026798</v>
      </c>
      <c r="G36" s="28" t="s">
        <v>39</v>
      </c>
      <c r="H36" s="28" t="s">
        <v>41</v>
      </c>
      <c r="I36" s="28" t="s">
        <v>41</v>
      </c>
      <c r="J36" s="28" t="s">
        <v>41</v>
      </c>
      <c r="K36" s="28" t="s">
        <v>41</v>
      </c>
      <c r="L36" s="197" t="s">
        <v>41</v>
      </c>
      <c r="M36" s="28" t="s">
        <v>41</v>
      </c>
      <c r="N36" s="28" t="s">
        <v>41</v>
      </c>
      <c r="O36" s="28" t="s">
        <v>41</v>
      </c>
      <c r="P36" s="28" t="s">
        <v>41</v>
      </c>
      <c r="Q36" s="28" t="s">
        <v>40</v>
      </c>
      <c r="R36" s="28" t="s">
        <v>41</v>
      </c>
      <c r="S36" s="28" t="s">
        <v>41</v>
      </c>
      <c r="T36" s="28" t="s">
        <v>41</v>
      </c>
      <c r="U36" s="28" t="s">
        <v>41</v>
      </c>
      <c r="V36" s="28" t="s">
        <v>41</v>
      </c>
      <c r="W36" s="28" t="s">
        <v>40</v>
      </c>
      <c r="X36" s="30" t="s">
        <v>67</v>
      </c>
      <c r="Y36" s="35" t="s">
        <v>68</v>
      </c>
      <c r="Z36" s="242" t="s">
        <v>94</v>
      </c>
      <c r="AA36" s="34" t="s">
        <v>95</v>
      </c>
      <c r="AB36" s="34" t="s">
        <v>96</v>
      </c>
    </row>
    <row r="37" spans="1:28" ht="28.5" customHeight="1">
      <c r="A37" s="28" t="s">
        <v>91</v>
      </c>
      <c r="B37" s="34" t="s">
        <v>114</v>
      </c>
      <c r="C37" s="28" t="s">
        <v>115</v>
      </c>
      <c r="D37" s="29">
        <v>46056.256249999999</v>
      </c>
      <c r="E37" s="29">
        <v>46056.269444444442</v>
      </c>
      <c r="F37" s="115">
        <f>+(disponibilidad[[#This Row],[Fecha y hora fin]]-disponibilidad[[#This Row],[Fecha y hora inicio]])*1440</f>
        <v>18.999999999068677</v>
      </c>
      <c r="G37" s="28" t="s">
        <v>39</v>
      </c>
      <c r="H37" s="197" t="s">
        <v>41</v>
      </c>
      <c r="I37" s="197" t="s">
        <v>41</v>
      </c>
      <c r="J37" s="197" t="s">
        <v>41</v>
      </c>
      <c r="K37" s="197" t="s">
        <v>41</v>
      </c>
      <c r="L37" s="197" t="s">
        <v>41</v>
      </c>
      <c r="M37" s="197" t="s">
        <v>41</v>
      </c>
      <c r="N37" s="197" t="s">
        <v>41</v>
      </c>
      <c r="O37" s="197" t="s">
        <v>41</v>
      </c>
      <c r="P37" s="197" t="s">
        <v>41</v>
      </c>
      <c r="Q37" s="197" t="s">
        <v>40</v>
      </c>
      <c r="R37" s="197" t="s">
        <v>41</v>
      </c>
      <c r="S37" s="197" t="s">
        <v>41</v>
      </c>
      <c r="T37" s="197" t="s">
        <v>41</v>
      </c>
      <c r="U37" s="197" t="s">
        <v>41</v>
      </c>
      <c r="V37" s="197" t="s">
        <v>40</v>
      </c>
      <c r="W37" s="197" t="s">
        <v>41</v>
      </c>
      <c r="X37" s="30" t="s">
        <v>67</v>
      </c>
      <c r="Y37" s="35" t="s">
        <v>68</v>
      </c>
      <c r="Z37" s="241" t="s">
        <v>94</v>
      </c>
      <c r="AA37" s="170" t="s">
        <v>95</v>
      </c>
      <c r="AB37" s="34" t="s">
        <v>96</v>
      </c>
    </row>
    <row r="38" spans="1:28" ht="28.5" customHeight="1">
      <c r="A38" s="28" t="s">
        <v>91</v>
      </c>
      <c r="B38" s="34" t="s">
        <v>116</v>
      </c>
      <c r="C38" s="28" t="s">
        <v>117</v>
      </c>
      <c r="D38" s="29">
        <v>46056.256249999999</v>
      </c>
      <c r="E38" s="29">
        <v>46056.268055555556</v>
      </c>
      <c r="F38" s="115">
        <f>+(disponibilidad[[#This Row],[Fecha y hora fin]]-disponibilidad[[#This Row],[Fecha y hora inicio]])*1440</f>
        <v>17.000000003026798</v>
      </c>
      <c r="G38" s="28" t="s">
        <v>39</v>
      </c>
      <c r="H38" s="116" t="s">
        <v>41</v>
      </c>
      <c r="I38" s="116" t="s">
        <v>41</v>
      </c>
      <c r="J38" s="116" t="s">
        <v>41</v>
      </c>
      <c r="K38" s="116" t="s">
        <v>41</v>
      </c>
      <c r="L38" s="116" t="s">
        <v>41</v>
      </c>
      <c r="M38" s="116" t="s">
        <v>41</v>
      </c>
      <c r="N38" s="116" t="s">
        <v>41</v>
      </c>
      <c r="O38" s="116" t="s">
        <v>41</v>
      </c>
      <c r="P38" s="116" t="s">
        <v>41</v>
      </c>
      <c r="Q38" s="116" t="s">
        <v>40</v>
      </c>
      <c r="R38" s="116" t="s">
        <v>41</v>
      </c>
      <c r="S38" s="116" t="s">
        <v>41</v>
      </c>
      <c r="T38" s="28" t="s">
        <v>40</v>
      </c>
      <c r="U38" s="28" t="s">
        <v>41</v>
      </c>
      <c r="V38" s="28" t="s">
        <v>41</v>
      </c>
      <c r="W38" s="28" t="s">
        <v>41</v>
      </c>
      <c r="X38" s="30" t="s">
        <v>67</v>
      </c>
      <c r="Y38" s="35" t="s">
        <v>68</v>
      </c>
      <c r="Z38" s="127" t="s">
        <v>94</v>
      </c>
      <c r="AA38" s="170" t="s">
        <v>95</v>
      </c>
      <c r="AB38" s="34" t="s">
        <v>96</v>
      </c>
    </row>
    <row r="39" spans="1:28" ht="28.5" customHeight="1">
      <c r="A39" s="28" t="s">
        <v>91</v>
      </c>
      <c r="B39" s="34" t="s">
        <v>109</v>
      </c>
      <c r="C39" s="28" t="s">
        <v>118</v>
      </c>
      <c r="D39" s="29">
        <v>46055.474999999999</v>
      </c>
      <c r="E39" s="29">
        <v>46055.568749999999</v>
      </c>
      <c r="F39" s="115">
        <f>+(disponibilidad[[#This Row],[Fecha y hora fin]]-disponibilidad[[#This Row],[Fecha y hora inicio]])*1440</f>
        <v>135</v>
      </c>
      <c r="G39" s="28" t="s">
        <v>48</v>
      </c>
      <c r="H39" s="197" t="s">
        <v>41</v>
      </c>
      <c r="I39" s="197" t="s">
        <v>41</v>
      </c>
      <c r="J39" s="197" t="s">
        <v>41</v>
      </c>
      <c r="K39" s="197" t="s">
        <v>41</v>
      </c>
      <c r="L39" s="197" t="s">
        <v>41</v>
      </c>
      <c r="M39" s="197" t="s">
        <v>41</v>
      </c>
      <c r="N39" s="197" t="s">
        <v>41</v>
      </c>
      <c r="O39" s="197" t="s">
        <v>41</v>
      </c>
      <c r="P39" s="197" t="s">
        <v>41</v>
      </c>
      <c r="Q39" s="197" t="s">
        <v>40</v>
      </c>
      <c r="R39" s="197" t="s">
        <v>41</v>
      </c>
      <c r="S39" s="197" t="s">
        <v>41</v>
      </c>
      <c r="T39" s="197" t="s">
        <v>41</v>
      </c>
      <c r="U39" s="197" t="s">
        <v>41</v>
      </c>
      <c r="V39" s="197" t="s">
        <v>40</v>
      </c>
      <c r="W39" s="197" t="s">
        <v>41</v>
      </c>
      <c r="X39" s="30" t="s">
        <v>67</v>
      </c>
      <c r="Y39" s="35" t="s">
        <v>68</v>
      </c>
      <c r="Z39" s="35" t="s">
        <v>94</v>
      </c>
      <c r="AA39" s="170" t="s">
        <v>95</v>
      </c>
      <c r="AB39" s="34" t="s">
        <v>96</v>
      </c>
    </row>
    <row r="40" spans="1:28" ht="28.5" customHeight="1">
      <c r="A40" s="28" t="s">
        <v>91</v>
      </c>
      <c r="B40" s="34" t="s">
        <v>119</v>
      </c>
      <c r="C40" s="28" t="s">
        <v>105</v>
      </c>
      <c r="D40" s="29">
        <v>46057.257638888892</v>
      </c>
      <c r="E40" s="29">
        <v>46057.269444444442</v>
      </c>
      <c r="F40" s="115">
        <f>+(disponibilidad[[#This Row],[Fecha y hora fin]]-disponibilidad[[#This Row],[Fecha y hora inicio]])*1440</f>
        <v>16.999999992549419</v>
      </c>
      <c r="G40" s="28" t="s">
        <v>39</v>
      </c>
      <c r="H40" s="116" t="s">
        <v>41</v>
      </c>
      <c r="I40" s="116" t="s">
        <v>41</v>
      </c>
      <c r="J40" s="116" t="s">
        <v>41</v>
      </c>
      <c r="K40" s="116" t="s">
        <v>41</v>
      </c>
      <c r="L40" s="197" t="s">
        <v>41</v>
      </c>
      <c r="M40" s="116" t="s">
        <v>41</v>
      </c>
      <c r="N40" s="116" t="s">
        <v>41</v>
      </c>
      <c r="O40" s="116" t="s">
        <v>41</v>
      </c>
      <c r="P40" s="116" t="s">
        <v>41</v>
      </c>
      <c r="Q40" s="116" t="s">
        <v>40</v>
      </c>
      <c r="R40" s="116" t="s">
        <v>41</v>
      </c>
      <c r="S40" s="116" t="s">
        <v>41</v>
      </c>
      <c r="T40" s="28" t="s">
        <v>41</v>
      </c>
      <c r="U40" s="28" t="s">
        <v>41</v>
      </c>
      <c r="V40" s="28" t="s">
        <v>41</v>
      </c>
      <c r="W40" s="28" t="s">
        <v>40</v>
      </c>
      <c r="X40" s="30" t="s">
        <v>67</v>
      </c>
      <c r="Y40" s="35" t="s">
        <v>68</v>
      </c>
      <c r="Z40" s="127" t="s">
        <v>94</v>
      </c>
      <c r="AA40" s="115" t="s">
        <v>95</v>
      </c>
      <c r="AB40" s="34" t="s">
        <v>96</v>
      </c>
    </row>
    <row r="41" spans="1:28" ht="28.5" customHeight="1">
      <c r="A41" s="28" t="s">
        <v>91</v>
      </c>
      <c r="B41" s="34" t="s">
        <v>107</v>
      </c>
      <c r="C41" s="34" t="s">
        <v>120</v>
      </c>
      <c r="D41" s="29">
        <v>46057.442361111112</v>
      </c>
      <c r="E41" s="29">
        <v>46057.449305555558</v>
      </c>
      <c r="F41" s="115">
        <f>+(disponibilidad[[#This Row],[Fecha y hora fin]]-disponibilidad[[#This Row],[Fecha y hora inicio]])*1440</f>
        <v>10.000000001164153</v>
      </c>
      <c r="G41" s="28" t="s">
        <v>39</v>
      </c>
      <c r="H41" s="116" t="s">
        <v>41</v>
      </c>
      <c r="I41" s="116" t="s">
        <v>41</v>
      </c>
      <c r="J41" s="116" t="s">
        <v>41</v>
      </c>
      <c r="K41" s="116" t="s">
        <v>41</v>
      </c>
      <c r="L41" s="197" t="s">
        <v>41</v>
      </c>
      <c r="M41" s="116" t="s">
        <v>41</v>
      </c>
      <c r="N41" s="116" t="s">
        <v>41</v>
      </c>
      <c r="O41" s="116" t="s">
        <v>41</v>
      </c>
      <c r="P41" s="116" t="s">
        <v>41</v>
      </c>
      <c r="Q41" s="116" t="s">
        <v>40</v>
      </c>
      <c r="R41" s="116" t="s">
        <v>41</v>
      </c>
      <c r="S41" s="116" t="s">
        <v>41</v>
      </c>
      <c r="T41" s="28" t="s">
        <v>40</v>
      </c>
      <c r="U41" s="28" t="s">
        <v>41</v>
      </c>
      <c r="V41" s="28" t="s">
        <v>41</v>
      </c>
      <c r="W41" s="28" t="s">
        <v>41</v>
      </c>
      <c r="X41" s="30" t="s">
        <v>42</v>
      </c>
      <c r="Y41" s="35" t="s">
        <v>88</v>
      </c>
      <c r="Z41" s="127" t="s">
        <v>94</v>
      </c>
      <c r="AA41" s="115" t="s">
        <v>95</v>
      </c>
      <c r="AB41" s="34" t="s">
        <v>96</v>
      </c>
    </row>
    <row r="42" spans="1:28" ht="28.5" customHeight="1">
      <c r="A42" s="28" t="s">
        <v>91</v>
      </c>
      <c r="B42" s="34" t="s">
        <v>121</v>
      </c>
      <c r="C42" s="28" t="s">
        <v>122</v>
      </c>
      <c r="D42" s="29">
        <v>46058.256249999999</v>
      </c>
      <c r="E42" s="29">
        <v>46058.272222222222</v>
      </c>
      <c r="F42" s="115">
        <f>+(disponibilidad[[#This Row],[Fecha y hora fin]]-disponibilidad[[#This Row],[Fecha y hora inicio]])*1440</f>
        <v>23.000000001629815</v>
      </c>
      <c r="G42" s="28" t="s">
        <v>39</v>
      </c>
      <c r="H42" s="116" t="s">
        <v>41</v>
      </c>
      <c r="I42" s="116" t="s">
        <v>41</v>
      </c>
      <c r="J42" s="116" t="s">
        <v>41</v>
      </c>
      <c r="K42" s="116" t="s">
        <v>41</v>
      </c>
      <c r="L42" s="197" t="s">
        <v>41</v>
      </c>
      <c r="M42" s="116" t="s">
        <v>41</v>
      </c>
      <c r="N42" s="116" t="s">
        <v>41</v>
      </c>
      <c r="O42" s="116" t="s">
        <v>41</v>
      </c>
      <c r="P42" s="116" t="s">
        <v>41</v>
      </c>
      <c r="Q42" s="116" t="s">
        <v>40</v>
      </c>
      <c r="R42" s="116" t="s">
        <v>41</v>
      </c>
      <c r="S42" s="116" t="s">
        <v>41</v>
      </c>
      <c r="T42" s="28" t="s">
        <v>40</v>
      </c>
      <c r="U42" s="28" t="s">
        <v>41</v>
      </c>
      <c r="V42" s="28" t="s">
        <v>41</v>
      </c>
      <c r="W42" s="28" t="s">
        <v>41</v>
      </c>
      <c r="X42" s="30" t="s">
        <v>67</v>
      </c>
      <c r="Y42" s="35" t="s">
        <v>68</v>
      </c>
      <c r="Z42" s="127" t="s">
        <v>94</v>
      </c>
      <c r="AA42" s="115" t="s">
        <v>95</v>
      </c>
      <c r="AB42" s="34" t="s">
        <v>96</v>
      </c>
    </row>
    <row r="43" spans="1:28" ht="30.75">
      <c r="A43" s="28" t="s">
        <v>91</v>
      </c>
      <c r="B43" s="34" t="s">
        <v>123</v>
      </c>
      <c r="C43" s="28" t="s">
        <v>124</v>
      </c>
      <c r="D43" s="29">
        <v>46058.256249999999</v>
      </c>
      <c r="E43" s="29">
        <v>46058.272222222222</v>
      </c>
      <c r="F43" s="115">
        <f>+(disponibilidad[[#This Row],[Fecha y hora fin]]-disponibilidad[[#This Row],[Fecha y hora inicio]])*1440</f>
        <v>23.000000001629815</v>
      </c>
      <c r="G43" s="28" t="s">
        <v>39</v>
      </c>
      <c r="H43" s="197" t="s">
        <v>41</v>
      </c>
      <c r="I43" s="197" t="s">
        <v>41</v>
      </c>
      <c r="J43" s="197" t="s">
        <v>41</v>
      </c>
      <c r="K43" s="197" t="s">
        <v>41</v>
      </c>
      <c r="L43" s="197" t="s">
        <v>41</v>
      </c>
      <c r="M43" s="197" t="s">
        <v>41</v>
      </c>
      <c r="N43" s="197" t="s">
        <v>41</v>
      </c>
      <c r="O43" s="197" t="s">
        <v>41</v>
      </c>
      <c r="P43" s="197" t="s">
        <v>41</v>
      </c>
      <c r="Q43" s="197" t="s">
        <v>40</v>
      </c>
      <c r="R43" s="197" t="s">
        <v>41</v>
      </c>
      <c r="S43" s="197" t="s">
        <v>41</v>
      </c>
      <c r="T43" s="197" t="s">
        <v>41</v>
      </c>
      <c r="U43" s="197" t="s">
        <v>41</v>
      </c>
      <c r="V43" s="197" t="s">
        <v>41</v>
      </c>
      <c r="W43" s="197" t="s">
        <v>40</v>
      </c>
      <c r="X43" s="30" t="s">
        <v>67</v>
      </c>
      <c r="Y43" s="35" t="s">
        <v>68</v>
      </c>
      <c r="Z43" s="35" t="s">
        <v>94</v>
      </c>
      <c r="AA43" s="170" t="s">
        <v>95</v>
      </c>
      <c r="AB43" s="34" t="s">
        <v>96</v>
      </c>
    </row>
    <row r="44" spans="1:28" ht="28.5" customHeight="1">
      <c r="A44" s="28" t="s">
        <v>91</v>
      </c>
      <c r="B44" s="34" t="s">
        <v>125</v>
      </c>
      <c r="C44" s="116" t="s">
        <v>126</v>
      </c>
      <c r="D44" s="113">
        <v>46058.36041666667</v>
      </c>
      <c r="E44" s="113">
        <v>46058.382638888892</v>
      </c>
      <c r="F44" s="115">
        <f>+(disponibilidad[[#This Row],[Fecha y hora fin]]-disponibilidad[[#This Row],[Fecha y hora inicio]])*1440</f>
        <v>31.999999999534339</v>
      </c>
      <c r="G44" s="28" t="s">
        <v>39</v>
      </c>
      <c r="H44" s="116" t="s">
        <v>41</v>
      </c>
      <c r="I44" s="116" t="s">
        <v>41</v>
      </c>
      <c r="J44" s="116" t="s">
        <v>41</v>
      </c>
      <c r="K44" s="116" t="s">
        <v>41</v>
      </c>
      <c r="L44" s="197" t="s">
        <v>41</v>
      </c>
      <c r="M44" s="116" t="s">
        <v>41</v>
      </c>
      <c r="N44" s="116" t="s">
        <v>41</v>
      </c>
      <c r="O44" s="116" t="s">
        <v>41</v>
      </c>
      <c r="P44" s="116" t="s">
        <v>41</v>
      </c>
      <c r="Q44" s="116" t="s">
        <v>40</v>
      </c>
      <c r="R44" s="197" t="s">
        <v>41</v>
      </c>
      <c r="S44" s="197" t="s">
        <v>41</v>
      </c>
      <c r="T44" s="28" t="s">
        <v>41</v>
      </c>
      <c r="U44" s="28" t="s">
        <v>41</v>
      </c>
      <c r="V44" s="28" t="s">
        <v>41</v>
      </c>
      <c r="W44" s="28" t="s">
        <v>40</v>
      </c>
      <c r="X44" s="114" t="s">
        <v>67</v>
      </c>
      <c r="Y44" s="35" t="s">
        <v>68</v>
      </c>
      <c r="Z44" s="127" t="s">
        <v>94</v>
      </c>
      <c r="AA44" s="115" t="s">
        <v>95</v>
      </c>
      <c r="AB44" s="34" t="s">
        <v>96</v>
      </c>
    </row>
    <row r="45" spans="1:28" ht="30.75">
      <c r="A45" s="28" t="s">
        <v>91</v>
      </c>
      <c r="B45" s="1" t="s">
        <v>127</v>
      </c>
      <c r="C45" s="116" t="s">
        <v>128</v>
      </c>
      <c r="D45" s="113">
        <v>46058.395833333336</v>
      </c>
      <c r="E45" s="113">
        <v>46058.45</v>
      </c>
      <c r="F45" s="115">
        <f>+(disponibilidad[[#This Row],[Fecha y hora fin]]-disponibilidad[[#This Row],[Fecha y hora inicio]])*1440</f>
        <v>77.999999992316589</v>
      </c>
      <c r="G45" s="28" t="s">
        <v>39</v>
      </c>
      <c r="H45" s="116" t="s">
        <v>41</v>
      </c>
      <c r="I45" s="116" t="s">
        <v>41</v>
      </c>
      <c r="J45" s="116" t="s">
        <v>41</v>
      </c>
      <c r="K45" s="116" t="s">
        <v>41</v>
      </c>
      <c r="L45" s="197" t="s">
        <v>41</v>
      </c>
      <c r="M45" s="116" t="s">
        <v>41</v>
      </c>
      <c r="N45" s="116" t="s">
        <v>41</v>
      </c>
      <c r="O45" s="116" t="s">
        <v>41</v>
      </c>
      <c r="P45" s="116" t="s">
        <v>41</v>
      </c>
      <c r="Q45" s="116" t="s">
        <v>40</v>
      </c>
      <c r="R45" s="197" t="s">
        <v>41</v>
      </c>
      <c r="S45" s="197" t="s">
        <v>41</v>
      </c>
      <c r="T45" s="28" t="s">
        <v>40</v>
      </c>
      <c r="U45" s="28" t="s">
        <v>41</v>
      </c>
      <c r="V45" s="28" t="s">
        <v>41</v>
      </c>
      <c r="W45" s="28" t="s">
        <v>41</v>
      </c>
      <c r="X45" s="114" t="s">
        <v>67</v>
      </c>
      <c r="Y45" s="35" t="s">
        <v>68</v>
      </c>
      <c r="Z45" s="127" t="s">
        <v>94</v>
      </c>
      <c r="AA45" s="34" t="s">
        <v>95</v>
      </c>
      <c r="AB45" s="34" t="s">
        <v>96</v>
      </c>
    </row>
    <row r="46" spans="1:28" ht="30.75">
      <c r="A46" s="28" t="s">
        <v>91</v>
      </c>
      <c r="B46" s="28" t="s">
        <v>129</v>
      </c>
      <c r="C46" s="116">
        <v>729043</v>
      </c>
      <c r="D46" s="113">
        <v>46058.783333333333</v>
      </c>
      <c r="E46" s="113">
        <v>46058.806944444441</v>
      </c>
      <c r="F46" s="115">
        <f>+(disponibilidad[[#This Row],[Fecha y hora fin]]-disponibilidad[[#This Row],[Fecha y hora inicio]])*1440</f>
        <v>33.999999995576218</v>
      </c>
      <c r="G46" s="28" t="s">
        <v>48</v>
      </c>
      <c r="H46" s="116" t="s">
        <v>40</v>
      </c>
      <c r="I46" s="116" t="s">
        <v>41</v>
      </c>
      <c r="J46" s="116" t="s">
        <v>41</v>
      </c>
      <c r="K46" s="116" t="s">
        <v>41</v>
      </c>
      <c r="L46" s="197" t="s">
        <v>41</v>
      </c>
      <c r="M46" s="116" t="s">
        <v>41</v>
      </c>
      <c r="N46" s="116" t="s">
        <v>41</v>
      </c>
      <c r="O46" s="116" t="s">
        <v>41</v>
      </c>
      <c r="P46" s="116" t="s">
        <v>41</v>
      </c>
      <c r="Q46" s="116" t="s">
        <v>41</v>
      </c>
      <c r="R46" s="116" t="s">
        <v>40</v>
      </c>
      <c r="S46" s="116" t="s">
        <v>41</v>
      </c>
      <c r="T46" s="28" t="s">
        <v>40</v>
      </c>
      <c r="U46" s="28" t="s">
        <v>40</v>
      </c>
      <c r="V46" s="28" t="s">
        <v>40</v>
      </c>
      <c r="W46" s="28" t="s">
        <v>40</v>
      </c>
      <c r="X46" s="114" t="s">
        <v>42</v>
      </c>
      <c r="Y46" s="35" t="s">
        <v>49</v>
      </c>
      <c r="Z46" s="127" t="s">
        <v>58</v>
      </c>
      <c r="AA46" s="115" t="s">
        <v>130</v>
      </c>
      <c r="AB46" s="34" t="s">
        <v>52</v>
      </c>
    </row>
    <row r="47" spans="1:28" ht="30.75">
      <c r="A47" s="28" t="s">
        <v>131</v>
      </c>
      <c r="B47" s="28" t="s">
        <v>132</v>
      </c>
      <c r="C47" s="116" t="s">
        <v>133</v>
      </c>
      <c r="D47" s="113">
        <v>46058.8125</v>
      </c>
      <c r="E47" s="113">
        <v>46058.875</v>
      </c>
      <c r="F47" s="115">
        <f>+(disponibilidad[[#This Row],[Fecha y hora fin]]-disponibilidad[[#This Row],[Fecha y hora inicio]])*1440</f>
        <v>90</v>
      </c>
      <c r="G47" s="28" t="s">
        <v>39</v>
      </c>
      <c r="H47" s="116" t="s">
        <v>41</v>
      </c>
      <c r="I47" s="116" t="s">
        <v>41</v>
      </c>
      <c r="J47" s="116" t="s">
        <v>40</v>
      </c>
      <c r="K47" s="116" t="s">
        <v>41</v>
      </c>
      <c r="L47" s="116" t="s">
        <v>41</v>
      </c>
      <c r="M47" s="116" t="s">
        <v>41</v>
      </c>
      <c r="N47" s="116" t="s">
        <v>41</v>
      </c>
      <c r="O47" s="116" t="s">
        <v>41</v>
      </c>
      <c r="P47" s="116" t="s">
        <v>41</v>
      </c>
      <c r="Q47" s="116" t="s">
        <v>40</v>
      </c>
      <c r="R47" s="116" t="s">
        <v>41</v>
      </c>
      <c r="S47" s="116" t="s">
        <v>41</v>
      </c>
      <c r="T47" s="28" t="s">
        <v>40</v>
      </c>
      <c r="U47" s="28" t="s">
        <v>41</v>
      </c>
      <c r="V47" s="28" t="s">
        <v>41</v>
      </c>
      <c r="W47" s="28" t="s">
        <v>41</v>
      </c>
      <c r="X47" s="114" t="s">
        <v>42</v>
      </c>
      <c r="Y47" s="35" t="s">
        <v>68</v>
      </c>
      <c r="Z47" s="127" t="s">
        <v>134</v>
      </c>
      <c r="AA47" s="115" t="s">
        <v>135</v>
      </c>
      <c r="AB47" s="34" t="s">
        <v>52</v>
      </c>
    </row>
    <row r="48" spans="1:28" ht="30.75">
      <c r="A48" s="28" t="s">
        <v>91</v>
      </c>
      <c r="B48" s="28" t="s">
        <v>47</v>
      </c>
      <c r="C48" s="116">
        <v>729129</v>
      </c>
      <c r="D48" s="113">
        <v>46062.355555555558</v>
      </c>
      <c r="E48" s="113">
        <v>46062.365972222222</v>
      </c>
      <c r="F48" s="115">
        <f>+(disponibilidad[[#This Row],[Fecha y hora fin]]-disponibilidad[[#This Row],[Fecha y hora inicio]])*1440</f>
        <v>14.99999999650754</v>
      </c>
      <c r="G48" s="28" t="s">
        <v>48</v>
      </c>
      <c r="H48" s="116" t="s">
        <v>40</v>
      </c>
      <c r="I48" s="116" t="s">
        <v>41</v>
      </c>
      <c r="J48" s="116" t="s">
        <v>41</v>
      </c>
      <c r="K48" s="116" t="s">
        <v>41</v>
      </c>
      <c r="L48" s="197" t="s">
        <v>41</v>
      </c>
      <c r="M48" s="116" t="s">
        <v>41</v>
      </c>
      <c r="N48" s="116" t="s">
        <v>41</v>
      </c>
      <c r="O48" s="116" t="s">
        <v>40</v>
      </c>
      <c r="P48" s="116" t="s">
        <v>41</v>
      </c>
      <c r="Q48" s="116" t="s">
        <v>41</v>
      </c>
      <c r="R48" s="116" t="s">
        <v>41</v>
      </c>
      <c r="S48" s="116" t="s">
        <v>41</v>
      </c>
      <c r="T48" s="28" t="s">
        <v>40</v>
      </c>
      <c r="U48" s="28" t="s">
        <v>40</v>
      </c>
      <c r="V48" s="28" t="s">
        <v>40</v>
      </c>
      <c r="W48" s="28" t="s">
        <v>40</v>
      </c>
      <c r="X48" s="114" t="s">
        <v>42</v>
      </c>
      <c r="Y48" s="35" t="s">
        <v>49</v>
      </c>
      <c r="Z48" s="127" t="s">
        <v>50</v>
      </c>
      <c r="AA48" s="115" t="s">
        <v>130</v>
      </c>
      <c r="AB48" s="34" t="s">
        <v>52</v>
      </c>
    </row>
    <row r="49" spans="1:28" ht="21.75" customHeight="1">
      <c r="A49" s="28" t="s">
        <v>91</v>
      </c>
      <c r="B49" s="28" t="s">
        <v>53</v>
      </c>
      <c r="C49" s="116">
        <v>729154</v>
      </c>
      <c r="D49" s="113">
        <v>46062.726388888892</v>
      </c>
      <c r="E49" s="113">
        <v>46062.75</v>
      </c>
      <c r="F49" s="115">
        <f>+(disponibilidad[[#This Row],[Fecha y hora fin]]-disponibilidad[[#This Row],[Fecha y hora inicio]])*1440</f>
        <v>33.999999995576218</v>
      </c>
      <c r="G49" s="28" t="s">
        <v>39</v>
      </c>
      <c r="H49" s="116" t="s">
        <v>40</v>
      </c>
      <c r="I49" s="116" t="s">
        <v>41</v>
      </c>
      <c r="J49" s="116" t="s">
        <v>41</v>
      </c>
      <c r="K49" s="116" t="s">
        <v>41</v>
      </c>
      <c r="L49" s="197" t="s">
        <v>41</v>
      </c>
      <c r="M49" s="116" t="s">
        <v>41</v>
      </c>
      <c r="N49" s="116" t="s">
        <v>41</v>
      </c>
      <c r="O49" s="116" t="s">
        <v>40</v>
      </c>
      <c r="P49" s="116" t="s">
        <v>41</v>
      </c>
      <c r="Q49" s="116" t="s">
        <v>41</v>
      </c>
      <c r="R49" s="116" t="s">
        <v>41</v>
      </c>
      <c r="S49" s="116" t="s">
        <v>41</v>
      </c>
      <c r="T49" s="28" t="s">
        <v>40</v>
      </c>
      <c r="U49" s="28" t="s">
        <v>40</v>
      </c>
      <c r="V49" s="28" t="s">
        <v>40</v>
      </c>
      <c r="W49" s="28" t="s">
        <v>40</v>
      </c>
      <c r="X49" s="114" t="s">
        <v>42</v>
      </c>
      <c r="Y49" s="35" t="s">
        <v>136</v>
      </c>
      <c r="Z49" s="127" t="s">
        <v>137</v>
      </c>
      <c r="AA49" s="34" t="s">
        <v>138</v>
      </c>
      <c r="AB49" s="34" t="s">
        <v>52</v>
      </c>
    </row>
    <row r="50" spans="1:28" ht="28.5" customHeight="1">
      <c r="A50" s="28" t="s">
        <v>91</v>
      </c>
      <c r="B50" s="34" t="s">
        <v>139</v>
      </c>
      <c r="C50" s="116">
        <v>729209</v>
      </c>
      <c r="D50" s="113">
        <v>46064.355555555558</v>
      </c>
      <c r="E50" s="113">
        <v>46064.368055555555</v>
      </c>
      <c r="F50" s="115">
        <f>+(disponibilidad[[#This Row],[Fecha y hora fin]]-disponibilidad[[#This Row],[Fecha y hora inicio]])*1440</f>
        <v>17.999999995809048</v>
      </c>
      <c r="G50" s="28" t="s">
        <v>48</v>
      </c>
      <c r="H50" s="116" t="s">
        <v>40</v>
      </c>
      <c r="I50" s="116" t="s">
        <v>41</v>
      </c>
      <c r="J50" s="116" t="s">
        <v>41</v>
      </c>
      <c r="K50" s="116" t="s">
        <v>41</v>
      </c>
      <c r="L50" s="197" t="s">
        <v>41</v>
      </c>
      <c r="M50" s="116" t="s">
        <v>40</v>
      </c>
      <c r="N50" s="116" t="s">
        <v>41</v>
      </c>
      <c r="O50" s="116" t="s">
        <v>41</v>
      </c>
      <c r="P50" s="116" t="s">
        <v>41</v>
      </c>
      <c r="Q50" s="116" t="s">
        <v>41</v>
      </c>
      <c r="R50" s="197" t="s">
        <v>41</v>
      </c>
      <c r="S50" s="197" t="s">
        <v>41</v>
      </c>
      <c r="T50" s="28" t="s">
        <v>40</v>
      </c>
      <c r="U50" s="28" t="s">
        <v>40</v>
      </c>
      <c r="V50" s="28" t="s">
        <v>40</v>
      </c>
      <c r="W50" s="28" t="s">
        <v>40</v>
      </c>
      <c r="X50" s="114" t="s">
        <v>42</v>
      </c>
      <c r="Y50" s="35" t="s">
        <v>49</v>
      </c>
      <c r="Z50" s="127" t="s">
        <v>50</v>
      </c>
      <c r="AA50" s="115" t="s">
        <v>140</v>
      </c>
      <c r="AB50" s="34" t="s">
        <v>52</v>
      </c>
    </row>
    <row r="51" spans="1:28" ht="28.5" customHeight="1">
      <c r="A51" s="28" t="s">
        <v>91</v>
      </c>
      <c r="B51" s="34" t="s">
        <v>141</v>
      </c>
      <c r="C51" s="116">
        <v>729225</v>
      </c>
      <c r="D51" s="113">
        <v>46064.46875</v>
      </c>
      <c r="E51" s="113">
        <v>46064.486111111109</v>
      </c>
      <c r="F51" s="115">
        <f>+(disponibilidad[[#This Row],[Fecha y hora fin]]-disponibilidad[[#This Row],[Fecha y hora inicio]])*1440</f>
        <v>24.999999997671694</v>
      </c>
      <c r="G51" s="28" t="s">
        <v>39</v>
      </c>
      <c r="H51" s="116" t="s">
        <v>40</v>
      </c>
      <c r="I51" s="116" t="s">
        <v>40</v>
      </c>
      <c r="J51" s="116" t="s">
        <v>41</v>
      </c>
      <c r="K51" s="116" t="s">
        <v>41</v>
      </c>
      <c r="L51" s="197" t="s">
        <v>41</v>
      </c>
      <c r="M51" s="116" t="s">
        <v>41</v>
      </c>
      <c r="N51" s="116" t="s">
        <v>41</v>
      </c>
      <c r="O51" s="116" t="s">
        <v>41</v>
      </c>
      <c r="P51" s="116" t="s">
        <v>41</v>
      </c>
      <c r="Q51" s="116" t="s">
        <v>41</v>
      </c>
      <c r="R51" s="116" t="s">
        <v>40</v>
      </c>
      <c r="S51" s="116" t="s">
        <v>41</v>
      </c>
      <c r="T51" s="28" t="s">
        <v>40</v>
      </c>
      <c r="U51" s="28" t="s">
        <v>40</v>
      </c>
      <c r="V51" s="28" t="s">
        <v>40</v>
      </c>
      <c r="W51" s="28" t="s">
        <v>40</v>
      </c>
      <c r="X51" s="114" t="s">
        <v>42</v>
      </c>
      <c r="Y51" s="35" t="s">
        <v>136</v>
      </c>
      <c r="Z51" s="127" t="s">
        <v>142</v>
      </c>
      <c r="AA51" s="115" t="s">
        <v>143</v>
      </c>
      <c r="AB51" s="34" t="s">
        <v>52</v>
      </c>
    </row>
    <row r="52" spans="1:28" ht="30.75">
      <c r="A52" s="28" t="s">
        <v>91</v>
      </c>
      <c r="B52" s="34" t="s">
        <v>72</v>
      </c>
      <c r="C52" s="116">
        <v>729236</v>
      </c>
      <c r="D52" s="113">
        <v>46064.629861111112</v>
      </c>
      <c r="E52" s="113">
        <v>46064.657638888886</v>
      </c>
      <c r="F52" s="115">
        <f>+(disponibilidad[[#This Row],[Fecha y hora fin]]-disponibilidad[[#This Row],[Fecha y hora inicio]])*1440</f>
        <v>39.999999994179234</v>
      </c>
      <c r="G52" s="28" t="s">
        <v>39</v>
      </c>
      <c r="H52" s="116" t="s">
        <v>40</v>
      </c>
      <c r="I52" s="116" t="s">
        <v>41</v>
      </c>
      <c r="J52" s="116" t="s">
        <v>41</v>
      </c>
      <c r="K52" s="116" t="s">
        <v>41</v>
      </c>
      <c r="L52" s="197" t="s">
        <v>41</v>
      </c>
      <c r="M52" s="197" t="s">
        <v>41</v>
      </c>
      <c r="N52" s="197" t="s">
        <v>41</v>
      </c>
      <c r="O52" s="116" t="s">
        <v>41</v>
      </c>
      <c r="P52" s="116" t="s">
        <v>41</v>
      </c>
      <c r="Q52" s="116" t="s">
        <v>41</v>
      </c>
      <c r="R52" s="197" t="s">
        <v>41</v>
      </c>
      <c r="S52" s="197" t="s">
        <v>40</v>
      </c>
      <c r="T52" s="28" t="s">
        <v>40</v>
      </c>
      <c r="U52" s="28" t="s">
        <v>40</v>
      </c>
      <c r="V52" s="28" t="s">
        <v>40</v>
      </c>
      <c r="W52" s="28" t="s">
        <v>40</v>
      </c>
      <c r="X52" s="114" t="s">
        <v>42</v>
      </c>
      <c r="Y52" s="35" t="s">
        <v>136</v>
      </c>
      <c r="Z52" s="127" t="s">
        <v>144</v>
      </c>
      <c r="AA52" s="34" t="s">
        <v>145</v>
      </c>
      <c r="AB52" s="34" t="s">
        <v>52</v>
      </c>
    </row>
    <row r="53" spans="1:28" ht="21" customHeight="1">
      <c r="A53" s="28" t="s">
        <v>91</v>
      </c>
      <c r="B53" s="34" t="s">
        <v>146</v>
      </c>
      <c r="C53" s="116" t="s">
        <v>147</v>
      </c>
      <c r="D53" s="113">
        <v>46077.293749999997</v>
      </c>
      <c r="E53" s="113">
        <v>46077.308333333334</v>
      </c>
      <c r="F53" s="115">
        <f>+(disponibilidad[[#This Row],[Fecha y hora fin]]-disponibilidad[[#This Row],[Fecha y hora inicio]])*1440</f>
        <v>21.000000005587935</v>
      </c>
      <c r="G53" s="28" t="s">
        <v>48</v>
      </c>
      <c r="H53" s="116" t="s">
        <v>41</v>
      </c>
      <c r="I53" s="116" t="s">
        <v>41</v>
      </c>
      <c r="J53" s="116" t="s">
        <v>41</v>
      </c>
      <c r="K53" s="116" t="s">
        <v>41</v>
      </c>
      <c r="L53" s="197" t="s">
        <v>41</v>
      </c>
      <c r="M53" s="197" t="s">
        <v>41</v>
      </c>
      <c r="N53" s="197" t="s">
        <v>41</v>
      </c>
      <c r="O53" s="116" t="s">
        <v>41</v>
      </c>
      <c r="P53" s="116" t="s">
        <v>41</v>
      </c>
      <c r="Q53" s="116" t="s">
        <v>40</v>
      </c>
      <c r="R53" s="197" t="s">
        <v>41</v>
      </c>
      <c r="S53" s="116" t="s">
        <v>41</v>
      </c>
      <c r="T53" s="28" t="s">
        <v>41</v>
      </c>
      <c r="U53" s="28" t="s">
        <v>41</v>
      </c>
      <c r="V53" s="28" t="s">
        <v>41</v>
      </c>
      <c r="W53" s="28" t="s">
        <v>40</v>
      </c>
      <c r="X53" s="114" t="s">
        <v>67</v>
      </c>
      <c r="Y53" s="35" t="s">
        <v>68</v>
      </c>
      <c r="Z53" s="127" t="s">
        <v>94</v>
      </c>
      <c r="AA53" s="115" t="s">
        <v>95</v>
      </c>
      <c r="AB53" s="34" t="s">
        <v>52</v>
      </c>
    </row>
    <row r="54" spans="1:28" ht="24.75" customHeight="1">
      <c r="A54" s="28" t="s">
        <v>148</v>
      </c>
      <c r="B54" s="34" t="s">
        <v>149</v>
      </c>
      <c r="C54" s="116" t="s">
        <v>150</v>
      </c>
      <c r="D54" s="113">
        <v>46085.613194444442</v>
      </c>
      <c r="E54" s="113">
        <v>46085.675694444442</v>
      </c>
      <c r="F54" s="115">
        <f>+(disponibilidad[[#This Row],[Fecha y hora fin]]-disponibilidad[[#This Row],[Fecha y hora inicio]])*1440</f>
        <v>90</v>
      </c>
      <c r="G54" s="28" t="s">
        <v>39</v>
      </c>
      <c r="H54" s="116" t="s">
        <v>41</v>
      </c>
      <c r="I54" s="116" t="s">
        <v>41</v>
      </c>
      <c r="J54" s="116" t="s">
        <v>40</v>
      </c>
      <c r="K54" s="116" t="s">
        <v>41</v>
      </c>
      <c r="L54" s="116" t="s">
        <v>41</v>
      </c>
      <c r="M54" s="116" t="s">
        <v>41</v>
      </c>
      <c r="N54" s="116" t="s">
        <v>41</v>
      </c>
      <c r="O54" s="116" t="s">
        <v>41</v>
      </c>
      <c r="P54" s="116" t="s">
        <v>41</v>
      </c>
      <c r="Q54" s="116" t="s">
        <v>40</v>
      </c>
      <c r="R54" s="116" t="s">
        <v>41</v>
      </c>
      <c r="S54" s="116" t="s">
        <v>41</v>
      </c>
      <c r="T54" s="28" t="s">
        <v>40</v>
      </c>
      <c r="U54" s="116" t="s">
        <v>41</v>
      </c>
      <c r="V54" s="116" t="s">
        <v>41</v>
      </c>
      <c r="W54" s="116" t="s">
        <v>41</v>
      </c>
      <c r="X54" s="114" t="s">
        <v>67</v>
      </c>
      <c r="Y54" s="35" t="s">
        <v>68</v>
      </c>
      <c r="Z54" s="127" t="s">
        <v>151</v>
      </c>
      <c r="AA54" s="170" t="s">
        <v>90</v>
      </c>
      <c r="AB54" s="34" t="s">
        <v>46</v>
      </c>
    </row>
    <row r="55" spans="1:28" ht="28.5" customHeight="1">
      <c r="A55" s="28" t="s">
        <v>148</v>
      </c>
      <c r="B55" s="34" t="s">
        <v>16</v>
      </c>
      <c r="C55" s="116">
        <v>729948</v>
      </c>
      <c r="D55" s="113">
        <v>46091.472222222219</v>
      </c>
      <c r="E55" s="113">
        <v>46091.479166666664</v>
      </c>
      <c r="F55" s="115">
        <f>+(disponibilidad[[#This Row],[Fecha y hora fin]]-disponibilidad[[#This Row],[Fecha y hora inicio]])*1440</f>
        <v>10.000000001164153</v>
      </c>
      <c r="G55" s="28" t="s">
        <v>48</v>
      </c>
      <c r="H55" s="116" t="s">
        <v>40</v>
      </c>
      <c r="I55" s="116" t="s">
        <v>41</v>
      </c>
      <c r="J55" s="116" t="s">
        <v>41</v>
      </c>
      <c r="K55" s="116" t="s">
        <v>41</v>
      </c>
      <c r="L55" s="116" t="s">
        <v>41</v>
      </c>
      <c r="M55" s="116" t="s">
        <v>41</v>
      </c>
      <c r="N55" s="116" t="s">
        <v>41</v>
      </c>
      <c r="O55" s="116" t="s">
        <v>41</v>
      </c>
      <c r="P55" s="116" t="s">
        <v>41</v>
      </c>
      <c r="Q55" s="116" t="s">
        <v>41</v>
      </c>
      <c r="R55" s="116" t="s">
        <v>40</v>
      </c>
      <c r="S55" s="116" t="s">
        <v>41</v>
      </c>
      <c r="T55" s="28" t="s">
        <v>40</v>
      </c>
      <c r="U55" s="28" t="s">
        <v>40</v>
      </c>
      <c r="V55" s="28" t="s">
        <v>40</v>
      </c>
      <c r="W55" s="28" t="s">
        <v>40</v>
      </c>
      <c r="X55" s="114" t="s">
        <v>42</v>
      </c>
      <c r="Y55" s="35" t="s">
        <v>136</v>
      </c>
      <c r="Z55" s="127" t="s">
        <v>152</v>
      </c>
      <c r="AA55" s="34" t="s">
        <v>145</v>
      </c>
      <c r="AB55" s="34" t="s">
        <v>46</v>
      </c>
    </row>
    <row r="56" spans="1:28" ht="15">
      <c r="A56" s="28" t="s">
        <v>153</v>
      </c>
      <c r="B56" s="34" t="s">
        <v>154</v>
      </c>
      <c r="C56" s="116" t="s">
        <v>155</v>
      </c>
      <c r="D56" s="113">
        <v>46091.620833333334</v>
      </c>
      <c r="E56" s="113"/>
      <c r="F56" s="115">
        <f>+(disponibilidad[[#This Row],[Fecha y hora fin]]-disponibilidad[[#This Row],[Fecha y hora inicio]])*1440</f>
        <v>-66371934</v>
      </c>
      <c r="G56" s="28" t="s">
        <v>39</v>
      </c>
      <c r="H56" s="197" t="s">
        <v>40</v>
      </c>
      <c r="I56" s="197" t="s">
        <v>41</v>
      </c>
      <c r="J56" s="197" t="s">
        <v>41</v>
      </c>
      <c r="K56" s="197" t="s">
        <v>41</v>
      </c>
      <c r="L56" s="197" t="s">
        <v>41</v>
      </c>
      <c r="M56" s="197" t="s">
        <v>41</v>
      </c>
      <c r="N56" s="197" t="s">
        <v>41</v>
      </c>
      <c r="O56" s="116" t="s">
        <v>41</v>
      </c>
      <c r="P56" s="116" t="s">
        <v>41</v>
      </c>
      <c r="Q56" s="116" t="s">
        <v>40</v>
      </c>
      <c r="R56" s="197" t="s">
        <v>41</v>
      </c>
      <c r="S56" s="197" t="s">
        <v>41</v>
      </c>
      <c r="T56" s="197" t="s">
        <v>41</v>
      </c>
      <c r="U56" s="197" t="s">
        <v>41</v>
      </c>
      <c r="V56" s="197" t="s">
        <v>41</v>
      </c>
      <c r="W56" s="197" t="s">
        <v>40</v>
      </c>
      <c r="X56" s="114" t="s">
        <v>67</v>
      </c>
      <c r="Y56" s="35" t="s">
        <v>68</v>
      </c>
      <c r="Z56" s="127"/>
      <c r="AA56" s="34"/>
      <c r="AB56" s="34"/>
    </row>
    <row r="57" spans="1:28" ht="27.75" customHeight="1">
      <c r="B57" s="34"/>
      <c r="D57" s="113"/>
      <c r="E57" s="113"/>
      <c r="F57" s="115">
        <f>+(disponibilidad[[#This Row],[Fecha y hora fin]]-disponibilidad[[#This Row],[Fecha y hora inicio]])*1440</f>
        <v>0</v>
      </c>
      <c r="L57" s="197"/>
      <c r="M57" s="197"/>
      <c r="N57" s="197"/>
      <c r="P57" s="116"/>
      <c r="Q57" s="116"/>
      <c r="R57" s="197"/>
      <c r="Z57" s="127"/>
      <c r="AA57" s="115"/>
      <c r="AB57" s="34"/>
    </row>
    <row r="58" spans="1:28" ht="27.75" customHeight="1">
      <c r="B58" s="34"/>
      <c r="D58" s="113"/>
      <c r="E58" s="113"/>
      <c r="F58" s="115">
        <f>+(disponibilidad[[#This Row],[Fecha y hora fin]]-disponibilidad[[#This Row],[Fecha y hora inicio]])*1440</f>
        <v>0</v>
      </c>
      <c r="L58" s="197"/>
      <c r="M58" s="197"/>
      <c r="N58" s="197"/>
      <c r="P58" s="116"/>
      <c r="Q58" s="116"/>
      <c r="R58" s="197"/>
      <c r="S58" s="197"/>
      <c r="X58" s="114"/>
      <c r="Z58" s="127"/>
      <c r="AA58" s="115"/>
      <c r="AB58" s="34"/>
    </row>
    <row r="59" spans="1:28" ht="27.75" customHeight="1">
      <c r="B59" s="34"/>
      <c r="D59" s="113"/>
      <c r="E59" s="113"/>
      <c r="F59" s="115">
        <f>+(disponibilidad[[#This Row],[Fecha y hora fin]]-disponibilidad[[#This Row],[Fecha y hora inicio]])*1440</f>
        <v>0</v>
      </c>
      <c r="L59" s="197"/>
      <c r="M59" s="197"/>
      <c r="N59" s="197"/>
      <c r="P59" s="116"/>
      <c r="Q59" s="116"/>
      <c r="R59" s="197"/>
      <c r="S59" s="197"/>
      <c r="X59" s="114"/>
      <c r="Z59" s="127"/>
      <c r="AA59" s="115"/>
      <c r="AB59" s="34"/>
    </row>
    <row r="60" spans="1:28" ht="27.75" customHeight="1">
      <c r="B60" s="34"/>
      <c r="D60" s="113"/>
      <c r="E60" s="113"/>
      <c r="F60" s="115">
        <f>+(disponibilidad[[#This Row],[Fecha y hora fin]]-disponibilidad[[#This Row],[Fecha y hora inicio]])*1440</f>
        <v>0</v>
      </c>
      <c r="L60" s="197"/>
      <c r="M60" s="197"/>
      <c r="N60" s="197"/>
      <c r="O60" s="116"/>
      <c r="P60" s="116"/>
      <c r="X60" s="114"/>
      <c r="Z60" s="127"/>
      <c r="AA60" s="115"/>
      <c r="AB60" s="34"/>
    </row>
    <row r="61" spans="1:28" ht="27.75" customHeight="1">
      <c r="B61" s="34"/>
      <c r="D61" s="113"/>
      <c r="E61" s="113"/>
      <c r="F61" s="115">
        <f>+(disponibilidad[[#This Row],[Fecha y hora fin]]-disponibilidad[[#This Row],[Fecha y hora inicio]])*1440</f>
        <v>0</v>
      </c>
      <c r="L61" s="197"/>
      <c r="Z61" s="127"/>
      <c r="AA61" s="115"/>
      <c r="AB61" s="34"/>
    </row>
    <row r="62" spans="1:28" ht="27.75" customHeight="1">
      <c r="B62" s="34"/>
      <c r="D62" s="113"/>
      <c r="E62" s="113"/>
      <c r="F62" s="115">
        <f>+(disponibilidad[[#This Row],[Fecha y hora fin]]-disponibilidad[[#This Row],[Fecha y hora inicio]])*1440</f>
        <v>0</v>
      </c>
      <c r="L62" s="197"/>
      <c r="X62" s="114"/>
      <c r="Z62" s="127"/>
      <c r="AA62" s="34"/>
      <c r="AB62" s="34"/>
    </row>
    <row r="63" spans="1:28" ht="27.75" customHeight="1">
      <c r="B63" s="34"/>
      <c r="D63" s="113"/>
      <c r="E63" s="113"/>
      <c r="F63" s="115">
        <f>+(disponibilidad[[#This Row],[Fecha y hora fin]]-disponibilidad[[#This Row],[Fecha y hora inicio]])*1440</f>
        <v>0</v>
      </c>
      <c r="L63" s="197"/>
      <c r="Z63" s="127"/>
      <c r="AA63" s="115"/>
      <c r="AB63" s="34"/>
    </row>
    <row r="64" spans="1:28" ht="27.75" customHeight="1">
      <c r="B64" s="34"/>
      <c r="D64" s="113"/>
      <c r="E64" s="113"/>
      <c r="F64" s="115">
        <f>+(disponibilidad[[#This Row],[Fecha y hora fin]]-disponibilidad[[#This Row],[Fecha y hora inicio]])*1440</f>
        <v>0</v>
      </c>
      <c r="L64" s="197"/>
      <c r="Z64" s="127"/>
      <c r="AA64" s="115"/>
      <c r="AB64" s="34"/>
    </row>
    <row r="65" spans="1:28" ht="15">
      <c r="B65" s="34"/>
      <c r="D65" s="113"/>
      <c r="E65" s="113"/>
      <c r="F65" s="115">
        <f>+(disponibilidad[[#This Row],[Fecha y hora fin]]-disponibilidad[[#This Row],[Fecha y hora inicio]])*1440</f>
        <v>0</v>
      </c>
      <c r="L65" s="197"/>
      <c r="AA65" s="34"/>
      <c r="AB65" s="34"/>
    </row>
    <row r="66" spans="1:28" ht="28.5" customHeight="1">
      <c r="B66" s="34"/>
      <c r="F66" s="115">
        <f>+(disponibilidad[[#This Row],[Fecha y hora fin]]-disponibilidad[[#This Row],[Fecha y hora inicio]])*1440</f>
        <v>0</v>
      </c>
      <c r="H66" s="197"/>
      <c r="I66" s="197"/>
      <c r="J66" s="197"/>
      <c r="K66" s="197"/>
      <c r="L66" s="197"/>
      <c r="M66" s="197"/>
      <c r="N66" s="197"/>
      <c r="O66" s="197"/>
      <c r="P66" s="197"/>
      <c r="Q66" s="197"/>
      <c r="R66" s="197"/>
      <c r="S66" s="197"/>
      <c r="T66" s="197"/>
      <c r="U66" s="197"/>
      <c r="V66" s="197"/>
      <c r="W66" s="197"/>
      <c r="AA66" s="170"/>
      <c r="AB66" s="34"/>
    </row>
    <row r="67" spans="1:28" ht="28.5" customHeight="1">
      <c r="A67" s="160"/>
      <c r="B67" s="170"/>
      <c r="C67" s="197"/>
      <c r="D67" s="171"/>
      <c r="E67" s="171"/>
      <c r="F67" s="115">
        <f>+(disponibilidad[[#This Row],[Fecha y hora fin]]-disponibilidad[[#This Row],[Fecha y hora inicio]])*1440</f>
        <v>0</v>
      </c>
      <c r="G67" s="197"/>
      <c r="H67" s="197"/>
      <c r="I67" s="197"/>
      <c r="J67" s="197"/>
      <c r="K67" s="197"/>
      <c r="L67" s="197"/>
      <c r="M67" s="197"/>
      <c r="N67" s="197"/>
      <c r="O67" s="197"/>
      <c r="P67" s="197"/>
      <c r="Q67" s="197"/>
      <c r="R67" s="197"/>
      <c r="S67" s="197"/>
      <c r="T67" s="197"/>
      <c r="U67" s="197"/>
      <c r="V67" s="197"/>
      <c r="W67" s="197"/>
      <c r="X67" s="240"/>
      <c r="Y67" s="241"/>
      <c r="Z67" s="241"/>
      <c r="AA67" s="170"/>
      <c r="AB67" s="243"/>
    </row>
    <row r="68" spans="1:28" ht="28.5" customHeight="1">
      <c r="A68" s="160"/>
      <c r="B68" s="34"/>
      <c r="D68" s="171"/>
      <c r="E68" s="171"/>
      <c r="F68" s="115">
        <f>+(disponibilidad[[#This Row],[Fecha y hora fin]]-disponibilidad[[#This Row],[Fecha y hora inicio]])*1440</f>
        <v>0</v>
      </c>
      <c r="G68" s="197"/>
      <c r="H68" s="197"/>
      <c r="I68" s="197"/>
      <c r="J68" s="197"/>
      <c r="K68" s="197"/>
      <c r="L68" s="197"/>
      <c r="M68" s="197"/>
      <c r="N68" s="197"/>
      <c r="O68" s="197"/>
      <c r="P68" s="197"/>
      <c r="Q68" s="197"/>
      <c r="T68" s="197"/>
      <c r="U68" s="197"/>
      <c r="V68" s="197"/>
      <c r="W68" s="197"/>
      <c r="X68" s="240"/>
      <c r="Y68" s="241"/>
      <c r="Z68" s="241"/>
      <c r="AA68" s="170"/>
      <c r="AB68" s="34"/>
    </row>
    <row r="69" spans="1:28" ht="28.5" customHeight="1">
      <c r="B69" s="244"/>
      <c r="D69" s="171"/>
      <c r="E69" s="171"/>
      <c r="F69" s="115">
        <f>+(disponibilidad[[#This Row],[Fecha y hora fin]]-disponibilidad[[#This Row],[Fecha y hora inicio]])*1440</f>
        <v>0</v>
      </c>
      <c r="G69" s="197"/>
      <c r="L69" s="197"/>
      <c r="AA69" s="170"/>
      <c r="AB69" s="34"/>
    </row>
    <row r="70" spans="1:28" ht="28.5" customHeight="1">
      <c r="B70" s="34"/>
      <c r="D70" s="171"/>
      <c r="E70" s="171"/>
      <c r="F70" s="115">
        <f>+(disponibilidad[[#This Row],[Fecha y hora fin]]-disponibilidad[[#This Row],[Fecha y hora inicio]])*1440</f>
        <v>0</v>
      </c>
      <c r="G70" s="197"/>
      <c r="H70" s="197"/>
      <c r="I70" s="197"/>
      <c r="J70" s="197"/>
      <c r="K70" s="197"/>
      <c r="L70" s="197"/>
      <c r="M70" s="197"/>
      <c r="N70" s="197"/>
      <c r="O70" s="197"/>
      <c r="P70" s="197"/>
      <c r="Q70" s="197"/>
      <c r="R70" s="197"/>
      <c r="S70" s="197"/>
      <c r="T70" s="197"/>
      <c r="U70" s="197"/>
      <c r="V70" s="197"/>
      <c r="W70" s="197"/>
      <c r="AA70" s="170"/>
      <c r="AB70" s="243"/>
    </row>
    <row r="71" spans="1:28" ht="28.5" customHeight="1">
      <c r="B71" s="34"/>
      <c r="D71" s="171"/>
      <c r="E71" s="171"/>
      <c r="F71" s="115">
        <f>+(disponibilidad[[#This Row],[Fecha y hora fin]]-disponibilidad[[#This Row],[Fecha y hora inicio]])*1440</f>
        <v>0</v>
      </c>
      <c r="G71" s="197"/>
      <c r="H71" s="116"/>
      <c r="I71" s="116"/>
      <c r="J71" s="116"/>
      <c r="K71" s="116"/>
      <c r="L71" s="197"/>
      <c r="M71" s="116"/>
      <c r="N71" s="116"/>
      <c r="O71" s="116"/>
      <c r="P71" s="116"/>
      <c r="AA71" s="115"/>
      <c r="AB71" s="34"/>
    </row>
    <row r="72" spans="1:28" ht="28.5" customHeight="1">
      <c r="B72" s="34"/>
      <c r="D72" s="171"/>
      <c r="E72" s="171"/>
      <c r="F72" s="115">
        <f>+(disponibilidad[[#This Row],[Fecha y hora fin]]-disponibilidad[[#This Row],[Fecha y hora inicio]])*1440</f>
        <v>0</v>
      </c>
      <c r="H72" s="197"/>
      <c r="I72" s="197"/>
      <c r="J72" s="197"/>
      <c r="K72" s="197"/>
      <c r="L72" s="197"/>
      <c r="M72" s="197"/>
      <c r="N72" s="197"/>
      <c r="O72" s="197"/>
      <c r="P72" s="197"/>
      <c r="Z72" s="127"/>
      <c r="AA72" s="115"/>
      <c r="AB72" s="34"/>
    </row>
    <row r="73" spans="1:28" ht="28.5" customHeight="1">
      <c r="B73" s="34"/>
      <c r="D73" s="171"/>
      <c r="E73" s="171"/>
      <c r="F73" s="115">
        <f>+(disponibilidad[[#This Row],[Fecha y hora fin]]-disponibilidad[[#This Row],[Fecha y hora inicio]])*1440</f>
        <v>0</v>
      </c>
      <c r="G73" s="197"/>
      <c r="L73" s="197"/>
      <c r="AA73" s="170"/>
      <c r="AB73" s="34"/>
    </row>
    <row r="74" spans="1:28" ht="28.5" customHeight="1">
      <c r="B74" s="34"/>
      <c r="D74" s="171"/>
      <c r="E74" s="171"/>
      <c r="F74" s="115">
        <f>+(disponibilidad[[#This Row],[Fecha y hora fin]]-disponibilidad[[#This Row],[Fecha y hora inicio]])*1440</f>
        <v>0</v>
      </c>
      <c r="L74" s="197"/>
      <c r="Z74" s="127"/>
      <c r="AA74" s="115"/>
      <c r="AB74" s="34"/>
    </row>
    <row r="75" spans="1:28" ht="28.5" customHeight="1">
      <c r="B75" s="34"/>
      <c r="D75" s="171"/>
      <c r="E75" s="171"/>
      <c r="F75" s="115">
        <f>+(disponibilidad[[#This Row],[Fecha y hora fin]]-disponibilidad[[#This Row],[Fecha y hora inicio]])*1440</f>
        <v>0</v>
      </c>
      <c r="H75" s="197"/>
      <c r="I75" s="197"/>
      <c r="J75" s="197"/>
      <c r="K75" s="197"/>
      <c r="L75" s="197"/>
      <c r="M75" s="197"/>
      <c r="N75" s="197"/>
      <c r="O75" s="197"/>
      <c r="P75" s="197"/>
      <c r="Q75" s="197"/>
      <c r="R75" s="197"/>
      <c r="S75" s="197"/>
      <c r="T75" s="197"/>
      <c r="U75" s="197"/>
      <c r="V75" s="197"/>
      <c r="W75" s="197"/>
      <c r="AA75" s="35"/>
      <c r="AB75" s="34"/>
    </row>
    <row r="76" spans="1:28" ht="28.5" customHeight="1">
      <c r="B76" s="34"/>
      <c r="D76" s="171"/>
      <c r="E76" s="171"/>
      <c r="F76" s="115">
        <f>+(disponibilidad[[#This Row],[Fecha y hora fin]]-disponibilidad[[#This Row],[Fecha y hora inicio]])*1440</f>
        <v>0</v>
      </c>
      <c r="H76" s="197"/>
      <c r="I76" s="197"/>
      <c r="J76" s="197"/>
      <c r="K76" s="197"/>
      <c r="L76" s="197"/>
      <c r="M76" s="197"/>
      <c r="N76" s="197"/>
      <c r="O76" s="197"/>
      <c r="P76" s="197"/>
      <c r="Q76" s="197"/>
      <c r="R76" s="197"/>
      <c r="S76" s="197"/>
      <c r="AA76" s="34"/>
      <c r="AB76" s="34"/>
    </row>
    <row r="77" spans="1:28" ht="28.5" customHeight="1">
      <c r="D77" s="171"/>
      <c r="E77" s="171"/>
      <c r="F77" s="115">
        <f>+(disponibilidad[[#This Row],[Fecha y hora fin]]-disponibilidad[[#This Row],[Fecha y hora inicio]])*1440</f>
        <v>0</v>
      </c>
      <c r="L77" s="197"/>
      <c r="AA77" s="170"/>
      <c r="AB77" s="34"/>
    </row>
    <row r="78" spans="1:28" ht="28.5" customHeight="1">
      <c r="D78" s="171"/>
      <c r="E78" s="171"/>
      <c r="F78" s="115">
        <f>+(disponibilidad[[#This Row],[Fecha y hora fin]]-disponibilidad[[#This Row],[Fecha y hora inicio]])*1440</f>
        <v>0</v>
      </c>
      <c r="L78" s="197"/>
      <c r="AA78" s="170"/>
      <c r="AB78" s="34"/>
    </row>
    <row r="79" spans="1:28" ht="28.5" customHeight="1">
      <c r="B79" s="244"/>
      <c r="D79" s="171"/>
      <c r="E79" s="171"/>
      <c r="F79" s="115">
        <f>+(disponibilidad[[#This Row],[Fecha y hora fin]]-disponibilidad[[#This Row],[Fecha y hora inicio]])*1440</f>
        <v>0</v>
      </c>
      <c r="G79" s="197"/>
      <c r="L79" s="197"/>
      <c r="AA79" s="170"/>
      <c r="AB79" s="34"/>
    </row>
    <row r="80" spans="1:28" ht="28.5" customHeight="1">
      <c r="B80" s="244"/>
      <c r="D80" s="171"/>
      <c r="E80" s="171"/>
      <c r="F80" s="115">
        <f>+(disponibilidad[[#This Row],[Fecha y hora fin]]-disponibilidad[[#This Row],[Fecha y hora inicio]])*1440</f>
        <v>0</v>
      </c>
      <c r="G80" s="197"/>
      <c r="L80" s="197"/>
      <c r="AA80" s="170"/>
      <c r="AB80" s="34"/>
    </row>
    <row r="81" spans="2:28" ht="15">
      <c r="B81" s="34"/>
      <c r="D81" s="171"/>
      <c r="E81" s="171"/>
      <c r="F81" s="115">
        <f>+(disponibilidad[[#This Row],[Fecha y hora fin]]-disponibilidad[[#This Row],[Fecha y hora inicio]])*1440</f>
        <v>0</v>
      </c>
      <c r="G81" s="197"/>
      <c r="L81" s="197"/>
      <c r="AA81" s="170"/>
      <c r="AB81" s="34"/>
    </row>
    <row r="82" spans="2:28" ht="28.5" customHeight="1">
      <c r="B82" s="34"/>
      <c r="D82" s="171"/>
      <c r="E82" s="171"/>
      <c r="F82" s="115">
        <f>+(disponibilidad[[#This Row],[Fecha y hora fin]]-disponibilidad[[#This Row],[Fecha y hora inicio]])*1440</f>
        <v>0</v>
      </c>
      <c r="G82" s="197"/>
      <c r="L82" s="197"/>
      <c r="AA82" s="170"/>
      <c r="AB82" s="34"/>
    </row>
    <row r="83" spans="2:28" ht="28.5" customHeight="1">
      <c r="B83" s="34"/>
      <c r="D83" s="171"/>
      <c r="E83" s="171"/>
      <c r="F83" s="115">
        <f>+(disponibilidad[[#This Row],[Fecha y hora fin]]-disponibilidad[[#This Row],[Fecha y hora inicio]])*1440</f>
        <v>0</v>
      </c>
      <c r="G83" s="197"/>
      <c r="L83" s="197"/>
      <c r="AA83" s="170"/>
      <c r="AB83" s="34"/>
    </row>
    <row r="84" spans="2:28" ht="28.5" customHeight="1">
      <c r="B84" s="34"/>
      <c r="D84" s="171"/>
      <c r="E84" s="171"/>
      <c r="F84" s="115">
        <f>+(disponibilidad[[#This Row],[Fecha y hora fin]]-disponibilidad[[#This Row],[Fecha y hora inicio]])*1440</f>
        <v>0</v>
      </c>
      <c r="G84" s="197"/>
      <c r="L84" s="197"/>
      <c r="AA84" s="170"/>
      <c r="AB84" s="34"/>
    </row>
    <row r="85" spans="2:28" ht="28.5" customHeight="1">
      <c r="B85" s="34"/>
      <c r="D85" s="171"/>
      <c r="E85" s="171"/>
      <c r="F85" s="115">
        <f>+(disponibilidad[[#This Row],[Fecha y hora fin]]-disponibilidad[[#This Row],[Fecha y hora inicio]])*1440</f>
        <v>0</v>
      </c>
      <c r="G85" s="197"/>
      <c r="L85" s="197"/>
      <c r="AA85" s="170"/>
      <c r="AB85" s="34"/>
    </row>
    <row r="86" spans="2:28" ht="28.5" customHeight="1">
      <c r="B86" s="34"/>
      <c r="D86" s="171"/>
      <c r="E86" s="171"/>
      <c r="F86" s="115">
        <f>+(disponibilidad[[#This Row],[Fecha y hora fin]]-disponibilidad[[#This Row],[Fecha y hora inicio]])*1440</f>
        <v>0</v>
      </c>
      <c r="G86" s="197"/>
      <c r="L86" s="197"/>
      <c r="AA86" s="170"/>
      <c r="AB86" s="34"/>
    </row>
    <row r="87" spans="2:28" ht="28.5" customHeight="1">
      <c r="D87" s="171"/>
      <c r="E87" s="171"/>
      <c r="F87" s="115">
        <f>+(disponibilidad[[#This Row],[Fecha y hora fin]]-disponibilidad[[#This Row],[Fecha y hora inicio]])*1440</f>
        <v>0</v>
      </c>
      <c r="L87" s="197"/>
      <c r="AA87" s="34"/>
      <c r="AB87" s="34"/>
    </row>
    <row r="88" spans="2:28" ht="28.5" customHeight="1">
      <c r="D88" s="171"/>
      <c r="E88" s="171"/>
      <c r="F88" s="115">
        <f>+(disponibilidad[[#This Row],[Fecha y hora fin]]-disponibilidad[[#This Row],[Fecha y hora inicio]])*1440</f>
        <v>0</v>
      </c>
      <c r="L88" s="197"/>
      <c r="AA88" s="34"/>
      <c r="AB88" s="34"/>
    </row>
    <row r="89" spans="2:28" ht="28.5" customHeight="1">
      <c r="D89" s="171"/>
      <c r="E89" s="171"/>
      <c r="F89" s="115">
        <f>+(disponibilidad[[#This Row],[Fecha y hora fin]]-disponibilidad[[#This Row],[Fecha y hora inicio]])*1440</f>
        <v>0</v>
      </c>
      <c r="L89" s="197"/>
      <c r="AA89" s="170"/>
      <c r="AB89" s="34"/>
    </row>
    <row r="90" spans="2:28" ht="28.5" customHeight="1">
      <c r="D90" s="171"/>
      <c r="E90" s="171"/>
      <c r="F90" s="115">
        <f>+(disponibilidad[[#This Row],[Fecha y hora fin]]-disponibilidad[[#This Row],[Fecha y hora inicio]])*1440</f>
        <v>0</v>
      </c>
      <c r="L90" s="197"/>
      <c r="AA90" s="170"/>
      <c r="AB90" s="34"/>
    </row>
    <row r="91" spans="2:28" ht="28.5" customHeight="1">
      <c r="B91" s="34"/>
      <c r="D91" s="171"/>
      <c r="E91" s="171"/>
      <c r="F91" s="115">
        <f>+(disponibilidad[[#This Row],[Fecha y hora fin]]-disponibilidad[[#This Row],[Fecha y hora inicio]])*1440</f>
        <v>0</v>
      </c>
      <c r="G91" s="197"/>
      <c r="L91" s="197"/>
      <c r="AA91" s="170"/>
      <c r="AB91" s="34"/>
    </row>
    <row r="92" spans="2:28" ht="28.5" customHeight="1">
      <c r="D92" s="171"/>
      <c r="E92" s="171"/>
      <c r="F92" s="115">
        <f>+(disponibilidad[[#This Row],[Fecha y hora fin]]-disponibilidad[[#This Row],[Fecha y hora inicio]])*1440</f>
        <v>0</v>
      </c>
      <c r="L92" s="197"/>
      <c r="AA92" s="170"/>
      <c r="AB92" s="34"/>
    </row>
    <row r="93" spans="2:28" ht="28.5" customHeight="1">
      <c r="B93" s="34"/>
      <c r="D93" s="171"/>
      <c r="E93" s="171"/>
      <c r="F93" s="115">
        <f>+(disponibilidad[[#This Row],[Fecha y hora fin]]-disponibilidad[[#This Row],[Fecha y hora inicio]])*1440</f>
        <v>0</v>
      </c>
      <c r="G93" s="197"/>
      <c r="L93" s="197"/>
      <c r="AA93" s="170"/>
      <c r="AB93" s="34"/>
    </row>
    <row r="94" spans="2:28" ht="15">
      <c r="B94" s="34"/>
      <c r="D94" s="171"/>
      <c r="E94" s="171"/>
      <c r="F94" s="115">
        <f>+(disponibilidad[[#This Row],[Fecha y hora fin]]-disponibilidad[[#This Row],[Fecha y hora inicio]])*1440</f>
        <v>0</v>
      </c>
      <c r="L94" s="197"/>
      <c r="AA94" s="34"/>
      <c r="AB94" s="34"/>
    </row>
    <row r="95" spans="2:28" ht="15">
      <c r="D95" s="171"/>
      <c r="E95" s="171"/>
      <c r="F95" s="115">
        <f>+(disponibilidad[[#This Row],[Fecha y hora fin]]-disponibilidad[[#This Row],[Fecha y hora inicio]])*1440</f>
        <v>0</v>
      </c>
      <c r="L95" s="197"/>
      <c r="AA95" s="170"/>
      <c r="AB95" s="34"/>
    </row>
    <row r="96" spans="2:28" ht="15">
      <c r="D96" s="171"/>
      <c r="E96" s="171"/>
      <c r="F96" s="115">
        <f>+(disponibilidad[[#This Row],[Fecha y hora fin]]-disponibilidad[[#This Row],[Fecha y hora inicio]])*1440</f>
        <v>0</v>
      </c>
      <c r="L96" s="197"/>
      <c r="AA96" s="170"/>
      <c r="AB96" s="34"/>
    </row>
    <row r="97" spans="1:28" ht="15">
      <c r="B97" s="34"/>
      <c r="F97" s="115">
        <f>+(disponibilidad[[#This Row],[Fecha y hora fin]]-disponibilidad[[#This Row],[Fecha y hora inicio]])*1440</f>
        <v>0</v>
      </c>
      <c r="H97" s="197"/>
      <c r="I97" s="197"/>
      <c r="J97" s="197"/>
      <c r="K97" s="197"/>
      <c r="L97" s="197"/>
      <c r="M97" s="197"/>
      <c r="N97" s="197"/>
      <c r="O97" s="197"/>
      <c r="P97" s="197"/>
      <c r="Q97" s="197"/>
      <c r="R97" s="197"/>
      <c r="S97" s="197"/>
      <c r="T97" s="197"/>
      <c r="U97" s="197"/>
      <c r="V97" s="197"/>
      <c r="W97" s="197"/>
      <c r="Z97" s="241"/>
      <c r="AA97" s="170"/>
      <c r="AB97" s="34"/>
    </row>
    <row r="98" spans="1:28" ht="15">
      <c r="B98" s="34"/>
      <c r="C98" s="116"/>
      <c r="D98" s="113"/>
      <c r="E98" s="113"/>
      <c r="F98" s="115">
        <f>+(disponibilidad[[#This Row],[Fecha y hora fin]]-disponibilidad[[#This Row],[Fecha y hora inicio]])*1440</f>
        <v>0</v>
      </c>
      <c r="H98" s="197"/>
      <c r="I98" s="197"/>
      <c r="J98" s="197"/>
      <c r="K98" s="197"/>
      <c r="L98" s="197"/>
      <c r="M98" s="197"/>
      <c r="N98" s="197"/>
      <c r="O98" s="116"/>
      <c r="P98" s="116"/>
      <c r="Q98" s="116"/>
      <c r="R98" s="197"/>
      <c r="S98" s="197"/>
      <c r="T98" s="197"/>
      <c r="U98" s="197"/>
      <c r="V98" s="197"/>
      <c r="W98" s="197"/>
      <c r="X98" s="114"/>
      <c r="Z98" s="127"/>
      <c r="AA98" s="34"/>
      <c r="AB98" s="34"/>
    </row>
    <row r="99" spans="1:28" ht="15">
      <c r="B99" s="34"/>
      <c r="D99" s="171"/>
      <c r="E99" s="171"/>
      <c r="F99" s="115">
        <f>+(disponibilidad[[#This Row],[Fecha y hora fin]]-disponibilidad[[#This Row],[Fecha y hora inicio]])*1440</f>
        <v>0</v>
      </c>
      <c r="G99" s="197"/>
      <c r="L99" s="197"/>
      <c r="AA99" s="170"/>
      <c r="AB99" s="34"/>
    </row>
    <row r="100" spans="1:28" ht="15">
      <c r="B100" s="34"/>
      <c r="D100" s="171"/>
      <c r="E100" s="171"/>
      <c r="F100" s="115">
        <f>+(disponibilidad[[#This Row],[Fecha y hora fin]]-disponibilidad[[#This Row],[Fecha y hora inicio]])*1440</f>
        <v>0</v>
      </c>
      <c r="G100" s="197"/>
      <c r="L100" s="197"/>
      <c r="AA100" s="170"/>
      <c r="AB100" s="34"/>
    </row>
    <row r="101" spans="1:28" ht="15">
      <c r="B101" s="34"/>
      <c r="D101" s="171"/>
      <c r="E101" s="171"/>
      <c r="F101" s="115">
        <f>+(disponibilidad[[#This Row],[Fecha y hora fin]]-disponibilidad[[#This Row],[Fecha y hora inicio]])*1440</f>
        <v>0</v>
      </c>
      <c r="L101" s="197"/>
      <c r="AA101" s="170"/>
      <c r="AB101" s="34"/>
    </row>
    <row r="102" spans="1:28" ht="15">
      <c r="B102" s="34"/>
      <c r="D102" s="171"/>
      <c r="E102" s="171"/>
      <c r="F102" s="115">
        <f>+(disponibilidad[[#This Row],[Fecha y hora fin]]-disponibilidad[[#This Row],[Fecha y hora inicio]])*1440</f>
        <v>0</v>
      </c>
      <c r="L102" s="197"/>
      <c r="AA102" s="170"/>
      <c r="AB102" s="34"/>
    </row>
    <row r="103" spans="1:28" ht="15">
      <c r="B103" s="34"/>
      <c r="F103" s="115">
        <f>+(disponibilidad[[#This Row],[Fecha y hora fin]]-disponibilidad[[#This Row],[Fecha y hora inicio]])*1440</f>
        <v>0</v>
      </c>
      <c r="L103" s="197"/>
      <c r="Z103" s="241"/>
      <c r="AA103" s="170"/>
      <c r="AB103" s="34"/>
    </row>
    <row r="104" spans="1:28" ht="15">
      <c r="B104" s="34"/>
      <c r="F104" s="115">
        <f>+(disponibilidad[[#This Row],[Fecha y hora fin]]-disponibilidad[[#This Row],[Fecha y hora inicio]])*1440</f>
        <v>0</v>
      </c>
      <c r="L104" s="197"/>
      <c r="Z104" s="241"/>
      <c r="AA104" s="170"/>
      <c r="AB104" s="34"/>
    </row>
    <row r="105" spans="1:28" ht="15">
      <c r="A105" s="160"/>
      <c r="B105" s="197"/>
      <c r="C105" s="197"/>
      <c r="D105" s="171"/>
      <c r="E105" s="171"/>
      <c r="F105" s="115">
        <f>+(disponibilidad[[#This Row],[Fecha y hora fin]]-disponibilidad[[#This Row],[Fecha y hora inicio]])*1440</f>
        <v>0</v>
      </c>
      <c r="G105" s="197"/>
      <c r="H105" s="197"/>
      <c r="I105" s="197"/>
      <c r="J105" s="197"/>
      <c r="K105" s="197"/>
      <c r="L105" s="197"/>
      <c r="M105" s="197"/>
      <c r="N105" s="197"/>
      <c r="O105" s="197"/>
      <c r="P105" s="197"/>
      <c r="Q105" s="197"/>
      <c r="R105" s="197"/>
      <c r="S105" s="197"/>
      <c r="T105" s="197"/>
      <c r="U105" s="197"/>
      <c r="V105" s="197"/>
      <c r="W105" s="197"/>
      <c r="X105" s="240"/>
      <c r="Y105" s="241"/>
      <c r="Z105" s="241"/>
      <c r="AA105" s="170"/>
      <c r="AB105" s="243"/>
    </row>
    <row r="106" spans="1:28" ht="28.5" customHeight="1">
      <c r="A106" s="160"/>
      <c r="B106" s="197"/>
      <c r="C106" s="197"/>
      <c r="D106" s="171"/>
      <c r="E106" s="171"/>
      <c r="F106" s="115">
        <f>+(disponibilidad[[#This Row],[Fecha y hora fin]]-disponibilidad[[#This Row],[Fecha y hora inicio]])*1440</f>
        <v>0</v>
      </c>
      <c r="G106" s="197"/>
      <c r="H106" s="197"/>
      <c r="I106" s="197"/>
      <c r="J106" s="197"/>
      <c r="K106" s="197"/>
      <c r="L106" s="197"/>
      <c r="M106" s="197"/>
      <c r="N106" s="197"/>
      <c r="O106" s="197"/>
      <c r="P106" s="197"/>
      <c r="Q106" s="197"/>
      <c r="R106" s="197"/>
      <c r="S106" s="197"/>
      <c r="T106" s="197"/>
      <c r="U106" s="197"/>
      <c r="V106" s="197"/>
      <c r="W106" s="197"/>
      <c r="X106" s="240"/>
      <c r="Y106" s="241"/>
      <c r="Z106" s="241"/>
      <c r="AA106" s="170"/>
    </row>
    <row r="107" spans="1:28" ht="30" customHeight="1">
      <c r="B107" s="34"/>
      <c r="F107" s="115">
        <f>+(disponibilidad[[#This Row],[Fecha y hora fin]]-disponibilidad[[#This Row],[Fecha y hora inicio]])*1440</f>
        <v>0</v>
      </c>
      <c r="L107" s="197"/>
      <c r="Z107" s="241"/>
      <c r="AA107" s="170"/>
      <c r="AB107" s="34"/>
    </row>
    <row r="108" spans="1:28" ht="30" customHeight="1">
      <c r="A108" s="160"/>
      <c r="B108" s="197"/>
      <c r="C108" s="197"/>
      <c r="D108" s="171"/>
      <c r="E108" s="171"/>
      <c r="F108" s="115">
        <f>+(disponibilidad[[#This Row],[Fecha y hora fin]]-disponibilidad[[#This Row],[Fecha y hora inicio]])*1440</f>
        <v>0</v>
      </c>
      <c r="G108" s="197"/>
      <c r="H108" s="197"/>
      <c r="I108" s="197"/>
      <c r="J108" s="197"/>
      <c r="K108" s="197"/>
      <c r="L108" s="197"/>
      <c r="M108" s="197"/>
      <c r="N108" s="197"/>
      <c r="O108" s="197"/>
      <c r="P108" s="197"/>
      <c r="Q108" s="197"/>
      <c r="R108" s="197"/>
      <c r="S108" s="197"/>
      <c r="T108" s="197"/>
      <c r="U108" s="197"/>
      <c r="V108" s="197"/>
      <c r="W108" s="197"/>
      <c r="X108" s="240"/>
      <c r="Y108" s="241"/>
      <c r="Z108" s="241"/>
      <c r="AA108" s="170"/>
      <c r="AB108" s="243"/>
    </row>
    <row r="109" spans="1:28" ht="30" customHeight="1">
      <c r="A109" s="160"/>
      <c r="B109" s="197"/>
      <c r="C109" s="116"/>
      <c r="D109" s="171"/>
      <c r="E109" s="171"/>
      <c r="F109" s="115">
        <f>+(disponibilidad[[#This Row],[Fecha y hora fin]]-disponibilidad[[#This Row],[Fecha y hora inicio]])*1440</f>
        <v>0</v>
      </c>
      <c r="G109" s="116"/>
      <c r="H109" s="116"/>
      <c r="I109" s="116"/>
      <c r="J109" s="116"/>
      <c r="K109" s="116"/>
      <c r="L109" s="197"/>
      <c r="M109" s="197"/>
      <c r="N109" s="197"/>
      <c r="O109" s="197"/>
      <c r="P109" s="197"/>
      <c r="Q109" s="197"/>
      <c r="R109" s="197"/>
      <c r="S109" s="197"/>
      <c r="T109" s="197"/>
      <c r="U109" s="197"/>
      <c r="V109" s="197"/>
      <c r="W109" s="197"/>
      <c r="X109" s="114"/>
      <c r="Y109" s="127"/>
      <c r="Z109" s="127"/>
      <c r="AA109" s="115"/>
      <c r="AB109" s="269"/>
    </row>
    <row r="110" spans="1:28" ht="30" customHeight="1">
      <c r="A110" s="160"/>
      <c r="B110" s="197"/>
      <c r="C110" s="197"/>
      <c r="D110" s="171"/>
      <c r="E110" s="171"/>
      <c r="F110" s="115">
        <f>+(disponibilidad[[#This Row],[Fecha y hora fin]]-disponibilidad[[#This Row],[Fecha y hora inicio]])*1440</f>
        <v>0</v>
      </c>
      <c r="G110" s="197"/>
      <c r="H110" s="197"/>
      <c r="I110" s="197"/>
      <c r="J110" s="197"/>
      <c r="K110" s="197"/>
      <c r="L110" s="197"/>
      <c r="M110" s="197"/>
      <c r="N110" s="197"/>
      <c r="O110" s="197"/>
      <c r="P110" s="197"/>
      <c r="Q110" s="197"/>
      <c r="R110" s="197"/>
      <c r="S110" s="197"/>
      <c r="T110" s="197"/>
      <c r="U110" s="197"/>
      <c r="V110" s="197"/>
      <c r="W110" s="197"/>
      <c r="X110" s="240"/>
      <c r="Y110" s="241"/>
      <c r="Z110" s="241"/>
      <c r="AA110" s="170"/>
      <c r="AB110" s="243"/>
    </row>
    <row r="111" spans="1:28" ht="30" customHeight="1">
      <c r="A111" s="160"/>
      <c r="B111" s="197"/>
      <c r="C111" s="197"/>
      <c r="D111" s="171"/>
      <c r="E111" s="171"/>
      <c r="F111" s="115">
        <f>+(disponibilidad[[#This Row],[Fecha y hora fin]]-disponibilidad[[#This Row],[Fecha y hora inicio]])*1440</f>
        <v>0</v>
      </c>
      <c r="G111" s="197"/>
      <c r="H111" s="197"/>
      <c r="I111" s="197"/>
      <c r="J111" s="197"/>
      <c r="K111" s="197"/>
      <c r="L111" s="197"/>
      <c r="M111" s="197"/>
      <c r="N111" s="197"/>
      <c r="O111" s="197"/>
      <c r="P111" s="197"/>
      <c r="Q111" s="197"/>
      <c r="R111" s="197"/>
      <c r="S111" s="197"/>
      <c r="T111" s="197"/>
      <c r="U111" s="197"/>
      <c r="V111" s="197"/>
      <c r="W111" s="197"/>
      <c r="X111" s="240"/>
      <c r="Y111" s="241"/>
      <c r="Z111" s="241"/>
      <c r="AA111" s="170"/>
      <c r="AB111" s="243"/>
    </row>
    <row r="112" spans="1:28" ht="30" customHeight="1">
      <c r="A112" s="160"/>
      <c r="B112" s="197"/>
      <c r="C112" s="197"/>
      <c r="D112" s="171"/>
      <c r="E112" s="171"/>
      <c r="F112" s="115">
        <f>+(disponibilidad[[#This Row],[Fecha y hora fin]]-disponibilidad[[#This Row],[Fecha y hora inicio]])*1440</f>
        <v>0</v>
      </c>
      <c r="G112" s="197"/>
      <c r="H112" s="197"/>
      <c r="I112" s="197"/>
      <c r="J112" s="197"/>
      <c r="K112" s="197"/>
      <c r="L112" s="197"/>
      <c r="M112" s="197"/>
      <c r="N112" s="197"/>
      <c r="O112" s="197"/>
      <c r="P112" s="197"/>
      <c r="Q112" s="197"/>
      <c r="R112" s="197"/>
      <c r="S112" s="197"/>
      <c r="T112" s="197"/>
      <c r="U112" s="197"/>
      <c r="V112" s="197"/>
      <c r="W112" s="197"/>
      <c r="X112" s="240"/>
      <c r="Y112" s="241"/>
      <c r="Z112" s="241"/>
      <c r="AA112" s="170"/>
      <c r="AB112" s="243"/>
    </row>
    <row r="113" spans="1:27" ht="30" customHeight="1">
      <c r="A113" s="160"/>
      <c r="B113" s="34"/>
      <c r="D113" s="171"/>
      <c r="E113" s="171"/>
      <c r="F113" s="115">
        <f>+(disponibilidad[[#This Row],[Fecha y hora fin]]-disponibilidad[[#This Row],[Fecha y hora inicio]])*1440</f>
        <v>0</v>
      </c>
      <c r="G113" s="197"/>
      <c r="H113" s="197"/>
      <c r="I113" s="197"/>
      <c r="J113" s="197"/>
      <c r="K113" s="197"/>
      <c r="L113" s="197"/>
      <c r="M113" s="197"/>
      <c r="N113" s="197"/>
      <c r="O113" s="197"/>
      <c r="P113" s="197"/>
      <c r="Q113" s="197"/>
      <c r="R113" s="197"/>
      <c r="S113" s="197"/>
      <c r="T113" s="197"/>
      <c r="U113" s="197"/>
      <c r="V113" s="197"/>
      <c r="W113" s="197"/>
      <c r="X113" s="240"/>
      <c r="Y113" s="241"/>
      <c r="Z113" s="241"/>
      <c r="AA113" s="170"/>
    </row>
    <row r="114" spans="1:27" ht="30" customHeight="1">
      <c r="A114" s="160"/>
      <c r="B114" s="34"/>
      <c r="D114" s="171"/>
      <c r="E114" s="171"/>
      <c r="F114" s="115">
        <f>+(disponibilidad[[#This Row],[Fecha y hora fin]]-disponibilidad[[#This Row],[Fecha y hora inicio]])*1440</f>
        <v>0</v>
      </c>
      <c r="G114" s="197"/>
      <c r="H114" s="197"/>
      <c r="I114" s="197"/>
      <c r="J114" s="197"/>
      <c r="K114" s="197"/>
      <c r="L114" s="197"/>
      <c r="M114" s="197"/>
      <c r="N114" s="197"/>
      <c r="O114" s="197"/>
      <c r="P114" s="197"/>
      <c r="Q114" s="197"/>
      <c r="R114" s="197"/>
      <c r="S114" s="197"/>
      <c r="T114" s="197"/>
      <c r="U114" s="197"/>
      <c r="V114" s="197"/>
      <c r="W114" s="197"/>
      <c r="X114" s="240"/>
      <c r="Y114" s="241"/>
      <c r="Z114" s="241"/>
      <c r="AA114" s="170"/>
    </row>
    <row r="115" spans="1:27" ht="30" customHeight="1">
      <c r="A115" s="160"/>
      <c r="D115" s="171"/>
      <c r="E115" s="171"/>
      <c r="F115" s="115">
        <f>+(disponibilidad[[#This Row],[Fecha y hora fin]]-disponibilidad[[#This Row],[Fecha y hora inicio]])*1440</f>
        <v>0</v>
      </c>
      <c r="G115" s="197"/>
      <c r="H115" s="197"/>
      <c r="I115" s="197"/>
      <c r="J115" s="197"/>
      <c r="K115" s="197"/>
      <c r="L115" s="197"/>
      <c r="M115" s="197"/>
      <c r="N115" s="197"/>
      <c r="O115" s="197"/>
      <c r="P115" s="197"/>
      <c r="Q115" s="197"/>
      <c r="R115" s="197"/>
      <c r="S115" s="197"/>
      <c r="T115" s="197"/>
      <c r="U115" s="197"/>
      <c r="V115" s="197"/>
      <c r="W115" s="197"/>
      <c r="X115" s="114"/>
      <c r="Y115" s="127"/>
      <c r="Z115" s="241"/>
      <c r="AA115" s="170"/>
    </row>
    <row r="116" spans="1:27" ht="28.5" customHeight="1">
      <c r="A116" s="160"/>
      <c r="D116" s="171"/>
      <c r="E116" s="171"/>
      <c r="F116" s="115">
        <f>+(disponibilidad[[#This Row],[Fecha y hora fin]]-disponibilidad[[#This Row],[Fecha y hora inicio]])*1440</f>
        <v>0</v>
      </c>
      <c r="G116" s="197"/>
      <c r="H116" s="197"/>
      <c r="I116" s="197"/>
      <c r="J116" s="197"/>
      <c r="K116" s="197"/>
      <c r="L116" s="197"/>
      <c r="M116" s="197"/>
      <c r="N116" s="197"/>
      <c r="O116" s="197"/>
      <c r="P116" s="197"/>
      <c r="Q116" s="197"/>
      <c r="R116" s="197"/>
      <c r="S116" s="197"/>
      <c r="T116" s="197"/>
      <c r="U116" s="197"/>
      <c r="V116" s="197"/>
      <c r="W116" s="197"/>
      <c r="X116" s="240"/>
      <c r="Y116" s="241"/>
      <c r="Z116" s="241"/>
      <c r="AA116" s="170"/>
    </row>
    <row r="117" spans="1:27" ht="28.5" customHeight="1">
      <c r="A117" s="160"/>
      <c r="D117" s="171"/>
      <c r="E117" s="171"/>
      <c r="F117" s="115">
        <f>+(disponibilidad[[#This Row],[Fecha y hora fin]]-disponibilidad[[#This Row],[Fecha y hora inicio]])*1440</f>
        <v>0</v>
      </c>
      <c r="G117" s="197"/>
      <c r="H117" s="197"/>
      <c r="I117" s="197"/>
      <c r="J117" s="197"/>
      <c r="K117" s="197"/>
      <c r="L117" s="197"/>
      <c r="M117" s="197"/>
      <c r="N117" s="197"/>
      <c r="O117" s="197"/>
      <c r="P117" s="197"/>
      <c r="Q117" s="197"/>
      <c r="R117" s="197"/>
      <c r="S117" s="197"/>
      <c r="T117" s="197"/>
      <c r="U117" s="197"/>
      <c r="V117" s="197"/>
      <c r="W117" s="197"/>
      <c r="X117" s="240"/>
      <c r="Y117" s="241"/>
      <c r="Z117" s="241"/>
      <c r="AA117" s="170"/>
    </row>
    <row r="118" spans="1:27" ht="28.5" customHeight="1">
      <c r="A118" s="160"/>
      <c r="D118" s="171"/>
      <c r="E118" s="171"/>
      <c r="F118" s="115">
        <f>+(disponibilidad[[#This Row],[Fecha y hora fin]]-disponibilidad[[#This Row],[Fecha y hora inicio]])*1440</f>
        <v>0</v>
      </c>
      <c r="G118" s="197"/>
      <c r="H118" s="197"/>
      <c r="I118" s="197"/>
      <c r="J118" s="197"/>
      <c r="K118" s="197"/>
      <c r="L118" s="197"/>
      <c r="M118" s="197"/>
      <c r="N118" s="197"/>
      <c r="O118" s="197"/>
      <c r="P118" s="197"/>
      <c r="Q118" s="197"/>
      <c r="R118" s="197"/>
      <c r="S118" s="197"/>
      <c r="T118" s="197"/>
      <c r="U118" s="197"/>
      <c r="V118" s="197"/>
      <c r="W118" s="197"/>
      <c r="X118" s="114"/>
      <c r="Y118" s="241"/>
      <c r="Z118" s="241"/>
      <c r="AA118" s="170"/>
    </row>
    <row r="119" spans="1:27" ht="28.5" customHeight="1">
      <c r="A119" s="160"/>
      <c r="D119" s="171"/>
      <c r="E119" s="171"/>
      <c r="F119" s="115">
        <f>+(disponibilidad[[#This Row],[Fecha y hora fin]]-disponibilidad[[#This Row],[Fecha y hora inicio]])*1440</f>
        <v>0</v>
      </c>
      <c r="G119" s="197"/>
      <c r="H119" s="197"/>
      <c r="I119" s="197"/>
      <c r="J119" s="197"/>
      <c r="K119" s="197"/>
      <c r="L119" s="197"/>
      <c r="M119" s="197"/>
      <c r="N119" s="197"/>
      <c r="O119" s="197"/>
      <c r="P119" s="197"/>
      <c r="Q119" s="197"/>
      <c r="R119" s="197"/>
      <c r="S119" s="197"/>
      <c r="T119" s="197"/>
      <c r="U119" s="197"/>
      <c r="V119" s="197"/>
      <c r="W119" s="197"/>
      <c r="X119" s="114"/>
      <c r="Y119" s="241"/>
      <c r="Z119" s="241"/>
      <c r="AA119" s="170"/>
    </row>
    <row r="120" spans="1:27" ht="28.5" customHeight="1">
      <c r="A120" s="160"/>
      <c r="D120" s="171"/>
      <c r="E120" s="171"/>
      <c r="F120" s="115">
        <f>+(disponibilidad[[#This Row],[Fecha y hora fin]]-disponibilidad[[#This Row],[Fecha y hora inicio]])*1440</f>
        <v>0</v>
      </c>
      <c r="G120" s="197"/>
      <c r="H120" s="197"/>
      <c r="I120" s="197"/>
      <c r="J120" s="197"/>
      <c r="K120" s="197"/>
      <c r="L120" s="197"/>
      <c r="M120" s="197"/>
      <c r="N120" s="197"/>
      <c r="O120" s="197"/>
      <c r="P120" s="197"/>
      <c r="Q120" s="197"/>
      <c r="R120" s="197"/>
      <c r="S120" s="197"/>
      <c r="T120" s="197"/>
      <c r="U120" s="197"/>
      <c r="V120" s="197"/>
      <c r="W120" s="197"/>
      <c r="X120" s="240"/>
      <c r="Y120" s="241"/>
      <c r="Z120" s="241"/>
      <c r="AA120" s="170"/>
    </row>
    <row r="121" spans="1:27" ht="28.5" customHeight="1">
      <c r="A121" s="160"/>
      <c r="D121" s="171"/>
      <c r="E121" s="171"/>
      <c r="F121" s="115">
        <f>+(disponibilidad[[#This Row],[Fecha y hora fin]]-disponibilidad[[#This Row],[Fecha y hora inicio]])*1440</f>
        <v>0</v>
      </c>
      <c r="G121" s="197"/>
      <c r="H121" s="197"/>
      <c r="I121" s="197"/>
      <c r="J121" s="197"/>
      <c r="K121" s="197"/>
      <c r="L121" s="197"/>
      <c r="M121" s="197"/>
      <c r="N121" s="197"/>
      <c r="O121" s="197"/>
      <c r="P121" s="197"/>
      <c r="Q121" s="197"/>
      <c r="R121" s="197"/>
      <c r="S121" s="197"/>
      <c r="T121" s="197"/>
      <c r="U121" s="197"/>
      <c r="V121" s="197"/>
      <c r="W121" s="197"/>
      <c r="X121" s="240"/>
      <c r="Y121" s="241"/>
      <c r="Z121" s="241"/>
      <c r="AA121" s="170"/>
    </row>
    <row r="122" spans="1:27" ht="28.5" customHeight="1">
      <c r="A122" s="160"/>
      <c r="D122" s="171"/>
      <c r="E122" s="171"/>
      <c r="F122" s="115">
        <f>+(disponibilidad[[#This Row],[Fecha y hora fin]]-disponibilidad[[#This Row],[Fecha y hora inicio]])*1440</f>
        <v>0</v>
      </c>
      <c r="G122" s="197"/>
      <c r="H122" s="197"/>
      <c r="I122" s="197"/>
      <c r="J122" s="197"/>
      <c r="K122" s="197"/>
      <c r="L122" s="197"/>
      <c r="M122" s="197"/>
      <c r="N122" s="197"/>
      <c r="O122" s="197"/>
      <c r="P122" s="197"/>
      <c r="Q122" s="197"/>
      <c r="R122" s="197"/>
      <c r="S122" s="197"/>
      <c r="T122" s="197"/>
      <c r="U122" s="197"/>
      <c r="V122" s="197"/>
      <c r="W122" s="197"/>
      <c r="X122" s="240"/>
      <c r="Y122" s="241"/>
      <c r="Z122" s="241"/>
      <c r="AA122" s="170"/>
    </row>
    <row r="123" spans="1:27" ht="28.5" customHeight="1">
      <c r="A123" s="160"/>
      <c r="B123" s="34"/>
      <c r="D123" s="171"/>
      <c r="E123" s="171"/>
      <c r="F123" s="115">
        <f>+(disponibilidad[[#This Row],[Fecha y hora fin]]-disponibilidad[[#This Row],[Fecha y hora inicio]])*1440</f>
        <v>0</v>
      </c>
      <c r="G123" s="197"/>
      <c r="H123" s="197"/>
      <c r="I123" s="197"/>
      <c r="J123" s="197"/>
      <c r="K123" s="197"/>
      <c r="L123" s="197"/>
      <c r="M123" s="197"/>
      <c r="N123" s="197"/>
      <c r="O123" s="197"/>
      <c r="P123" s="197"/>
      <c r="Q123" s="197"/>
      <c r="R123" s="197"/>
      <c r="S123" s="197"/>
      <c r="T123" s="197"/>
      <c r="U123" s="197"/>
      <c r="V123" s="197"/>
      <c r="W123" s="197"/>
      <c r="X123" s="240"/>
      <c r="Y123" s="241"/>
      <c r="Z123" s="241"/>
      <c r="AA123" s="170"/>
    </row>
    <row r="124" spans="1:27" ht="28.5" customHeight="1">
      <c r="A124" s="160"/>
      <c r="D124" s="171"/>
      <c r="E124" s="171"/>
      <c r="F124" s="115">
        <f>+(disponibilidad[[#This Row],[Fecha y hora fin]]-disponibilidad[[#This Row],[Fecha y hora inicio]])*1440</f>
        <v>0</v>
      </c>
      <c r="G124" s="197"/>
      <c r="H124" s="197"/>
      <c r="I124" s="197"/>
      <c r="J124" s="197"/>
      <c r="K124" s="197"/>
      <c r="L124" s="197"/>
      <c r="M124" s="197"/>
      <c r="N124" s="197"/>
      <c r="O124" s="197"/>
      <c r="P124" s="197"/>
      <c r="Q124" s="197"/>
      <c r="R124" s="197"/>
      <c r="S124" s="197"/>
      <c r="T124" s="197"/>
      <c r="U124" s="197"/>
      <c r="V124" s="197"/>
      <c r="W124" s="197"/>
      <c r="X124" s="240"/>
      <c r="Y124" s="241"/>
      <c r="Z124" s="241"/>
      <c r="AA124" s="170"/>
    </row>
    <row r="125" spans="1:27" ht="28.5" customHeight="1">
      <c r="A125" s="160"/>
      <c r="D125" s="171"/>
      <c r="E125" s="171"/>
      <c r="F125" s="115">
        <f>+(disponibilidad[[#This Row],[Fecha y hora fin]]-disponibilidad[[#This Row],[Fecha y hora inicio]])*1440</f>
        <v>0</v>
      </c>
      <c r="G125" s="197"/>
      <c r="H125" s="197"/>
      <c r="I125" s="197"/>
      <c r="J125" s="197"/>
      <c r="K125" s="197"/>
      <c r="L125" s="197"/>
      <c r="M125" s="197"/>
      <c r="N125" s="197"/>
      <c r="O125" s="197"/>
      <c r="P125" s="197"/>
      <c r="Q125" s="197"/>
      <c r="R125" s="197"/>
      <c r="S125" s="197"/>
      <c r="T125" s="197"/>
      <c r="U125" s="197"/>
      <c r="V125" s="197"/>
      <c r="W125" s="197"/>
      <c r="X125" s="240"/>
      <c r="Y125" s="241"/>
      <c r="Z125" s="241"/>
      <c r="AA125" s="170"/>
    </row>
    <row r="126" spans="1:27" ht="28.5" customHeight="1">
      <c r="A126" s="160"/>
      <c r="B126" s="34"/>
      <c r="D126" s="171"/>
      <c r="E126" s="171"/>
      <c r="F126" s="115">
        <f>+(disponibilidad[[#This Row],[Fecha y hora fin]]-disponibilidad[[#This Row],[Fecha y hora inicio]])*1440</f>
        <v>0</v>
      </c>
      <c r="G126" s="197"/>
      <c r="H126" s="197"/>
      <c r="I126" s="197"/>
      <c r="J126" s="197"/>
      <c r="K126" s="197"/>
      <c r="L126" s="197"/>
      <c r="M126" s="197"/>
      <c r="N126" s="197"/>
      <c r="O126" s="197"/>
      <c r="P126" s="197"/>
      <c r="Q126" s="197"/>
      <c r="R126" s="197"/>
      <c r="S126" s="197"/>
      <c r="T126" s="197"/>
      <c r="U126" s="197"/>
      <c r="V126" s="197"/>
      <c r="W126" s="197"/>
      <c r="X126" s="240"/>
      <c r="Y126" s="241"/>
      <c r="Z126" s="241"/>
      <c r="AA126" s="170"/>
    </row>
    <row r="127" spans="1:27" ht="28.5" customHeight="1">
      <c r="A127" s="160"/>
      <c r="B127" s="34"/>
      <c r="D127" s="171"/>
      <c r="E127" s="171"/>
      <c r="F127" s="115">
        <f>+(disponibilidad[[#This Row],[Fecha y hora fin]]-disponibilidad[[#This Row],[Fecha y hora inicio]])*1440</f>
        <v>0</v>
      </c>
      <c r="G127" s="197"/>
      <c r="H127" s="197"/>
      <c r="I127" s="197"/>
      <c r="J127" s="197"/>
      <c r="K127" s="197"/>
      <c r="L127" s="197"/>
      <c r="M127" s="197"/>
      <c r="N127" s="197"/>
      <c r="O127" s="197"/>
      <c r="P127" s="197"/>
      <c r="Q127" s="197"/>
      <c r="R127" s="197"/>
      <c r="S127" s="197"/>
      <c r="T127" s="197"/>
      <c r="U127" s="197"/>
      <c r="V127" s="197"/>
      <c r="W127" s="197"/>
      <c r="X127" s="240"/>
      <c r="Y127" s="241"/>
      <c r="Z127" s="241"/>
      <c r="AA127" s="170"/>
    </row>
    <row r="128" spans="1:27" ht="28.5" customHeight="1">
      <c r="A128" s="160"/>
      <c r="B128" s="34"/>
      <c r="D128" s="171"/>
      <c r="E128" s="171"/>
      <c r="F128" s="115">
        <f>+(disponibilidad[[#This Row],[Fecha y hora fin]]-disponibilidad[[#This Row],[Fecha y hora inicio]])*1440</f>
        <v>0</v>
      </c>
      <c r="G128" s="197"/>
      <c r="H128" s="197"/>
      <c r="I128" s="197"/>
      <c r="J128" s="197"/>
      <c r="K128" s="197"/>
      <c r="L128" s="197"/>
      <c r="M128" s="197"/>
      <c r="N128" s="197"/>
      <c r="O128" s="197"/>
      <c r="P128" s="197"/>
      <c r="Q128" s="197"/>
      <c r="R128" s="197"/>
      <c r="S128" s="197"/>
      <c r="T128" s="197"/>
      <c r="U128" s="197"/>
      <c r="V128" s="197"/>
      <c r="W128" s="197"/>
      <c r="X128" s="240"/>
      <c r="Y128" s="241"/>
      <c r="Z128" s="241"/>
      <c r="AA128" s="170"/>
    </row>
    <row r="129" spans="2:28" ht="28.5" customHeight="1">
      <c r="B129" s="197"/>
      <c r="C129" s="197"/>
      <c r="D129" s="171"/>
      <c r="E129" s="171"/>
      <c r="F129" s="115">
        <f>+(disponibilidad[[#This Row],[Fecha y hora fin]]-disponibilidad[[#This Row],[Fecha y hora inicio]])*1440</f>
        <v>0</v>
      </c>
      <c r="G129" s="197"/>
      <c r="H129" s="197"/>
      <c r="I129" s="197"/>
      <c r="J129" s="197"/>
      <c r="K129" s="197"/>
      <c r="L129" s="197"/>
      <c r="M129" s="197"/>
      <c r="N129" s="197"/>
      <c r="O129" s="197"/>
      <c r="P129" s="197"/>
      <c r="Q129" s="197"/>
      <c r="R129" s="197"/>
      <c r="S129" s="197"/>
      <c r="T129" s="197"/>
      <c r="U129" s="197"/>
      <c r="V129" s="197"/>
      <c r="W129" s="197"/>
      <c r="X129" s="240"/>
      <c r="Y129" s="241"/>
      <c r="Z129" s="241"/>
      <c r="AA129" s="170"/>
    </row>
    <row r="130" spans="2:28" ht="28.5" customHeight="1">
      <c r="B130" s="197"/>
      <c r="C130" s="197"/>
      <c r="D130" s="171"/>
      <c r="E130" s="171"/>
      <c r="F130" s="115">
        <f>+(disponibilidad[[#This Row],[Fecha y hora fin]]-disponibilidad[[#This Row],[Fecha y hora inicio]])*1440</f>
        <v>0</v>
      </c>
      <c r="G130" s="197"/>
      <c r="H130" s="197"/>
      <c r="I130" s="197"/>
      <c r="J130" s="197"/>
      <c r="K130" s="197"/>
      <c r="L130" s="197"/>
      <c r="M130" s="197"/>
      <c r="N130" s="197"/>
      <c r="O130" s="197"/>
      <c r="P130" s="197"/>
      <c r="Q130" s="197"/>
      <c r="R130" s="197"/>
      <c r="S130" s="197"/>
      <c r="T130" s="197"/>
      <c r="U130" s="197"/>
      <c r="V130" s="197"/>
      <c r="W130" s="197"/>
      <c r="X130" s="240"/>
      <c r="Y130" s="241"/>
      <c r="Z130" s="241"/>
      <c r="AA130" s="170"/>
    </row>
    <row r="131" spans="2:28" ht="28.5" customHeight="1">
      <c r="B131" s="197"/>
      <c r="C131" s="197"/>
      <c r="D131" s="171"/>
      <c r="E131" s="171"/>
      <c r="F131" s="115">
        <f>+(disponibilidad[[#This Row],[Fecha y hora fin]]-disponibilidad[[#This Row],[Fecha y hora inicio]])*1440</f>
        <v>0</v>
      </c>
      <c r="G131" s="197"/>
      <c r="H131" s="197"/>
      <c r="I131" s="197"/>
      <c r="J131" s="197"/>
      <c r="K131" s="197"/>
      <c r="L131" s="197"/>
      <c r="M131" s="197"/>
      <c r="N131" s="197"/>
      <c r="O131" s="197"/>
      <c r="P131" s="197"/>
      <c r="Q131" s="197"/>
      <c r="R131" s="197"/>
      <c r="S131" s="197"/>
      <c r="T131" s="197"/>
      <c r="U131" s="197"/>
      <c r="V131" s="197"/>
      <c r="W131" s="197"/>
      <c r="X131" s="240"/>
      <c r="Y131" s="241"/>
      <c r="Z131" s="241"/>
      <c r="AA131" s="170"/>
    </row>
    <row r="132" spans="2:28" ht="33.75" customHeight="1">
      <c r="F132" s="115">
        <f>+(disponibilidad[[#This Row],[Fecha y hora fin]]-disponibilidad[[#This Row],[Fecha y hora inicio]])*1440</f>
        <v>0</v>
      </c>
      <c r="G132" s="197"/>
      <c r="H132" s="116"/>
      <c r="I132" s="197"/>
      <c r="J132" s="197"/>
      <c r="K132" s="197"/>
      <c r="L132" s="197"/>
      <c r="M132" s="197"/>
      <c r="N132" s="197"/>
      <c r="O132" s="197"/>
      <c r="P132" s="197"/>
      <c r="Q132" s="197"/>
      <c r="R132" s="197"/>
      <c r="S132" s="116"/>
      <c r="T132" s="116"/>
      <c r="U132" s="116"/>
      <c r="V132" s="116"/>
      <c r="W132" s="116"/>
      <c r="AA132" s="34"/>
    </row>
    <row r="133" spans="2:28" ht="15">
      <c r="B133" s="34"/>
      <c r="F133" s="115">
        <f>+(disponibilidad[[#This Row],[Fecha y hora fin]]-disponibilidad[[#This Row],[Fecha y hora inicio]])*1440</f>
        <v>0</v>
      </c>
      <c r="H133" s="197"/>
      <c r="I133" s="197"/>
      <c r="J133" s="197"/>
      <c r="K133" s="197"/>
      <c r="L133" s="197"/>
      <c r="M133" s="197"/>
      <c r="N133" s="197"/>
      <c r="O133" s="197"/>
      <c r="P133" s="197"/>
      <c r="Q133" s="197"/>
      <c r="R133" s="197"/>
      <c r="S133" s="197"/>
      <c r="T133" s="197"/>
      <c r="U133" s="197"/>
      <c r="V133" s="197"/>
      <c r="W133" s="197"/>
      <c r="AA133" s="34"/>
      <c r="AB133" s="34"/>
    </row>
    <row r="134" spans="2:28" ht="28.5" customHeight="1">
      <c r="B134" s="34"/>
      <c r="F134" s="115">
        <f>+(disponibilidad[[#This Row],[Fecha y hora fin]]-disponibilidad[[#This Row],[Fecha y hora inicio]])*1440</f>
        <v>0</v>
      </c>
      <c r="H134" s="197"/>
      <c r="I134" s="197"/>
      <c r="J134" s="197"/>
      <c r="K134" s="197"/>
      <c r="L134" s="197"/>
      <c r="M134" s="197"/>
      <c r="N134" s="197"/>
      <c r="O134" s="197"/>
      <c r="P134" s="197"/>
      <c r="Q134" s="197"/>
      <c r="R134" s="197"/>
      <c r="S134" s="197"/>
      <c r="T134" s="197"/>
      <c r="U134" s="197"/>
      <c r="V134" s="197"/>
      <c r="W134" s="197"/>
      <c r="AA134" s="34"/>
      <c r="AB134" s="34"/>
    </row>
    <row r="135" spans="2:28" ht="47.25" customHeight="1">
      <c r="B135" s="34"/>
      <c r="F135" s="115">
        <f>+(disponibilidad[[#This Row],[Fecha y hora fin]]-disponibilidad[[#This Row],[Fecha y hora inicio]])*1440</f>
        <v>0</v>
      </c>
      <c r="H135" s="197"/>
      <c r="I135" s="197"/>
      <c r="J135" s="197"/>
      <c r="K135" s="197"/>
      <c r="L135" s="197"/>
      <c r="M135" s="197"/>
      <c r="N135" s="197"/>
      <c r="O135" s="197"/>
      <c r="P135" s="197"/>
      <c r="Q135" s="197"/>
      <c r="R135" s="197"/>
      <c r="S135" s="197"/>
      <c r="T135" s="197"/>
      <c r="U135" s="197"/>
      <c r="V135" s="197"/>
      <c r="AA135" s="34"/>
      <c r="AB135" s="34"/>
    </row>
    <row r="136" spans="2:28" ht="28.5" customHeight="1">
      <c r="B136" s="34"/>
      <c r="F136" s="115">
        <f>+(disponibilidad[[#This Row],[Fecha y hora fin]]-disponibilidad[[#This Row],[Fecha y hora inicio]])*1440</f>
        <v>0</v>
      </c>
      <c r="H136" s="197"/>
      <c r="I136" s="197"/>
      <c r="J136" s="197"/>
      <c r="K136" s="197"/>
      <c r="L136" s="197"/>
      <c r="M136" s="197"/>
      <c r="N136" s="197"/>
      <c r="O136" s="197"/>
      <c r="P136" s="197"/>
      <c r="Q136" s="197"/>
      <c r="R136" s="197"/>
      <c r="S136" s="197"/>
      <c r="T136" s="197"/>
      <c r="U136" s="197"/>
      <c r="V136" s="197"/>
      <c r="W136" s="197"/>
      <c r="Y136" s="241"/>
      <c r="Z136" s="241"/>
      <c r="AA136" s="34"/>
      <c r="AB136" s="34"/>
    </row>
    <row r="137" spans="2:28" ht="28.5" customHeight="1">
      <c r="B137" s="34"/>
      <c r="F137" s="115">
        <f>+(disponibilidad[[#This Row],[Fecha y hora fin]]-disponibilidad[[#This Row],[Fecha y hora inicio]])*1440</f>
        <v>0</v>
      </c>
      <c r="H137" s="116"/>
      <c r="I137" s="116"/>
      <c r="J137" s="116"/>
      <c r="K137" s="116"/>
      <c r="L137" s="197"/>
      <c r="M137" s="197"/>
      <c r="N137" s="197"/>
      <c r="O137" s="197"/>
      <c r="P137" s="197"/>
      <c r="Q137" s="197"/>
      <c r="R137" s="197"/>
      <c r="S137" s="197"/>
      <c r="T137" s="197"/>
      <c r="U137" s="116"/>
      <c r="V137" s="116"/>
      <c r="W137" s="116"/>
      <c r="AA137" s="34"/>
      <c r="AB137" s="34"/>
    </row>
    <row r="138" spans="2:28" ht="28.5" customHeight="1">
      <c r="B138" s="34"/>
      <c r="F138" s="115">
        <f>+(disponibilidad[[#This Row],[Fecha y hora fin]]-disponibilidad[[#This Row],[Fecha y hora inicio]])*1440</f>
        <v>0</v>
      </c>
      <c r="H138" s="197"/>
      <c r="I138" s="197"/>
      <c r="J138" s="197"/>
      <c r="K138" s="197"/>
      <c r="L138" s="197"/>
      <c r="M138" s="197"/>
      <c r="N138" s="197"/>
      <c r="O138" s="197"/>
      <c r="P138" s="197"/>
      <c r="Q138" s="197"/>
      <c r="R138" s="197"/>
      <c r="S138" s="197"/>
      <c r="T138" s="197"/>
      <c r="U138" s="197"/>
      <c r="V138" s="197"/>
      <c r="W138" s="197"/>
      <c r="AA138" s="34"/>
      <c r="AB138" s="34"/>
    </row>
    <row r="139" spans="2:28" ht="28.5" customHeight="1">
      <c r="B139" s="34"/>
      <c r="F139" s="115">
        <f>+(disponibilidad[[#This Row],[Fecha y hora fin]]-disponibilidad[[#This Row],[Fecha y hora inicio]])*1440</f>
        <v>0</v>
      </c>
      <c r="H139" s="197"/>
      <c r="I139" s="197"/>
      <c r="J139" s="197"/>
      <c r="K139" s="197"/>
      <c r="L139" s="197"/>
      <c r="M139" s="197"/>
      <c r="N139" s="197"/>
      <c r="O139" s="197"/>
      <c r="P139" s="197"/>
      <c r="Q139" s="197"/>
      <c r="R139" s="197"/>
      <c r="S139" s="197"/>
      <c r="T139" s="197"/>
      <c r="U139" s="197"/>
      <c r="V139" s="197"/>
      <c r="W139" s="197"/>
      <c r="Y139" s="241"/>
      <c r="AA139" s="170"/>
    </row>
    <row r="140" spans="2:28" ht="28.5" customHeight="1">
      <c r="B140" s="34"/>
      <c r="F140" s="115">
        <f>+(disponibilidad[[#This Row],[Fecha y hora fin]]-disponibilidad[[#This Row],[Fecha y hora inicio]])*1440</f>
        <v>0</v>
      </c>
      <c r="H140" s="197"/>
      <c r="I140" s="197"/>
      <c r="J140" s="197"/>
      <c r="K140" s="197"/>
      <c r="L140" s="197"/>
      <c r="M140" s="197"/>
      <c r="N140" s="197"/>
      <c r="O140" s="197"/>
      <c r="P140" s="197"/>
      <c r="Q140" s="197"/>
      <c r="R140" s="197"/>
      <c r="S140" s="197"/>
      <c r="T140" s="197"/>
      <c r="U140" s="197"/>
      <c r="V140" s="197"/>
      <c r="W140" s="197"/>
      <c r="Y140" s="241"/>
      <c r="AA140" s="170"/>
    </row>
    <row r="141" spans="2:28" ht="28.5" customHeight="1">
      <c r="B141" s="34"/>
      <c r="F141" s="115">
        <f>+(disponibilidad[[#This Row],[Fecha y hora fin]]-disponibilidad[[#This Row],[Fecha y hora inicio]])*1440</f>
        <v>0</v>
      </c>
      <c r="H141" s="197"/>
      <c r="I141" s="197"/>
      <c r="J141" s="197"/>
      <c r="K141" s="197"/>
      <c r="L141" s="197"/>
      <c r="M141" s="197"/>
      <c r="N141" s="197"/>
      <c r="O141" s="197"/>
      <c r="P141" s="197"/>
      <c r="Q141" s="197"/>
      <c r="R141" s="197"/>
      <c r="S141" s="197"/>
      <c r="T141" s="197"/>
      <c r="U141" s="197"/>
      <c r="V141" s="197"/>
      <c r="W141" s="197"/>
      <c r="Z141" s="241"/>
      <c r="AA141" s="170"/>
      <c r="AB141" s="34"/>
    </row>
    <row r="142" spans="2:28" ht="28.5" customHeight="1">
      <c r="B142" s="34"/>
      <c r="F142" s="115">
        <f>+(disponibilidad[[#This Row],[Fecha y hora fin]]-disponibilidad[[#This Row],[Fecha y hora inicio]])*1440</f>
        <v>0</v>
      </c>
      <c r="L142" s="197"/>
      <c r="M142" s="197"/>
      <c r="N142" s="197"/>
      <c r="O142" s="197"/>
      <c r="P142" s="197"/>
      <c r="Q142" s="197"/>
      <c r="R142" s="197"/>
      <c r="S142" s="197"/>
      <c r="T142" s="197"/>
      <c r="U142" s="197"/>
      <c r="AA142" s="34"/>
      <c r="AB142" s="34"/>
    </row>
    <row r="143" spans="2:28" ht="28.5" customHeight="1">
      <c r="B143" s="34"/>
      <c r="F143" s="115">
        <f>+(disponibilidad[[#This Row],[Fecha y hora fin]]-disponibilidad[[#This Row],[Fecha y hora inicio]])*1440</f>
        <v>0</v>
      </c>
      <c r="H143" s="197"/>
      <c r="I143" s="197"/>
      <c r="J143" s="197"/>
      <c r="K143" s="197"/>
      <c r="L143" s="197"/>
      <c r="M143" s="197"/>
      <c r="N143" s="197"/>
      <c r="O143" s="197"/>
      <c r="P143" s="197"/>
      <c r="Q143" s="197"/>
      <c r="R143" s="197"/>
      <c r="S143" s="197"/>
      <c r="T143" s="197"/>
      <c r="U143" s="197"/>
      <c r="V143" s="197"/>
      <c r="W143" s="197"/>
      <c r="Z143" s="241"/>
      <c r="AA143" s="170"/>
    </row>
    <row r="144" spans="2:28" ht="28.5" customHeight="1">
      <c r="B144" s="34"/>
      <c r="F144" s="115">
        <f>+(disponibilidad[[#This Row],[Fecha y hora fin]]-disponibilidad[[#This Row],[Fecha y hora inicio]])*1440</f>
        <v>0</v>
      </c>
      <c r="H144" s="197"/>
      <c r="I144" s="197"/>
      <c r="J144" s="197"/>
      <c r="K144" s="197"/>
      <c r="L144" s="197"/>
      <c r="M144" s="197"/>
      <c r="N144" s="197"/>
      <c r="O144" s="197"/>
      <c r="P144" s="197"/>
      <c r="Q144" s="197"/>
      <c r="R144" s="197"/>
      <c r="S144" s="197"/>
      <c r="T144" s="197"/>
      <c r="U144" s="197"/>
      <c r="V144" s="197"/>
      <c r="W144" s="197"/>
      <c r="AA144" s="170"/>
      <c r="AB144" s="34"/>
    </row>
    <row r="145" spans="1:28" ht="28.5" customHeight="1">
      <c r="B145" s="34"/>
      <c r="F145" s="115">
        <f>+(disponibilidad[[#This Row],[Fecha y hora fin]]-disponibilidad[[#This Row],[Fecha y hora inicio]])*1440</f>
        <v>0</v>
      </c>
      <c r="H145" s="197"/>
      <c r="I145" s="197"/>
      <c r="J145" s="197"/>
      <c r="K145" s="116"/>
      <c r="L145" s="197"/>
      <c r="M145" s="197"/>
      <c r="N145" s="197"/>
      <c r="O145" s="116"/>
      <c r="P145" s="116"/>
      <c r="Q145" s="116"/>
      <c r="R145" s="116"/>
      <c r="S145" s="116"/>
      <c r="T145" s="197"/>
      <c r="U145" s="197"/>
      <c r="V145" s="197"/>
      <c r="W145" s="197"/>
      <c r="AA145" s="34"/>
      <c r="AB145" s="34"/>
    </row>
    <row r="146" spans="1:28" ht="28.5" customHeight="1">
      <c r="B146" s="34"/>
      <c r="F146" s="115">
        <f>+(disponibilidad[[#This Row],[Fecha y hora fin]]-disponibilidad[[#This Row],[Fecha y hora inicio]])*1440</f>
        <v>0</v>
      </c>
      <c r="H146" s="197"/>
      <c r="I146" s="197"/>
      <c r="J146" s="197"/>
      <c r="K146" s="197"/>
      <c r="L146" s="197"/>
      <c r="M146" s="197"/>
      <c r="N146" s="197"/>
      <c r="O146" s="197"/>
      <c r="P146" s="197"/>
      <c r="Q146" s="197"/>
      <c r="R146" s="197"/>
      <c r="S146" s="197"/>
      <c r="T146" s="197"/>
      <c r="U146" s="197"/>
      <c r="V146" s="197"/>
      <c r="W146" s="197"/>
      <c r="AA146" s="34"/>
    </row>
    <row r="147" spans="1:28" ht="28.5" customHeight="1">
      <c r="B147" s="34"/>
      <c r="F147" s="115">
        <f>+(disponibilidad[[#This Row],[Fecha y hora fin]]-disponibilidad[[#This Row],[Fecha y hora inicio]])*1440</f>
        <v>0</v>
      </c>
      <c r="H147" s="116"/>
      <c r="I147" s="116"/>
      <c r="J147" s="116"/>
      <c r="K147" s="116"/>
      <c r="L147" s="197"/>
      <c r="M147" s="197"/>
      <c r="N147" s="197"/>
      <c r="O147" s="116"/>
      <c r="P147" s="116"/>
      <c r="Q147" s="116"/>
      <c r="R147" s="116"/>
      <c r="S147" s="116"/>
      <c r="T147" s="197"/>
      <c r="U147" s="197"/>
      <c r="V147" s="197"/>
      <c r="W147" s="197"/>
      <c r="AA147" s="35"/>
      <c r="AB147" s="34"/>
    </row>
    <row r="148" spans="1:28" ht="28.5" customHeight="1">
      <c r="B148" s="34"/>
      <c r="F148" s="115">
        <f>+(disponibilidad[[#This Row],[Fecha y hora fin]]-disponibilidad[[#This Row],[Fecha y hora inicio]])*1440</f>
        <v>0</v>
      </c>
      <c r="H148" s="197"/>
      <c r="I148" s="197"/>
      <c r="J148" s="197"/>
      <c r="K148" s="197"/>
      <c r="L148" s="197"/>
      <c r="M148" s="197"/>
      <c r="N148" s="197"/>
      <c r="O148" s="197"/>
      <c r="P148" s="197"/>
      <c r="Q148" s="197"/>
      <c r="R148" s="197"/>
      <c r="S148" s="197"/>
      <c r="T148" s="197"/>
      <c r="U148" s="197"/>
      <c r="V148" s="197"/>
      <c r="W148" s="197"/>
      <c r="AA148" s="35"/>
    </row>
    <row r="149" spans="1:28" ht="28.5" customHeight="1">
      <c r="B149" s="34"/>
      <c r="F149" s="115">
        <f>+(disponibilidad[[#This Row],[Fecha y hora fin]]-disponibilidad[[#This Row],[Fecha y hora inicio]])*1440</f>
        <v>0</v>
      </c>
      <c r="H149" s="197"/>
      <c r="J149" s="197"/>
      <c r="K149" s="197"/>
      <c r="L149" s="197"/>
      <c r="M149" s="197"/>
      <c r="N149" s="197"/>
      <c r="O149" s="116"/>
      <c r="P149" s="116"/>
      <c r="Q149" s="116"/>
      <c r="R149" s="116"/>
      <c r="S149" s="116"/>
      <c r="T149" s="197"/>
      <c r="U149" s="197"/>
      <c r="V149" s="197"/>
      <c r="W149" s="197"/>
      <c r="AA149" s="35"/>
      <c r="AB149" s="34"/>
    </row>
    <row r="150" spans="1:28" ht="15">
      <c r="B150" s="34"/>
      <c r="F150" s="115">
        <f>+(disponibilidad[[#This Row],[Fecha y hora fin]]-disponibilidad[[#This Row],[Fecha y hora inicio]])*1440</f>
        <v>0</v>
      </c>
      <c r="L150" s="197"/>
      <c r="M150" s="197"/>
      <c r="N150" s="197"/>
      <c r="O150" s="197"/>
      <c r="P150" s="197"/>
      <c r="Q150" s="197"/>
      <c r="R150" s="197"/>
      <c r="S150" s="197"/>
      <c r="AA150" s="35"/>
      <c r="AB150" s="34"/>
    </row>
    <row r="151" spans="1:28" ht="28.5" customHeight="1">
      <c r="B151" s="34"/>
      <c r="F151" s="115">
        <f>+(disponibilidad[[#This Row],[Fecha y hora fin]]-disponibilidad[[#This Row],[Fecha y hora inicio]])*1440</f>
        <v>0</v>
      </c>
      <c r="L151" s="197"/>
      <c r="M151" s="197"/>
      <c r="N151" s="197"/>
      <c r="O151" s="197"/>
      <c r="P151" s="197"/>
      <c r="Q151" s="197"/>
      <c r="R151" s="197"/>
      <c r="S151" s="197"/>
      <c r="Z151" s="241"/>
      <c r="AA151" s="170"/>
      <c r="AB151" s="34"/>
    </row>
    <row r="152" spans="1:28" ht="28.5" customHeight="1">
      <c r="B152" s="34"/>
      <c r="F152" s="115">
        <f>+(disponibilidad[[#This Row],[Fecha y hora fin]]-disponibilidad[[#This Row],[Fecha y hora inicio]])*1440</f>
        <v>0</v>
      </c>
      <c r="L152" s="197"/>
      <c r="M152" s="197"/>
      <c r="N152" s="197"/>
      <c r="O152" s="197"/>
      <c r="P152" s="197"/>
      <c r="Q152" s="197"/>
      <c r="R152" s="197"/>
      <c r="S152" s="197"/>
      <c r="Z152" s="241"/>
      <c r="AA152" s="170"/>
      <c r="AB152" s="34"/>
    </row>
    <row r="153" spans="1:28" ht="28.5" customHeight="1">
      <c r="B153" s="34"/>
      <c r="F153" s="115">
        <f>+(disponibilidad[[#This Row],[Fecha y hora fin]]-disponibilidad[[#This Row],[Fecha y hora inicio]])*1440</f>
        <v>0</v>
      </c>
      <c r="L153" s="197"/>
      <c r="M153" s="197"/>
      <c r="N153" s="197"/>
      <c r="O153" s="197"/>
      <c r="P153" s="197"/>
      <c r="Q153" s="197"/>
      <c r="R153" s="197"/>
      <c r="S153" s="197"/>
      <c r="AA153" s="34"/>
      <c r="AB153" s="34"/>
    </row>
    <row r="154" spans="1:28" ht="28.5" customHeight="1">
      <c r="B154" s="34"/>
      <c r="F154" s="115">
        <f>+(disponibilidad[[#This Row],[Fecha y hora fin]]-disponibilidad[[#This Row],[Fecha y hora inicio]])*1440</f>
        <v>0</v>
      </c>
      <c r="M154" s="197"/>
      <c r="N154" s="197"/>
      <c r="O154" s="197"/>
      <c r="P154" s="197"/>
      <c r="Q154" s="197"/>
      <c r="R154" s="197"/>
      <c r="S154" s="197"/>
      <c r="AA154" s="34"/>
      <c r="AB154" s="34"/>
    </row>
    <row r="155" spans="1:28" ht="28.5" customHeight="1">
      <c r="B155" s="34"/>
      <c r="F155" s="115">
        <f>+(disponibilidad[[#This Row],[Fecha y hora fin]]-disponibilidad[[#This Row],[Fecha y hora inicio]])*1440</f>
        <v>0</v>
      </c>
      <c r="M155" s="197"/>
      <c r="N155" s="197"/>
      <c r="O155" s="197"/>
      <c r="P155" s="197"/>
      <c r="Q155" s="197"/>
      <c r="R155" s="197"/>
      <c r="S155" s="197"/>
      <c r="T155" s="197"/>
      <c r="U155" s="197"/>
      <c r="V155" s="197"/>
      <c r="W155" s="197"/>
      <c r="Z155" s="241"/>
      <c r="AA155" s="170"/>
      <c r="AB155" s="34"/>
    </row>
    <row r="156" spans="1:28" ht="28.5" customHeight="1">
      <c r="B156" s="34"/>
      <c r="F156" s="115">
        <f>+(disponibilidad[[#This Row],[Fecha y hora fin]]-disponibilidad[[#This Row],[Fecha y hora inicio]])*1440</f>
        <v>0</v>
      </c>
      <c r="M156" s="197"/>
      <c r="N156" s="197"/>
      <c r="O156" s="197"/>
      <c r="P156" s="197"/>
      <c r="Q156" s="197"/>
      <c r="R156" s="197"/>
      <c r="S156" s="197"/>
      <c r="T156" s="197"/>
      <c r="U156" s="197"/>
      <c r="V156" s="197"/>
      <c r="W156" s="197"/>
      <c r="Z156" s="241"/>
      <c r="AA156" s="170"/>
      <c r="AB156" s="34"/>
    </row>
    <row r="157" spans="1:28" ht="28.5" customHeight="1">
      <c r="B157" s="34"/>
      <c r="F157" s="115">
        <f>+(disponibilidad[[#This Row],[Fecha y hora fin]]-disponibilidad[[#This Row],[Fecha y hora inicio]])*1440</f>
        <v>0</v>
      </c>
      <c r="M157" s="197"/>
      <c r="N157" s="197"/>
      <c r="O157" s="197"/>
      <c r="P157" s="197"/>
      <c r="Q157" s="197"/>
      <c r="R157" s="197"/>
      <c r="S157" s="197"/>
      <c r="T157" s="197"/>
      <c r="U157" s="197"/>
      <c r="V157" s="197"/>
      <c r="W157" s="197"/>
      <c r="AA157" s="170"/>
      <c r="AB157" s="34"/>
    </row>
    <row r="158" spans="1:28" ht="28.5" customHeight="1">
      <c r="A158" s="300"/>
      <c r="B158" s="300"/>
      <c r="C158" s="300"/>
      <c r="D158" s="301"/>
      <c r="E158" s="301"/>
      <c r="F158" s="115">
        <f>+(disponibilidad[[#This Row],[Fecha y hora fin]]-disponibilidad[[#This Row],[Fecha y hora inicio]])*1440</f>
        <v>0</v>
      </c>
      <c r="G158" s="300"/>
      <c r="M158" s="197"/>
      <c r="N158" s="197"/>
      <c r="O158" s="197"/>
      <c r="P158" s="197"/>
      <c r="Q158" s="197"/>
      <c r="R158" s="197"/>
      <c r="S158" s="197"/>
      <c r="T158" s="197"/>
      <c r="U158" s="197"/>
      <c r="V158" s="197"/>
      <c r="W158" s="197"/>
      <c r="AA158" s="170"/>
      <c r="AB158" s="34"/>
    </row>
    <row r="159" spans="1:28" ht="28.5" customHeight="1">
      <c r="D159" s="292"/>
      <c r="E159" s="292"/>
      <c r="F159" s="115">
        <f>+(disponibilidad[[#This Row],[Fecha y hora fin]]-disponibilidad[[#This Row],[Fecha y hora inicio]])*1440</f>
        <v>0</v>
      </c>
      <c r="M159" s="197"/>
      <c r="N159" s="197"/>
      <c r="O159" s="197"/>
      <c r="P159" s="197"/>
      <c r="Q159" s="197"/>
      <c r="R159" s="197"/>
      <c r="S159" s="197"/>
      <c r="T159" s="197"/>
      <c r="U159" s="197"/>
      <c r="V159" s="197"/>
      <c r="W159" s="197"/>
      <c r="AA159" s="170"/>
      <c r="AB159" s="34"/>
    </row>
    <row r="160" spans="1:28" ht="28.5" customHeight="1">
      <c r="B160" s="34"/>
      <c r="F160" s="115">
        <f>+(disponibilidad[[#This Row],[Fecha y hora fin]]-disponibilidad[[#This Row],[Fecha y hora inicio]])*1440</f>
        <v>0</v>
      </c>
      <c r="M160" s="197"/>
      <c r="N160" s="197"/>
      <c r="O160" s="197"/>
      <c r="P160" s="197"/>
      <c r="Q160" s="197"/>
      <c r="R160" s="197"/>
      <c r="S160" s="197"/>
      <c r="T160" s="197"/>
      <c r="U160" s="197"/>
      <c r="V160" s="197"/>
      <c r="W160" s="197"/>
      <c r="AA160" s="170"/>
      <c r="AB160" s="34"/>
    </row>
    <row r="161" spans="2:28" ht="28.5" customHeight="1">
      <c r="B161" s="34"/>
      <c r="F161" s="115">
        <f>+(disponibilidad[[#This Row],[Fecha y hora fin]]-disponibilidad[[#This Row],[Fecha y hora inicio]])*1440</f>
        <v>0</v>
      </c>
      <c r="M161" s="197"/>
      <c r="N161" s="197"/>
      <c r="O161" s="197"/>
      <c r="P161" s="197"/>
      <c r="Q161" s="197"/>
      <c r="R161" s="197"/>
      <c r="S161" s="197"/>
      <c r="T161" s="197"/>
      <c r="U161" s="197"/>
      <c r="V161" s="197"/>
      <c r="W161" s="197"/>
      <c r="AA161" s="170"/>
      <c r="AB161" s="34"/>
    </row>
    <row r="162" spans="2:28" ht="28.5" customHeight="1">
      <c r="B162" s="34"/>
      <c r="F162" s="115">
        <f>+(disponibilidad[[#This Row],[Fecha y hora fin]]-disponibilidad[[#This Row],[Fecha y hora inicio]])*1440</f>
        <v>0</v>
      </c>
      <c r="M162" s="197"/>
      <c r="N162" s="197"/>
      <c r="O162" s="197"/>
      <c r="P162" s="197"/>
      <c r="Q162" s="197"/>
      <c r="R162" s="197"/>
      <c r="S162" s="197"/>
      <c r="T162" s="197"/>
      <c r="U162" s="197"/>
      <c r="V162" s="197"/>
      <c r="W162" s="197"/>
      <c r="AA162" s="170"/>
      <c r="AB162" s="34"/>
    </row>
    <row r="163" spans="2:28" ht="28.5" customHeight="1">
      <c r="B163" s="34"/>
      <c r="F163" s="115">
        <f>+(disponibilidad[[#This Row],[Fecha y hora fin]]-disponibilidad[[#This Row],[Fecha y hora inicio]])*1440</f>
        <v>0</v>
      </c>
      <c r="M163" s="197"/>
      <c r="N163" s="197"/>
      <c r="O163" s="197"/>
      <c r="P163" s="197"/>
      <c r="Q163" s="197"/>
      <c r="R163" s="197"/>
      <c r="S163" s="197"/>
      <c r="T163" s="197"/>
      <c r="U163" s="197"/>
      <c r="V163" s="197"/>
      <c r="W163" s="197"/>
      <c r="AA163" s="170"/>
      <c r="AB163" s="34"/>
    </row>
    <row r="164" spans="2:28" ht="28.5" customHeight="1">
      <c r="F164" s="115">
        <f>+(disponibilidad[[#This Row],[Fecha y hora fin]]-disponibilidad[[#This Row],[Fecha y hora inicio]])*1440</f>
        <v>0</v>
      </c>
      <c r="AA164" s="34"/>
      <c r="AB164" s="34"/>
    </row>
    <row r="165" spans="2:28" ht="28.5" customHeight="1">
      <c r="B165" s="34"/>
      <c r="F165" s="115">
        <f>+(disponibilidad[[#This Row],[Fecha y hora fin]]-disponibilidad[[#This Row],[Fecha y hora inicio]])*1440</f>
        <v>0</v>
      </c>
      <c r="M165" s="197"/>
      <c r="N165" s="197"/>
      <c r="O165" s="197"/>
      <c r="P165" s="197"/>
      <c r="Q165" s="197"/>
      <c r="R165" s="197"/>
      <c r="S165" s="197"/>
      <c r="T165" s="197"/>
      <c r="U165" s="197"/>
      <c r="V165" s="197"/>
      <c r="W165" s="197"/>
      <c r="AA165" s="34"/>
      <c r="AB165" s="34"/>
    </row>
    <row r="166" spans="2:28" ht="28.5" customHeight="1">
      <c r="B166" s="34"/>
      <c r="F166" s="115">
        <f>+(disponibilidad[[#This Row],[Fecha y hora fin]]-disponibilidad[[#This Row],[Fecha y hora inicio]])*1440</f>
        <v>0</v>
      </c>
      <c r="M166" s="197"/>
      <c r="N166" s="197"/>
      <c r="O166" s="197"/>
      <c r="P166" s="197"/>
      <c r="Q166" s="197"/>
      <c r="R166" s="197"/>
      <c r="S166" s="197"/>
      <c r="T166" s="197"/>
      <c r="U166" s="197"/>
      <c r="V166" s="197"/>
      <c r="W166" s="197"/>
      <c r="AA166" s="34"/>
      <c r="AB166" s="34"/>
    </row>
    <row r="167" spans="2:28" ht="28.5" customHeight="1">
      <c r="F167" s="115">
        <f>+(disponibilidad[[#This Row],[Fecha y hora fin]]-disponibilidad[[#This Row],[Fecha y hora inicio]])*1440</f>
        <v>0</v>
      </c>
      <c r="AA167" s="34"/>
      <c r="AB167" s="34"/>
    </row>
    <row r="168" spans="2:28" ht="28.5" customHeight="1">
      <c r="F168" s="115">
        <f>+(disponibilidad[[#This Row],[Fecha y hora fin]]-disponibilidad[[#This Row],[Fecha y hora inicio]])*1440</f>
        <v>0</v>
      </c>
      <c r="AA168" s="34"/>
      <c r="AB168" s="34"/>
    </row>
    <row r="169" spans="2:28" ht="28.5" customHeight="1">
      <c r="F169" s="115">
        <f>+(disponibilidad[[#This Row],[Fecha y hora fin]]-disponibilidad[[#This Row],[Fecha y hora inicio]])*1440</f>
        <v>0</v>
      </c>
      <c r="AA169" s="34"/>
      <c r="AB169" s="34"/>
    </row>
    <row r="170" spans="2:28" ht="28.5" customHeight="1">
      <c r="F170" s="115">
        <f>+(disponibilidad[[#This Row],[Fecha y hora fin]]-disponibilidad[[#This Row],[Fecha y hora inicio]])*1440</f>
        <v>0</v>
      </c>
      <c r="AA170" s="34"/>
      <c r="AB170" s="34"/>
    </row>
    <row r="171" spans="2:28" ht="28.5" customHeight="1">
      <c r="F171" s="115">
        <f>+(disponibilidad[[#This Row],[Fecha y hora fin]]-disponibilidad[[#This Row],[Fecha y hora inicio]])*1440</f>
        <v>0</v>
      </c>
      <c r="AA171" s="170"/>
      <c r="AB171" s="34"/>
    </row>
    <row r="172" spans="2:28" ht="28.5" customHeight="1">
      <c r="F172" s="115">
        <f>+(disponibilidad[[#This Row],[Fecha y hora fin]]-disponibilidad[[#This Row],[Fecha y hora inicio]])*1440</f>
        <v>0</v>
      </c>
      <c r="AA172" s="170"/>
      <c r="AB172" s="34"/>
    </row>
    <row r="173" spans="2:28" ht="28.5" customHeight="1">
      <c r="F173" s="115">
        <f>+(disponibilidad[[#This Row],[Fecha y hora fin]]-disponibilidad[[#This Row],[Fecha y hora inicio]])*1440</f>
        <v>0</v>
      </c>
      <c r="AA173" s="170"/>
      <c r="AB173" s="34"/>
    </row>
    <row r="174" spans="2:28" ht="28.5" customHeight="1">
      <c r="B174" s="34"/>
      <c r="F174" s="115">
        <f>+(disponibilidad[[#This Row],[Fecha y hora fin]]-disponibilidad[[#This Row],[Fecha y hora inicio]])*1440</f>
        <v>0</v>
      </c>
      <c r="AA174" s="170"/>
      <c r="AB174" s="34"/>
    </row>
    <row r="175" spans="2:28" ht="28.5" customHeight="1">
      <c r="F175" s="115">
        <f>+(disponibilidad[[#This Row],[Fecha y hora fin]]-disponibilidad[[#This Row],[Fecha y hora inicio]])*1440</f>
        <v>0</v>
      </c>
      <c r="AA175" s="34"/>
      <c r="AB175" s="34"/>
    </row>
    <row r="176" spans="2:28" ht="28.5" customHeight="1">
      <c r="B176" s="34"/>
      <c r="F176" s="115">
        <f>+(disponibilidad[[#This Row],[Fecha y hora fin]]-disponibilidad[[#This Row],[Fecha y hora inicio]])*1440</f>
        <v>0</v>
      </c>
      <c r="Z176" s="241"/>
      <c r="AA176" s="170"/>
      <c r="AB176" s="34"/>
    </row>
    <row r="177" spans="2:28" ht="28.5" customHeight="1">
      <c r="B177" s="34"/>
      <c r="F177" s="115">
        <f>+(disponibilidad[[#This Row],[Fecha y hora fin]]-disponibilidad[[#This Row],[Fecha y hora inicio]])*1440</f>
        <v>0</v>
      </c>
      <c r="M177" s="197"/>
      <c r="N177" s="197"/>
      <c r="O177" s="197"/>
      <c r="P177" s="197"/>
      <c r="Q177" s="197"/>
      <c r="R177" s="197"/>
      <c r="S177" s="197"/>
      <c r="T177" s="197"/>
      <c r="U177" s="197"/>
      <c r="V177" s="197"/>
      <c r="W177" s="197"/>
      <c r="AA177" s="34"/>
      <c r="AB177" s="34"/>
    </row>
    <row r="178" spans="2:28" ht="42.75" customHeight="1">
      <c r="F178" s="115">
        <f>+(disponibilidad[[#This Row],[Fecha y hora fin]]-disponibilidad[[#This Row],[Fecha y hora inicio]])*1440</f>
        <v>0</v>
      </c>
      <c r="AA178" s="34"/>
      <c r="AB178" s="34"/>
    </row>
    <row r="179" spans="2:28" ht="42.75" customHeight="1">
      <c r="B179" s="34"/>
      <c r="F179" s="115">
        <f>+(disponibilidad[[#This Row],[Fecha y hora fin]]-disponibilidad[[#This Row],[Fecha y hora inicio]])*1440</f>
        <v>0</v>
      </c>
      <c r="M179" s="197"/>
      <c r="N179" s="197"/>
      <c r="O179" s="197"/>
      <c r="P179" s="197"/>
      <c r="Q179" s="197"/>
      <c r="R179" s="197"/>
      <c r="S179" s="197"/>
      <c r="T179" s="197"/>
      <c r="U179" s="197"/>
      <c r="V179" s="197"/>
      <c r="W179" s="197"/>
      <c r="Z179"/>
      <c r="AA179" s="293"/>
      <c r="AB179" s="34"/>
    </row>
    <row r="180" spans="2:28" ht="42.75" customHeight="1">
      <c r="B180" s="34"/>
      <c r="F180" s="115">
        <f>+(disponibilidad[[#This Row],[Fecha y hora fin]]-disponibilidad[[#This Row],[Fecha y hora inicio]])*1440</f>
        <v>0</v>
      </c>
      <c r="M180" s="197"/>
      <c r="N180" s="197"/>
      <c r="O180" s="197"/>
      <c r="P180" s="197"/>
      <c r="Q180" s="197"/>
      <c r="R180" s="197"/>
      <c r="S180" s="197"/>
      <c r="T180" s="197"/>
      <c r="U180" s="197"/>
      <c r="V180" s="197"/>
      <c r="W180" s="197"/>
      <c r="Z180"/>
      <c r="AA180" s="293"/>
      <c r="AB180" s="34"/>
    </row>
    <row r="181" spans="2:28" ht="42.75" customHeight="1">
      <c r="F181" s="115">
        <f>+(disponibilidad[[#This Row],[Fecha y hora fin]]-disponibilidad[[#This Row],[Fecha y hora inicio]])*1440</f>
        <v>0</v>
      </c>
      <c r="AA181" s="34"/>
      <c r="AB181" s="34"/>
    </row>
    <row r="182" spans="2:28" ht="42.75" customHeight="1">
      <c r="B182" s="34"/>
      <c r="F182" s="115">
        <f>+(disponibilidad[[#This Row],[Fecha y hora fin]]-disponibilidad[[#This Row],[Fecha y hora inicio]])*1440</f>
        <v>0</v>
      </c>
      <c r="M182" s="197"/>
      <c r="N182" s="197"/>
      <c r="O182" s="197"/>
      <c r="P182" s="197"/>
      <c r="Q182" s="197"/>
      <c r="R182" s="197"/>
      <c r="S182" s="197"/>
      <c r="T182" s="197"/>
      <c r="U182" s="197"/>
      <c r="V182" s="197"/>
      <c r="W182" s="197"/>
      <c r="Z182"/>
      <c r="AA182" s="293"/>
      <c r="AB182" s="34"/>
    </row>
    <row r="183" spans="2:28" ht="42.75" customHeight="1">
      <c r="F183" s="115">
        <f>+(disponibilidad[[#This Row],[Fecha y hora fin]]-disponibilidad[[#This Row],[Fecha y hora inicio]])*1440</f>
        <v>0</v>
      </c>
      <c r="AA183" s="34"/>
      <c r="AB183" s="34"/>
    </row>
    <row r="184" spans="2:28" ht="42.75" customHeight="1">
      <c r="F184" s="115">
        <f>+(disponibilidad[[#This Row],[Fecha y hora fin]]-disponibilidad[[#This Row],[Fecha y hora inicio]])*1440</f>
        <v>0</v>
      </c>
      <c r="AA184" s="34"/>
      <c r="AB184" s="34"/>
    </row>
    <row r="185" spans="2:28" ht="42.75" customHeight="1">
      <c r="B185" s="34"/>
      <c r="F185" s="115">
        <f>+(disponibilidad[[#This Row],[Fecha y hora fin]]-disponibilidad[[#This Row],[Fecha y hora inicio]])*1440</f>
        <v>0</v>
      </c>
      <c r="AA185" s="170"/>
      <c r="AB185" s="34"/>
    </row>
    <row r="186" spans="2:28" ht="42.75" customHeight="1">
      <c r="B186" s="34"/>
      <c r="F186" s="115">
        <f>+(disponibilidad[[#This Row],[Fecha y hora fin]]-disponibilidad[[#This Row],[Fecha y hora inicio]])*1440</f>
        <v>0</v>
      </c>
      <c r="AA186" s="170"/>
      <c r="AB186" s="34"/>
    </row>
    <row r="187" spans="2:28" ht="42.75" customHeight="1">
      <c r="F187" s="115">
        <f>+(disponibilidad[[#This Row],[Fecha y hora fin]]-disponibilidad[[#This Row],[Fecha y hora inicio]])*1440</f>
        <v>0</v>
      </c>
      <c r="AA187" s="170"/>
      <c r="AB187" s="34"/>
    </row>
    <row r="188" spans="2:28" ht="42.75" customHeight="1">
      <c r="B188" s="34"/>
      <c r="F188" s="115">
        <f>+(disponibilidad[[#This Row],[Fecha y hora fin]]-disponibilidad[[#This Row],[Fecha y hora inicio]])*1440</f>
        <v>0</v>
      </c>
      <c r="Z188" s="294"/>
      <c r="AA188" s="294"/>
      <c r="AB188" s="34"/>
    </row>
    <row r="189" spans="2:28" ht="42.75" customHeight="1">
      <c r="B189" s="34"/>
      <c r="F189" s="115">
        <f>+(disponibilidad[[#This Row],[Fecha y hora fin]]-disponibilidad[[#This Row],[Fecha y hora inicio]])*1440</f>
        <v>0</v>
      </c>
      <c r="AA189" s="170"/>
      <c r="AB189" s="34"/>
    </row>
    <row r="190" spans="2:28" ht="42.75" customHeight="1">
      <c r="B190" s="34"/>
      <c r="D190" s="171"/>
      <c r="E190" s="171"/>
      <c r="F190" s="115">
        <f>+(disponibilidad[[#This Row],[Fecha y hora fin]]-disponibilidad[[#This Row],[Fecha y hora inicio]])*1440</f>
        <v>0</v>
      </c>
      <c r="H190" s="197"/>
      <c r="I190" s="197"/>
      <c r="J190" s="197"/>
      <c r="K190" s="197"/>
      <c r="M190" s="197"/>
      <c r="N190" s="197"/>
      <c r="O190" s="197"/>
      <c r="P190" s="197"/>
      <c r="Q190" s="197"/>
      <c r="R190" s="197"/>
      <c r="S190" s="197"/>
      <c r="T190" s="197"/>
      <c r="U190" s="197"/>
      <c r="V190" s="197"/>
      <c r="W190" s="197"/>
      <c r="X190" s="240"/>
      <c r="Y190" s="241"/>
      <c r="Z190" s="241"/>
      <c r="AA190" s="170"/>
      <c r="AB190" s="34"/>
    </row>
    <row r="191" spans="2:28" ht="42.75" customHeight="1">
      <c r="B191" s="34"/>
      <c r="F191" s="115">
        <f>+(disponibilidad[[#This Row],[Fecha y hora fin]]-disponibilidad[[#This Row],[Fecha y hora inicio]])*1440</f>
        <v>0</v>
      </c>
      <c r="AA191" s="170"/>
      <c r="AB191" s="34"/>
    </row>
    <row r="192" spans="2:28" ht="42.75" customHeight="1">
      <c r="B192" s="34"/>
      <c r="F192" s="115">
        <f>+(disponibilidad[[#This Row],[Fecha y hora fin]]-disponibilidad[[#This Row],[Fecha y hora inicio]])*1440</f>
        <v>0</v>
      </c>
      <c r="AA192" s="170"/>
      <c r="AB192" s="34"/>
    </row>
    <row r="193" spans="2:28" ht="42.75" customHeight="1">
      <c r="F193" s="115">
        <f>+(disponibilidad[[#This Row],[Fecha y hora fin]]-disponibilidad[[#This Row],[Fecha y hora inicio]])*1440</f>
        <v>0</v>
      </c>
      <c r="AA193" s="34"/>
      <c r="AB193" s="34"/>
    </row>
    <row r="194" spans="2:28" ht="42.75" customHeight="1">
      <c r="B194" s="34"/>
      <c r="F194" s="115">
        <f>+(disponibilidad[[#This Row],[Fecha y hora fin]]-disponibilidad[[#This Row],[Fecha y hora inicio]])*1440</f>
        <v>0</v>
      </c>
      <c r="AA194" s="170"/>
      <c r="AB194" s="34"/>
    </row>
    <row r="195" spans="2:28" ht="42.75" customHeight="1">
      <c r="B195" s="34"/>
      <c r="F195" s="115">
        <f>+(disponibilidad[[#This Row],[Fecha y hora fin]]-disponibilidad[[#This Row],[Fecha y hora inicio]])*1440</f>
        <v>0</v>
      </c>
      <c r="AA195" s="34"/>
      <c r="AB195" s="34"/>
    </row>
    <row r="196" spans="2:28" ht="42.75" customHeight="1">
      <c r="B196" s="34"/>
      <c r="F196" s="115">
        <f>+(disponibilidad[[#This Row],[Fecha y hora fin]]-disponibilidad[[#This Row],[Fecha y hora inicio]])*1440</f>
        <v>0</v>
      </c>
      <c r="AA196" s="34"/>
      <c r="AB196" s="34"/>
    </row>
    <row r="197" spans="2:28" ht="42.75" customHeight="1">
      <c r="B197" s="34"/>
      <c r="F197" s="115">
        <f>+(disponibilidad[[#This Row],[Fecha y hora fin]]-disponibilidad[[#This Row],[Fecha y hora inicio]])*1440</f>
        <v>0</v>
      </c>
      <c r="AA197" s="170"/>
      <c r="AB197" s="34"/>
    </row>
    <row r="198" spans="2:28" ht="42.75" customHeight="1">
      <c r="B198" s="34"/>
      <c r="F198" s="115">
        <f>+(disponibilidad[[#This Row],[Fecha y hora fin]]-disponibilidad[[#This Row],[Fecha y hora inicio]])*1440</f>
        <v>0</v>
      </c>
      <c r="AA198" s="34"/>
      <c r="AB198" s="34"/>
    </row>
    <row r="199" spans="2:28" ht="42.75" customHeight="1">
      <c r="B199" s="34"/>
      <c r="F199" s="115">
        <f>+(disponibilidad[[#This Row],[Fecha y hora fin]]-disponibilidad[[#This Row],[Fecha y hora inicio]])*1440</f>
        <v>0</v>
      </c>
      <c r="AA199" s="34"/>
      <c r="AB199" s="34"/>
    </row>
    <row r="200" spans="2:28" ht="42.75" customHeight="1">
      <c r="F200" s="115">
        <f>+(disponibilidad[[#This Row],[Fecha y hora fin]]-disponibilidad[[#This Row],[Fecha y hora inicio]])*1440</f>
        <v>0</v>
      </c>
      <c r="AA200" s="34"/>
      <c r="AB200" s="34"/>
    </row>
    <row r="201" spans="2:28" ht="42.75" customHeight="1">
      <c r="B201" s="34"/>
      <c r="F201" s="115">
        <f>+(disponibilidad[[#This Row],[Fecha y hora fin]]-disponibilidad[[#This Row],[Fecha y hora inicio]])*1440</f>
        <v>0</v>
      </c>
      <c r="AA201" s="34"/>
      <c r="AB201" s="34"/>
    </row>
    <row r="202" spans="2:28" ht="42.75" customHeight="1">
      <c r="B202" s="34"/>
      <c r="F202" s="115">
        <f>+(disponibilidad[[#This Row],[Fecha y hora fin]]-disponibilidad[[#This Row],[Fecha y hora inicio]])*1440</f>
        <v>0</v>
      </c>
      <c r="AA202" s="34"/>
      <c r="AB202" s="34"/>
    </row>
    <row r="203" spans="2:28" ht="42.75" customHeight="1">
      <c r="B203" s="34"/>
      <c r="F203" s="115">
        <f>+(disponibilidad[[#This Row],[Fecha y hora fin]]-disponibilidad[[#This Row],[Fecha y hora inicio]])*1440</f>
        <v>0</v>
      </c>
      <c r="AA203" s="34"/>
      <c r="AB203" s="34"/>
    </row>
    <row r="204" spans="2:28" ht="42.75" customHeight="1">
      <c r="B204" s="34"/>
      <c r="F204" s="115">
        <f>+(disponibilidad[[#This Row],[Fecha y hora fin]]-disponibilidad[[#This Row],[Fecha y hora inicio]])*1440</f>
        <v>0</v>
      </c>
      <c r="AA204" s="34"/>
      <c r="AB204" s="34"/>
    </row>
    <row r="205" spans="2:28" ht="42.75" customHeight="1">
      <c r="B205" s="34"/>
      <c r="F205" s="115">
        <f>+(disponibilidad[[#This Row],[Fecha y hora fin]]-disponibilidad[[#This Row],[Fecha y hora inicio]])*1440</f>
        <v>0</v>
      </c>
      <c r="AA205" s="34"/>
      <c r="AB205" s="34"/>
    </row>
    <row r="206" spans="2:28" ht="42.75" customHeight="1">
      <c r="B206" s="34"/>
      <c r="F206" s="115">
        <f>+(disponibilidad[[#This Row],[Fecha y hora fin]]-disponibilidad[[#This Row],[Fecha y hora inicio]])*1440</f>
        <v>0</v>
      </c>
      <c r="AA206" s="34"/>
      <c r="AB206" s="34"/>
    </row>
    <row r="207" spans="2:28" ht="42.75" customHeight="1">
      <c r="B207" s="34"/>
      <c r="F207" s="115">
        <f>+(disponibilidad[[#This Row],[Fecha y hora fin]]-disponibilidad[[#This Row],[Fecha y hora inicio]])*1440</f>
        <v>0</v>
      </c>
      <c r="AA207" s="34"/>
      <c r="AB207" s="303"/>
    </row>
    <row r="208" spans="2:28" ht="42.75" customHeight="1">
      <c r="B208" s="34"/>
      <c r="F208" s="115">
        <f>+(disponibilidad[[#This Row],[Fecha y hora fin]]-disponibilidad[[#This Row],[Fecha y hora inicio]])*1440</f>
        <v>0</v>
      </c>
      <c r="AA208" s="34"/>
      <c r="AB208" s="303"/>
    </row>
    <row r="209" spans="2:28" ht="42.75" customHeight="1">
      <c r="B209" s="34"/>
      <c r="F209" s="115">
        <f>+(disponibilidad[[#This Row],[Fecha y hora fin]]-disponibilidad[[#This Row],[Fecha y hora inicio]])*1440</f>
        <v>0</v>
      </c>
      <c r="AA209" s="34"/>
      <c r="AB209" s="303"/>
    </row>
    <row r="210" spans="2:28" ht="42.75" customHeight="1">
      <c r="B210" s="34"/>
      <c r="F210" s="115">
        <f>+(disponibilidad[[#This Row],[Fecha y hora fin]]-disponibilidad[[#This Row],[Fecha y hora inicio]])*1440</f>
        <v>0</v>
      </c>
      <c r="AA210" s="34"/>
      <c r="AB210" s="303"/>
    </row>
    <row r="211" spans="2:28" ht="42.75" customHeight="1">
      <c r="B211" s="34"/>
      <c r="F211" s="115">
        <f>+(disponibilidad[[#This Row],[Fecha y hora fin]]-disponibilidad[[#This Row],[Fecha y hora inicio]])*1440</f>
        <v>0</v>
      </c>
      <c r="AA211" s="34"/>
      <c r="AB211" s="303"/>
    </row>
    <row r="212" spans="2:28" ht="42.75" customHeight="1">
      <c r="B212" s="34"/>
      <c r="F212" s="115">
        <f>+(disponibilidad[[#This Row],[Fecha y hora fin]]-disponibilidad[[#This Row],[Fecha y hora inicio]])*1440</f>
        <v>0</v>
      </c>
      <c r="AA212" s="34"/>
      <c r="AB212" s="34"/>
    </row>
    <row r="213" spans="2:28" ht="42.75" customHeight="1">
      <c r="B213" s="34"/>
      <c r="F213" s="115">
        <f>+(disponibilidad[[#This Row],[Fecha y hora fin]]-disponibilidad[[#This Row],[Fecha y hora inicio]])*1440</f>
        <v>0</v>
      </c>
      <c r="AA213" s="34"/>
      <c r="AB213" s="303"/>
    </row>
    <row r="214" spans="2:28" ht="42.75" customHeight="1">
      <c r="B214" s="34"/>
      <c r="F214" s="115">
        <f>+(disponibilidad[[#This Row],[Fecha y hora fin]]-disponibilidad[[#This Row],[Fecha y hora inicio]])*1440</f>
        <v>0</v>
      </c>
      <c r="AA214" s="34"/>
      <c r="AB214" s="34"/>
    </row>
    <row r="215" spans="2:28" ht="42.75" customHeight="1">
      <c r="B215" s="34"/>
      <c r="F215" s="115">
        <f>+(disponibilidad[[#This Row],[Fecha y hora fin]]-disponibilidad[[#This Row],[Fecha y hora inicio]])*1440</f>
        <v>0</v>
      </c>
      <c r="AA215" s="34"/>
      <c r="AB215" s="34"/>
    </row>
    <row r="216" spans="2:28" ht="42.75" customHeight="1">
      <c r="B216" s="34"/>
      <c r="F216" s="115">
        <f>+(disponibilidad[[#This Row],[Fecha y hora fin]]-disponibilidad[[#This Row],[Fecha y hora inicio]])*1440</f>
        <v>0</v>
      </c>
      <c r="AA216" s="34"/>
      <c r="AB216" s="303"/>
    </row>
    <row r="217" spans="2:28" ht="42.75" customHeight="1">
      <c r="B217" s="34"/>
      <c r="F217" s="115">
        <f>+(disponibilidad[[#This Row],[Fecha y hora fin]]-disponibilidad[[#This Row],[Fecha y hora inicio]])*1440</f>
        <v>0</v>
      </c>
      <c r="AA217" s="34"/>
      <c r="AB217" s="303"/>
    </row>
    <row r="218" spans="2:28" ht="42.75" customHeight="1">
      <c r="B218" s="34"/>
      <c r="F218" s="115">
        <f>+(disponibilidad[[#This Row],[Fecha y hora fin]]-disponibilidad[[#This Row],[Fecha y hora inicio]])*1440</f>
        <v>0</v>
      </c>
      <c r="AA218" s="35"/>
      <c r="AB218" s="303"/>
    </row>
    <row r="219" spans="2:28" ht="42.75" customHeight="1">
      <c r="B219" s="34"/>
      <c r="F219" s="115">
        <f>+(disponibilidad[[#This Row],[Fecha y hora fin]]-disponibilidad[[#This Row],[Fecha y hora inicio]])*1440</f>
        <v>0</v>
      </c>
      <c r="AA219" s="35"/>
      <c r="AB219" s="303"/>
    </row>
    <row r="220" spans="2:28" ht="42.75" customHeight="1">
      <c r="B220" s="34"/>
      <c r="F220" s="115">
        <f>+(disponibilidad[[#This Row],[Fecha y hora fin]]-disponibilidad[[#This Row],[Fecha y hora inicio]])*1440</f>
        <v>0</v>
      </c>
      <c r="AA220" s="34"/>
      <c r="AB220" s="303"/>
    </row>
    <row r="221" spans="2:28" ht="42.75" customHeight="1">
      <c r="B221" s="304"/>
      <c r="F221" s="115">
        <f>+(disponibilidad[[#This Row],[Fecha y hora fin]]-disponibilidad[[#This Row],[Fecha y hora inicio]])*1440</f>
        <v>0</v>
      </c>
      <c r="AA221" s="34"/>
      <c r="AB221" s="303"/>
    </row>
    <row r="222" spans="2:28" ht="42.75" customHeight="1">
      <c r="B222" s="304"/>
      <c r="F222" s="115">
        <f>+(disponibilidad[[#This Row],[Fecha y hora fin]]-disponibilidad[[#This Row],[Fecha y hora inicio]])*1440</f>
        <v>0</v>
      </c>
      <c r="AA222" s="34"/>
      <c r="AB222" s="303"/>
    </row>
    <row r="223" spans="2:28" ht="33.75" customHeight="1">
      <c r="B223" s="34"/>
      <c r="F223" s="115">
        <f>+(disponibilidad[[#This Row],[Fecha y hora fin]]-disponibilidad[[#This Row],[Fecha y hora inicio]])*1440</f>
        <v>0</v>
      </c>
      <c r="AA223" s="34"/>
      <c r="AB223" s="303"/>
    </row>
    <row r="224" spans="2:28" ht="42.75" customHeight="1">
      <c r="B224" s="34"/>
      <c r="F224" s="115">
        <f>+(disponibilidad[[#This Row],[Fecha y hora fin]]-disponibilidad[[#This Row],[Fecha y hora inicio]])*1440</f>
        <v>0</v>
      </c>
      <c r="AA224" s="34"/>
      <c r="AB224" s="303"/>
    </row>
    <row r="225" spans="2:28" ht="42.75" customHeight="1">
      <c r="B225" s="34"/>
      <c r="F225" s="115">
        <f>+(disponibilidad[[#This Row],[Fecha y hora fin]]-disponibilidad[[#This Row],[Fecha y hora inicio]])*1440</f>
        <v>0</v>
      </c>
      <c r="AA225" s="34"/>
      <c r="AB225" s="303"/>
    </row>
    <row r="226" spans="2:28" ht="42.75" customHeight="1">
      <c r="B226" s="34"/>
      <c r="F226" s="115">
        <f>+(disponibilidad[[#This Row],[Fecha y hora fin]]-disponibilidad[[#This Row],[Fecha y hora inicio]])*1440</f>
        <v>0</v>
      </c>
      <c r="AA226" s="34"/>
      <c r="AB226" s="303"/>
    </row>
    <row r="227" spans="2:28" ht="42.75" customHeight="1">
      <c r="B227" s="34"/>
      <c r="F227" s="115">
        <f>+(disponibilidad[[#This Row],[Fecha y hora fin]]-disponibilidad[[#This Row],[Fecha y hora inicio]])*1440</f>
        <v>0</v>
      </c>
      <c r="AA227" s="34"/>
      <c r="AB227" s="34"/>
    </row>
    <row r="228" spans="2:28" ht="42.75" customHeight="1">
      <c r="B228" s="34"/>
      <c r="F228" s="115">
        <f>+(disponibilidad[[#This Row],[Fecha y hora fin]]-disponibilidad[[#This Row],[Fecha y hora inicio]])*1440</f>
        <v>0</v>
      </c>
      <c r="AA228" s="34"/>
      <c r="AB228" s="34"/>
    </row>
    <row r="229" spans="2:28" ht="42.75" customHeight="1">
      <c r="B229" s="34"/>
      <c r="F229" s="115">
        <f>+(disponibilidad[[#This Row],[Fecha y hora fin]]-disponibilidad[[#This Row],[Fecha y hora inicio]])*1440</f>
        <v>0</v>
      </c>
      <c r="AA229" s="34"/>
      <c r="AB229" s="34"/>
    </row>
    <row r="230" spans="2:28" ht="42.75" customHeight="1">
      <c r="B230" s="34"/>
      <c r="F230" s="115">
        <f>+(disponibilidad[[#This Row],[Fecha y hora fin]]-disponibilidad[[#This Row],[Fecha y hora inicio]])*1440</f>
        <v>0</v>
      </c>
      <c r="AA230" s="34"/>
      <c r="AB230" s="34"/>
    </row>
    <row r="231" spans="2:28" ht="42.75" customHeight="1">
      <c r="B231" s="34"/>
      <c r="F231" s="115">
        <f>+(disponibilidad[[#This Row],[Fecha y hora fin]]-disponibilidad[[#This Row],[Fecha y hora inicio]])*1440</f>
        <v>0</v>
      </c>
      <c r="AA231" s="34"/>
      <c r="AB231" s="34"/>
    </row>
    <row r="232" spans="2:28" ht="42.75" customHeight="1">
      <c r="B232" s="34"/>
      <c r="D232" s="292"/>
      <c r="E232" s="292"/>
      <c r="F232" s="115">
        <f>+(disponibilidad[[#This Row],[Fecha y hora fin]]-disponibilidad[[#This Row],[Fecha y hora inicio]])*1440</f>
        <v>0</v>
      </c>
      <c r="AA232" s="34"/>
      <c r="AB232" s="34"/>
    </row>
    <row r="233" spans="2:28" ht="42.75" customHeight="1">
      <c r="B233" s="34"/>
      <c r="F233" s="115">
        <f>+(disponibilidad[[#This Row],[Fecha y hora fin]]-disponibilidad[[#This Row],[Fecha y hora inicio]])*1440</f>
        <v>0</v>
      </c>
      <c r="AA233" s="34"/>
      <c r="AB233" s="34"/>
    </row>
    <row r="234" spans="2:28" ht="42.75" customHeight="1">
      <c r="B234" s="34"/>
      <c r="F234" s="115">
        <f>+(disponibilidad[[#This Row],[Fecha y hora fin]]-disponibilidad[[#This Row],[Fecha y hora inicio]])*1440</f>
        <v>0</v>
      </c>
      <c r="AA234" s="34"/>
      <c r="AB234" s="34"/>
    </row>
    <row r="235" spans="2:28" ht="42.75" customHeight="1">
      <c r="B235" s="34"/>
      <c r="F235" s="115">
        <f>+(disponibilidad[[#This Row],[Fecha y hora fin]]-disponibilidad[[#This Row],[Fecha y hora inicio]])*1440</f>
        <v>0</v>
      </c>
      <c r="AA235" s="34"/>
      <c r="AB235" s="34"/>
    </row>
    <row r="236" spans="2:28" ht="42.75" customHeight="1">
      <c r="B236" s="34"/>
      <c r="F236" s="115">
        <f>+(disponibilidad[[#This Row],[Fecha y hora fin]]-disponibilidad[[#This Row],[Fecha y hora inicio]])*1440</f>
        <v>0</v>
      </c>
      <c r="AA236" s="34"/>
      <c r="AB236" s="34"/>
    </row>
    <row r="237" spans="2:28" ht="15">
      <c r="B237" s="34"/>
      <c r="F237" s="115">
        <f>+(disponibilidad[[#This Row],[Fecha y hora fin]]-disponibilidad[[#This Row],[Fecha y hora inicio]])*1440</f>
        <v>0</v>
      </c>
      <c r="AA237" s="34"/>
      <c r="AB237" s="34"/>
    </row>
    <row r="238" spans="2:28" ht="42.75" customHeight="1">
      <c r="B238" s="34"/>
      <c r="F238" s="115">
        <f>+(disponibilidad[[#This Row],[Fecha y hora fin]]-disponibilidad[[#This Row],[Fecha y hora inicio]])*1440</f>
        <v>0</v>
      </c>
      <c r="AA238" s="34"/>
      <c r="AB238" s="34"/>
    </row>
    <row r="239" spans="2:28" ht="42.75" customHeight="1">
      <c r="B239" s="34"/>
      <c r="D239" s="292"/>
      <c r="E239" s="292"/>
      <c r="F239" s="115">
        <f>+(disponibilidad[[#This Row],[Fecha y hora fin]]-disponibilidad[[#This Row],[Fecha y hora inicio]])*1440</f>
        <v>0</v>
      </c>
      <c r="AA239" s="34"/>
      <c r="AB239" s="34"/>
    </row>
    <row r="240" spans="2:28" ht="42.75" customHeight="1">
      <c r="B240" s="34"/>
      <c r="F240" s="115">
        <f>+(disponibilidad[[#This Row],[Fecha y hora fin]]-disponibilidad[[#This Row],[Fecha y hora inicio]])*1440</f>
        <v>0</v>
      </c>
      <c r="AA240" s="34"/>
      <c r="AB240" s="34"/>
    </row>
    <row r="241" spans="2:28" ht="42.75" customHeight="1">
      <c r="B241" s="34"/>
      <c r="F241" s="115">
        <f>+(disponibilidad[[#This Row],[Fecha y hora fin]]-disponibilidad[[#This Row],[Fecha y hora inicio]])*1440</f>
        <v>0</v>
      </c>
      <c r="AA241" s="34"/>
      <c r="AB241" s="34"/>
    </row>
    <row r="242" spans="2:28" ht="15">
      <c r="B242" s="34"/>
      <c r="F242" s="115">
        <f>+(disponibilidad[[#This Row],[Fecha y hora fin]]-disponibilidad[[#This Row],[Fecha y hora inicio]])*1440</f>
        <v>0</v>
      </c>
      <c r="AA242" s="34"/>
      <c r="AB242" s="34"/>
    </row>
    <row r="243" spans="2:28" ht="42.75" customHeight="1">
      <c r="B243" s="34"/>
      <c r="C243" s="34"/>
      <c r="F243" s="115">
        <f>+(disponibilidad[[#This Row],[Fecha y hora fin]]-disponibilidad[[#This Row],[Fecha y hora inicio]])*1440</f>
        <v>0</v>
      </c>
      <c r="AA243" s="34"/>
      <c r="AB243" s="34"/>
    </row>
    <row r="244" spans="2:28" ht="42.75" customHeight="1">
      <c r="B244" s="34"/>
      <c r="F244" s="115">
        <f>+(disponibilidad[[#This Row],[Fecha y hora fin]]-disponibilidad[[#This Row],[Fecha y hora inicio]])*1440</f>
        <v>0</v>
      </c>
      <c r="AA244" s="34"/>
      <c r="AB244" s="34"/>
    </row>
    <row r="245" spans="2:28" ht="42.75" customHeight="1">
      <c r="B245" s="34"/>
      <c r="D245" s="292"/>
      <c r="E245" s="292"/>
      <c r="F245" s="115">
        <f>+(disponibilidad[[#This Row],[Fecha y hora fin]]-disponibilidad[[#This Row],[Fecha y hora inicio]])*1440</f>
        <v>0</v>
      </c>
      <c r="AA245" s="34"/>
      <c r="AB245" s="34"/>
    </row>
    <row r="246" spans="2:28" ht="42.75" customHeight="1">
      <c r="B246" s="34"/>
      <c r="F246" s="115">
        <f>+(disponibilidad[[#This Row],[Fecha y hora fin]]-disponibilidad[[#This Row],[Fecha y hora inicio]])*1440</f>
        <v>0</v>
      </c>
      <c r="AA246" s="34"/>
      <c r="AB246" s="34"/>
    </row>
    <row r="247" spans="2:28" ht="42.75" customHeight="1">
      <c r="B247" s="34"/>
      <c r="F247" s="115">
        <f>+(disponibilidad[[#This Row],[Fecha y hora fin]]-disponibilidad[[#This Row],[Fecha y hora inicio]])*1440</f>
        <v>0</v>
      </c>
      <c r="AA247" s="34"/>
      <c r="AB247" s="34"/>
    </row>
    <row r="248" spans="2:28" ht="42.75" customHeight="1">
      <c r="B248" s="34"/>
      <c r="F248" s="115">
        <f>+(disponibilidad[[#This Row],[Fecha y hora fin]]-disponibilidad[[#This Row],[Fecha y hora inicio]])*1440</f>
        <v>0</v>
      </c>
      <c r="AA248" s="34"/>
      <c r="AB248" s="34"/>
    </row>
    <row r="249" spans="2:28" ht="42.75" customHeight="1">
      <c r="B249" s="34"/>
      <c r="D249" s="292"/>
      <c r="E249" s="292"/>
      <c r="F249" s="115">
        <f>+(disponibilidad[[#This Row],[Fecha y hora fin]]-disponibilidad[[#This Row],[Fecha y hora inicio]])*1440</f>
        <v>0</v>
      </c>
      <c r="AA249" s="34"/>
      <c r="AB249" s="34"/>
    </row>
    <row r="250" spans="2:28" ht="42.75" customHeight="1">
      <c r="B250" s="34"/>
      <c r="F250" s="115">
        <f>+(disponibilidad[[#This Row],[Fecha y hora fin]]-disponibilidad[[#This Row],[Fecha y hora inicio]])*1440</f>
        <v>0</v>
      </c>
      <c r="AA250" s="34"/>
      <c r="AB250" s="34"/>
    </row>
    <row r="251" spans="2:28" ht="42.75" customHeight="1">
      <c r="B251" s="34"/>
      <c r="F251" s="115">
        <f>+(disponibilidad[[#This Row],[Fecha y hora fin]]-disponibilidad[[#This Row],[Fecha y hora inicio]])*1440</f>
        <v>0</v>
      </c>
      <c r="AA251" s="34"/>
      <c r="AB251" s="34"/>
    </row>
    <row r="252" spans="2:28" ht="42.75" customHeight="1">
      <c r="B252" s="34"/>
      <c r="F252" s="115">
        <f>+(disponibilidad[[#This Row],[Fecha y hora fin]]-disponibilidad[[#This Row],[Fecha y hora inicio]])*1440</f>
        <v>0</v>
      </c>
      <c r="AA252" s="34"/>
      <c r="AB252" s="34"/>
    </row>
    <row r="253" spans="2:28" ht="42.75" customHeight="1">
      <c r="B253" s="34"/>
      <c r="F253" s="115">
        <f>+(disponibilidad[[#This Row],[Fecha y hora fin]]-disponibilidad[[#This Row],[Fecha y hora inicio]])*1440</f>
        <v>0</v>
      </c>
      <c r="AA253" s="34"/>
      <c r="AB253" s="34"/>
    </row>
    <row r="254" spans="2:28" ht="42.75" customHeight="1">
      <c r="B254" s="34"/>
      <c r="F254" s="115">
        <f>+(disponibilidad[[#This Row],[Fecha y hora fin]]-disponibilidad[[#This Row],[Fecha y hora inicio]])*1440</f>
        <v>0</v>
      </c>
      <c r="AA254" s="34"/>
      <c r="AB254" s="34"/>
    </row>
    <row r="255" spans="2:28" ht="42.75" customHeight="1">
      <c r="B255" s="34"/>
      <c r="D255" s="167"/>
      <c r="E255" s="167"/>
      <c r="F255" s="115">
        <f>+(disponibilidad[[#This Row],[Fecha y hora fin]]-disponibilidad[[#This Row],[Fecha y hora inicio]])*1440</f>
        <v>0</v>
      </c>
      <c r="AA255" s="34"/>
      <c r="AB255" s="34"/>
    </row>
    <row r="256" spans="2:28" ht="42.75" customHeight="1">
      <c r="B256" s="34"/>
      <c r="F256" s="115">
        <f>+(disponibilidad[[#This Row],[Fecha y hora fin]]-disponibilidad[[#This Row],[Fecha y hora inicio]])*1440</f>
        <v>0</v>
      </c>
      <c r="AA256" s="34"/>
      <c r="AB256" s="34"/>
    </row>
    <row r="257" spans="2:28" ht="42.75" customHeight="1">
      <c r="B257" s="34"/>
      <c r="F257" s="115">
        <f>+(disponibilidad[[#This Row],[Fecha y hora fin]]-disponibilidad[[#This Row],[Fecha y hora inicio]])*1440</f>
        <v>0</v>
      </c>
      <c r="AA257" s="34"/>
      <c r="AB257" s="34"/>
    </row>
    <row r="258" spans="2:28" ht="42.75" customHeight="1">
      <c r="B258" s="34"/>
      <c r="F258" s="115">
        <f>+(disponibilidad[[#This Row],[Fecha y hora fin]]-disponibilidad[[#This Row],[Fecha y hora inicio]])*1440</f>
        <v>0</v>
      </c>
      <c r="AA258" s="34"/>
      <c r="AB258" s="34"/>
    </row>
    <row r="259" spans="2:28" ht="42.75" customHeight="1">
      <c r="B259" s="34"/>
      <c r="F259" s="115">
        <f>+(disponibilidad[[#This Row],[Fecha y hora fin]]-disponibilidad[[#This Row],[Fecha y hora inicio]])*1440</f>
        <v>0</v>
      </c>
      <c r="AA259" s="34"/>
      <c r="AB259" s="34"/>
    </row>
    <row r="260" spans="2:28" ht="42.75" customHeight="1">
      <c r="B260" s="34"/>
      <c r="F260" s="115">
        <f>+(disponibilidad[[#This Row],[Fecha y hora fin]]-disponibilidad[[#This Row],[Fecha y hora inicio]])*1440</f>
        <v>0</v>
      </c>
      <c r="AA260" s="34"/>
      <c r="AB260" s="34"/>
    </row>
    <row r="261" spans="2:28" ht="42.75" customHeight="1">
      <c r="B261" s="34"/>
      <c r="F261" s="115">
        <f>+(disponibilidad[[#This Row],[Fecha y hora fin]]-disponibilidad[[#This Row],[Fecha y hora inicio]])*1440</f>
        <v>0</v>
      </c>
      <c r="AA261" s="34"/>
      <c r="AB261" s="34"/>
    </row>
    <row r="262" spans="2:28" ht="42.75" customHeight="1">
      <c r="B262" s="34"/>
      <c r="F262" s="115">
        <f>+(disponibilidad[[#This Row],[Fecha y hora fin]]-disponibilidad[[#This Row],[Fecha y hora inicio]])*1440</f>
        <v>0</v>
      </c>
      <c r="AA262" s="34"/>
      <c r="AB262" s="34"/>
    </row>
    <row r="263" spans="2:28" ht="42.75" customHeight="1">
      <c r="B263" s="34"/>
      <c r="F263" s="115">
        <f>+(disponibilidad[[#This Row],[Fecha y hora fin]]-disponibilidad[[#This Row],[Fecha y hora inicio]])*1440</f>
        <v>0</v>
      </c>
      <c r="AA263" s="34"/>
      <c r="AB263" s="34"/>
    </row>
    <row r="264" spans="2:28" ht="42.75" customHeight="1">
      <c r="B264" s="34"/>
      <c r="F264" s="115">
        <f>+(disponibilidad[[#This Row],[Fecha y hora fin]]-disponibilidad[[#This Row],[Fecha y hora inicio]])*1440</f>
        <v>0</v>
      </c>
      <c r="AA264" s="34"/>
      <c r="AB264" s="34"/>
    </row>
    <row r="265" spans="2:28" ht="42.75" customHeight="1">
      <c r="B265" s="34"/>
      <c r="D265" s="292"/>
      <c r="E265" s="292"/>
      <c r="F265" s="115">
        <f>+(disponibilidad[[#This Row],[Fecha y hora fin]]-disponibilidad[[#This Row],[Fecha y hora inicio]])*1440</f>
        <v>0</v>
      </c>
      <c r="AA265" s="34"/>
      <c r="AB265" s="34"/>
    </row>
    <row r="266" spans="2:28" ht="42.75" customHeight="1">
      <c r="B266" s="34"/>
      <c r="D266" s="292"/>
      <c r="E266" s="292"/>
      <c r="F266" s="115">
        <f>+(disponibilidad[[#This Row],[Fecha y hora fin]]-disponibilidad[[#This Row],[Fecha y hora inicio]])*1440</f>
        <v>0</v>
      </c>
      <c r="AA266" s="34"/>
      <c r="AB266" s="34"/>
    </row>
    <row r="267" spans="2:28" ht="42.75" customHeight="1">
      <c r="B267" s="34"/>
      <c r="D267" s="292"/>
      <c r="E267" s="292"/>
      <c r="F267" s="115">
        <f>+(disponibilidad[[#This Row],[Fecha y hora fin]]-disponibilidad[[#This Row],[Fecha y hora inicio]])*1440</f>
        <v>0</v>
      </c>
      <c r="AA267" s="34"/>
      <c r="AB267" s="34"/>
    </row>
    <row r="268" spans="2:28" ht="42.75" customHeight="1">
      <c r="B268" s="34"/>
      <c r="D268" s="292"/>
      <c r="E268" s="292"/>
      <c r="F268" s="115">
        <f>+(disponibilidad[[#This Row],[Fecha y hora fin]]-disponibilidad[[#This Row],[Fecha y hora inicio]])*1440</f>
        <v>0</v>
      </c>
      <c r="AA268" s="34"/>
      <c r="AB268" s="34"/>
    </row>
    <row r="269" spans="2:28" ht="42.75" customHeight="1">
      <c r="B269" s="34"/>
      <c r="D269" s="292"/>
      <c r="E269" s="292"/>
      <c r="F269" s="115">
        <f>+(disponibilidad[[#This Row],[Fecha y hora fin]]-disponibilidad[[#This Row],[Fecha y hora inicio]])*1440</f>
        <v>0</v>
      </c>
      <c r="AA269" s="34"/>
      <c r="AB269" s="34"/>
    </row>
    <row r="270" spans="2:28" ht="42.75" customHeight="1">
      <c r="B270" s="34"/>
      <c r="F270" s="115">
        <f>+(disponibilidad[[#This Row],[Fecha y hora fin]]-disponibilidad[[#This Row],[Fecha y hora inicio]])*1440</f>
        <v>0</v>
      </c>
      <c r="AA270" s="34"/>
      <c r="AB270" s="34"/>
    </row>
    <row r="271" spans="2:28" ht="42.75" customHeight="1">
      <c r="B271" s="34"/>
      <c r="F271" s="115">
        <f>+(disponibilidad[[#This Row],[Fecha y hora fin]]-disponibilidad[[#This Row],[Fecha y hora inicio]])*1440</f>
        <v>0</v>
      </c>
      <c r="AA271" s="34"/>
      <c r="AB271" s="34"/>
    </row>
    <row r="272" spans="2:28" ht="42.75" customHeight="1">
      <c r="B272" s="34"/>
      <c r="F272" s="115">
        <f>+(disponibilidad[[#This Row],[Fecha y hora fin]]-disponibilidad[[#This Row],[Fecha y hora inicio]])*1440</f>
        <v>0</v>
      </c>
      <c r="AA272" s="34"/>
      <c r="AB272" s="34"/>
    </row>
    <row r="273" spans="2:28" ht="42.75" customHeight="1">
      <c r="B273" s="34"/>
      <c r="F273" s="115">
        <f>+(disponibilidad[[#This Row],[Fecha y hora fin]]-disponibilidad[[#This Row],[Fecha y hora inicio]])*1440</f>
        <v>0</v>
      </c>
      <c r="AA273" s="34"/>
      <c r="AB273" s="34"/>
    </row>
    <row r="274" spans="2:28" ht="42.75" customHeight="1">
      <c r="B274" s="34"/>
      <c r="F274" s="115">
        <f>+(disponibilidad[[#This Row],[Fecha y hora fin]]-disponibilidad[[#This Row],[Fecha y hora inicio]])*1440</f>
        <v>0</v>
      </c>
      <c r="AA274" s="34"/>
      <c r="AB274" s="34"/>
    </row>
    <row r="275" spans="2:28" ht="42.75" customHeight="1">
      <c r="B275" s="34"/>
      <c r="F275" s="115">
        <f>+(disponibilidad[[#This Row],[Fecha y hora fin]]-disponibilidad[[#This Row],[Fecha y hora inicio]])*1440</f>
        <v>0</v>
      </c>
      <c r="AA275" s="34"/>
      <c r="AB275" s="34"/>
    </row>
    <row r="276" spans="2:28" ht="42.75" customHeight="1">
      <c r="B276" s="34"/>
      <c r="D276" s="292"/>
      <c r="E276" s="292"/>
      <c r="F276" s="115">
        <f>+(disponibilidad[[#This Row],[Fecha y hora fin]]-disponibilidad[[#This Row],[Fecha y hora inicio]])*1440</f>
        <v>0</v>
      </c>
      <c r="AA276" s="34"/>
      <c r="AB276" s="34"/>
    </row>
    <row r="277" spans="2:28" ht="42.75" customHeight="1">
      <c r="B277" s="34"/>
      <c r="F277" s="115">
        <f>+(disponibilidad[[#This Row],[Fecha y hora fin]]-disponibilidad[[#This Row],[Fecha y hora inicio]])*1440</f>
        <v>0</v>
      </c>
      <c r="AA277" s="34"/>
      <c r="AB277" s="34"/>
    </row>
    <row r="278" spans="2:28" ht="42.75" customHeight="1">
      <c r="B278" s="34"/>
      <c r="F278" s="115">
        <f>+(disponibilidad[[#This Row],[Fecha y hora fin]]-disponibilidad[[#This Row],[Fecha y hora inicio]])*1440</f>
        <v>0</v>
      </c>
      <c r="AA278" s="34"/>
      <c r="AB278" s="34"/>
    </row>
    <row r="279" spans="2:28" ht="42.75" customHeight="1">
      <c r="B279" s="34"/>
      <c r="F279" s="115">
        <f>+(disponibilidad[[#This Row],[Fecha y hora fin]]-disponibilidad[[#This Row],[Fecha y hora inicio]])*1440</f>
        <v>0</v>
      </c>
      <c r="AA279" s="34"/>
      <c r="AB279" s="34"/>
    </row>
    <row r="280" spans="2:28" ht="42.75" customHeight="1">
      <c r="B280" s="34"/>
      <c r="C280" s="34"/>
      <c r="F280" s="115">
        <f>+(disponibilidad[[#This Row],[Fecha y hora fin]]-disponibilidad[[#This Row],[Fecha y hora inicio]])*1440</f>
        <v>0</v>
      </c>
      <c r="AA280" s="34"/>
      <c r="AB280" s="34"/>
    </row>
    <row r="281" spans="2:28" ht="42.75" customHeight="1">
      <c r="B281" s="34"/>
      <c r="F281" s="115">
        <f>+(disponibilidad[[#This Row],[Fecha y hora fin]]-disponibilidad[[#This Row],[Fecha y hora inicio]])*1440</f>
        <v>0</v>
      </c>
      <c r="AA281" s="34"/>
      <c r="AB281" s="34"/>
    </row>
    <row r="282" spans="2:28" ht="42.75" customHeight="1">
      <c r="B282" s="34"/>
      <c r="F282" s="115">
        <f>+(disponibilidad[[#This Row],[Fecha y hora fin]]-disponibilidad[[#This Row],[Fecha y hora inicio]])*1440</f>
        <v>0</v>
      </c>
      <c r="AA282" s="34"/>
      <c r="AB282" s="34"/>
    </row>
    <row r="283" spans="2:28" ht="42.75" customHeight="1">
      <c r="B283" s="34"/>
      <c r="F283" s="115">
        <f>+(disponibilidad[[#This Row],[Fecha y hora fin]]-disponibilidad[[#This Row],[Fecha y hora inicio]])*1440</f>
        <v>0</v>
      </c>
      <c r="AA283" s="34"/>
      <c r="AB283" s="34"/>
    </row>
    <row r="284" spans="2:28" ht="42.75" customHeight="1">
      <c r="B284" s="34"/>
      <c r="F284" s="115">
        <f>+(disponibilidad[[#This Row],[Fecha y hora fin]]-disponibilidad[[#This Row],[Fecha y hora inicio]])*1440</f>
        <v>0</v>
      </c>
      <c r="AA284" s="34"/>
      <c r="AB284" s="34"/>
    </row>
    <row r="285" spans="2:28" ht="42.75" customHeight="1">
      <c r="B285" s="34"/>
      <c r="E285" s="292"/>
      <c r="F285" s="115">
        <f>+(disponibilidad[[#This Row],[Fecha y hora fin]]-disponibilidad[[#This Row],[Fecha y hora inicio]])*1440</f>
        <v>0</v>
      </c>
      <c r="AA285" s="34"/>
      <c r="AB285" s="34"/>
    </row>
    <row r="286" spans="2:28" ht="42.75" customHeight="1">
      <c r="B286" s="34"/>
      <c r="F286" s="115">
        <f>+(disponibilidad[[#This Row],[Fecha y hora fin]]-disponibilidad[[#This Row],[Fecha y hora inicio]])*1440</f>
        <v>0</v>
      </c>
      <c r="AA286" s="34"/>
      <c r="AB286" s="34"/>
    </row>
    <row r="287" spans="2:28" ht="42.75" customHeight="1">
      <c r="B287" s="34"/>
      <c r="F287" s="115">
        <f>+(disponibilidad[[#This Row],[Fecha y hora fin]]-disponibilidad[[#This Row],[Fecha y hora inicio]])*1440</f>
        <v>0</v>
      </c>
      <c r="AA287" s="34"/>
      <c r="AB287" s="34"/>
    </row>
    <row r="288" spans="2:28" ht="42.75" customHeight="1">
      <c r="B288" s="34"/>
      <c r="C288" s="34"/>
      <c r="F288" s="115">
        <f>+(disponibilidad[[#This Row],[Fecha y hora fin]]-disponibilidad[[#This Row],[Fecha y hora inicio]])*1440</f>
        <v>0</v>
      </c>
      <c r="AA288" s="34"/>
      <c r="AB288" s="34"/>
    </row>
    <row r="289" spans="2:28" ht="42.75" customHeight="1">
      <c r="B289" s="34"/>
      <c r="C289" s="34"/>
      <c r="F289" s="115">
        <f>+(disponibilidad[[#This Row],[Fecha y hora fin]]-disponibilidad[[#This Row],[Fecha y hora inicio]])*1440</f>
        <v>0</v>
      </c>
      <c r="AA289" s="34"/>
      <c r="AB289" s="34"/>
    </row>
    <row r="290" spans="2:28" ht="42.75" customHeight="1">
      <c r="B290" s="34"/>
      <c r="C290" s="34"/>
      <c r="F290" s="115">
        <f>+(disponibilidad[[#This Row],[Fecha y hora fin]]-disponibilidad[[#This Row],[Fecha y hora inicio]])*1440</f>
        <v>0</v>
      </c>
      <c r="AA290" s="34"/>
      <c r="AB290" s="34"/>
    </row>
    <row r="291" spans="2:28" ht="42.75" customHeight="1">
      <c r="B291" s="34"/>
      <c r="F291" s="115">
        <f>+(disponibilidad[[#This Row],[Fecha y hora fin]]-disponibilidad[[#This Row],[Fecha y hora inicio]])*1440</f>
        <v>0</v>
      </c>
      <c r="AA291" s="34"/>
      <c r="AB291" s="34"/>
    </row>
    <row r="292" spans="2:28" ht="42.75" customHeight="1">
      <c r="B292" s="34"/>
      <c r="F292" s="115">
        <f>+(disponibilidad[[#This Row],[Fecha y hora fin]]-disponibilidad[[#This Row],[Fecha y hora inicio]])*1440</f>
        <v>0</v>
      </c>
      <c r="AA292" s="34"/>
      <c r="AB292" s="34"/>
    </row>
    <row r="293" spans="2:28" ht="42.75" customHeight="1">
      <c r="B293" s="34"/>
      <c r="F293" s="115">
        <f>+(disponibilidad[[#This Row],[Fecha y hora fin]]-disponibilidad[[#This Row],[Fecha y hora inicio]])*1440</f>
        <v>0</v>
      </c>
      <c r="AA293" s="34"/>
      <c r="AB293" s="34"/>
    </row>
    <row r="294" spans="2:28" ht="42.75" customHeight="1">
      <c r="B294" s="34"/>
      <c r="F294" s="115">
        <f>+(disponibilidad[[#This Row],[Fecha y hora fin]]-disponibilidad[[#This Row],[Fecha y hora inicio]])*1440</f>
        <v>0</v>
      </c>
      <c r="AA294" s="34"/>
      <c r="AB294" s="34"/>
    </row>
    <row r="295" spans="2:28" ht="42.75" customHeight="1">
      <c r="B295" s="34"/>
      <c r="F295" s="115">
        <f>+(disponibilidad[[#This Row],[Fecha y hora fin]]-disponibilidad[[#This Row],[Fecha y hora inicio]])*1440</f>
        <v>0</v>
      </c>
      <c r="AA295" s="34"/>
      <c r="AB295" s="34"/>
    </row>
    <row r="296" spans="2:28" ht="42.75" customHeight="1">
      <c r="B296" s="34"/>
      <c r="F296" s="115">
        <f>+(disponibilidad[[#This Row],[Fecha y hora fin]]-disponibilidad[[#This Row],[Fecha y hora inicio]])*1440</f>
        <v>0</v>
      </c>
      <c r="AA296" s="34"/>
      <c r="AB296" s="34"/>
    </row>
    <row r="297" spans="2:28" ht="42.75" customHeight="1">
      <c r="B297" s="34"/>
      <c r="F297" s="115">
        <f>+(disponibilidad[[#This Row],[Fecha y hora fin]]-disponibilidad[[#This Row],[Fecha y hora inicio]])*1440</f>
        <v>0</v>
      </c>
      <c r="AA297" s="34"/>
      <c r="AB297" s="34"/>
    </row>
    <row r="298" spans="2:28" ht="42.75" customHeight="1">
      <c r="B298" s="34"/>
      <c r="F298" s="115">
        <f>+(disponibilidad[[#This Row],[Fecha y hora fin]]-disponibilidad[[#This Row],[Fecha y hora inicio]])*1440</f>
        <v>0</v>
      </c>
      <c r="AA298" s="34"/>
      <c r="AB298" s="34"/>
    </row>
    <row r="299" spans="2:28" ht="42.75" customHeight="1">
      <c r="B299" s="34"/>
      <c r="F299" s="115">
        <f>+(disponibilidad[[#This Row],[Fecha y hora fin]]-disponibilidad[[#This Row],[Fecha y hora inicio]])*1440</f>
        <v>0</v>
      </c>
      <c r="AA299" s="34"/>
      <c r="AB299" s="34"/>
    </row>
    <row r="300" spans="2:28" ht="42.75" customHeight="1">
      <c r="B300" s="34"/>
      <c r="F300" s="115">
        <f>+(disponibilidad[[#This Row],[Fecha y hora fin]]-disponibilidad[[#This Row],[Fecha y hora inicio]])*1440</f>
        <v>0</v>
      </c>
      <c r="AA300" s="34"/>
      <c r="AB300" s="34"/>
    </row>
    <row r="301" spans="2:28" ht="42.75" customHeight="1">
      <c r="B301" s="34"/>
      <c r="C301" s="34"/>
      <c r="F301" s="115">
        <f>+(disponibilidad[[#This Row],[Fecha y hora fin]]-disponibilidad[[#This Row],[Fecha y hora inicio]])*1440</f>
        <v>0</v>
      </c>
      <c r="AA301" s="34"/>
      <c r="AB301" s="34"/>
    </row>
    <row r="302" spans="2:28" ht="42.75" customHeight="1">
      <c r="B302" s="34"/>
      <c r="C302" s="34"/>
      <c r="F302" s="115">
        <f>+(disponibilidad[[#This Row],[Fecha y hora fin]]-disponibilidad[[#This Row],[Fecha y hora inicio]])*1440</f>
        <v>0</v>
      </c>
      <c r="AA302" s="34"/>
      <c r="AB302" s="34"/>
    </row>
    <row r="303" spans="2:28" ht="42.75" customHeight="1">
      <c r="B303" s="34"/>
      <c r="C303" s="34"/>
      <c r="F303" s="115">
        <f>+(disponibilidad[[#This Row],[Fecha y hora fin]]-disponibilidad[[#This Row],[Fecha y hora inicio]])*1440</f>
        <v>0</v>
      </c>
      <c r="AA303" s="34"/>
      <c r="AB303" s="34"/>
    </row>
    <row r="304" spans="2:28" ht="42.75" customHeight="1">
      <c r="B304" s="34"/>
      <c r="F304" s="115">
        <f>+(disponibilidad[[#This Row],[Fecha y hora fin]]-disponibilidad[[#This Row],[Fecha y hora inicio]])*1440</f>
        <v>0</v>
      </c>
      <c r="AA304" s="34"/>
      <c r="AB304" s="34"/>
    </row>
    <row r="305" spans="2:28" ht="42.75" customHeight="1">
      <c r="B305" s="34"/>
      <c r="F305" s="115">
        <f>+(disponibilidad[[#This Row],[Fecha y hora fin]]-disponibilidad[[#This Row],[Fecha y hora inicio]])*1440</f>
        <v>0</v>
      </c>
      <c r="AA305" s="34"/>
      <c r="AB305" s="34"/>
    </row>
    <row r="306" spans="2:28" ht="42.75" customHeight="1">
      <c r="B306" s="34"/>
      <c r="F306" s="115">
        <f>+(disponibilidad[[#This Row],[Fecha y hora fin]]-disponibilidad[[#This Row],[Fecha y hora inicio]])*1440</f>
        <v>0</v>
      </c>
      <c r="AA306" s="34"/>
      <c r="AB306" s="34"/>
    </row>
    <row r="307" spans="2:28" ht="42.75" customHeight="1">
      <c r="B307" s="34"/>
      <c r="F307" s="115">
        <f>+(disponibilidad[[#This Row],[Fecha y hora fin]]-disponibilidad[[#This Row],[Fecha y hora inicio]])*1440</f>
        <v>0</v>
      </c>
      <c r="AA307" s="34"/>
      <c r="AB307" s="34"/>
    </row>
    <row r="308" spans="2:28" ht="42.75" customHeight="1">
      <c r="B308" s="34"/>
      <c r="F308" s="115">
        <f>+(disponibilidad[[#This Row],[Fecha y hora fin]]-disponibilidad[[#This Row],[Fecha y hora inicio]])*1440</f>
        <v>0</v>
      </c>
      <c r="AA308" s="34"/>
      <c r="AB308" s="34"/>
    </row>
    <row r="309" spans="2:28" ht="42.75" customHeight="1">
      <c r="B309" s="34"/>
      <c r="F309" s="115">
        <f>+(disponibilidad[[#This Row],[Fecha y hora fin]]-disponibilidad[[#This Row],[Fecha y hora inicio]])*1440</f>
        <v>0</v>
      </c>
      <c r="AA309" s="34"/>
      <c r="AB309" s="34"/>
    </row>
    <row r="310" spans="2:28" ht="42.75" customHeight="1">
      <c r="B310" s="34"/>
      <c r="F310" s="115">
        <f>+(disponibilidad[[#This Row],[Fecha y hora fin]]-disponibilidad[[#This Row],[Fecha y hora inicio]])*1440</f>
        <v>0</v>
      </c>
      <c r="AA310" s="34"/>
      <c r="AB310" s="34"/>
    </row>
    <row r="311" spans="2:28" ht="42.75" customHeight="1">
      <c r="B311" s="304"/>
      <c r="F311" s="115">
        <f>+(disponibilidad[[#This Row],[Fecha y hora fin]]-disponibilidad[[#This Row],[Fecha y hora inicio]])*1440</f>
        <v>0</v>
      </c>
      <c r="AA311" s="34"/>
      <c r="AB311" s="303"/>
    </row>
    <row r="312" spans="2:28" ht="42.75" customHeight="1">
      <c r="B312" s="34"/>
      <c r="F312" s="115">
        <f>+(disponibilidad[[#This Row],[Fecha y hora fin]]-disponibilidad[[#This Row],[Fecha y hora inicio]])*1440</f>
        <v>0</v>
      </c>
      <c r="AA312" s="34"/>
      <c r="AB312" s="34"/>
    </row>
    <row r="313" spans="2:28" ht="42.75" customHeight="1">
      <c r="B313" s="34"/>
      <c r="F313" s="115">
        <f>+(disponibilidad[[#This Row],[Fecha y hora fin]]-disponibilidad[[#This Row],[Fecha y hora inicio]])*1440</f>
        <v>0</v>
      </c>
      <c r="AA313" s="34"/>
      <c r="AB313" s="34"/>
    </row>
    <row r="314" spans="2:28" ht="42.75" customHeight="1">
      <c r="B314" s="34"/>
      <c r="F314" s="115">
        <f>+(disponibilidad[[#This Row],[Fecha y hora fin]]-disponibilidad[[#This Row],[Fecha y hora inicio]])*1440</f>
        <v>0</v>
      </c>
      <c r="AA314" s="34"/>
      <c r="AB314" s="34"/>
    </row>
    <row r="315" spans="2:28" ht="42.75" customHeight="1">
      <c r="B315" s="34"/>
      <c r="F315" s="115">
        <f>+(disponibilidad[[#This Row],[Fecha y hora fin]]-disponibilidad[[#This Row],[Fecha y hora inicio]])*1440</f>
        <v>0</v>
      </c>
      <c r="AA315" s="34"/>
      <c r="AB315" s="34"/>
    </row>
    <row r="316" spans="2:28" ht="42.75" customHeight="1">
      <c r="B316" s="34"/>
      <c r="F316" s="115">
        <f>+(disponibilidad[[#This Row],[Fecha y hora fin]]-disponibilidad[[#This Row],[Fecha y hora inicio]])*1440</f>
        <v>0</v>
      </c>
      <c r="AA316" s="34"/>
      <c r="AB316" s="34"/>
    </row>
    <row r="317" spans="2:28" ht="42.75" customHeight="1">
      <c r="B317" s="34"/>
      <c r="F317" s="115">
        <f>+(disponibilidad[[#This Row],[Fecha y hora fin]]-disponibilidad[[#This Row],[Fecha y hora inicio]])*1440</f>
        <v>0</v>
      </c>
      <c r="AA317" s="34"/>
      <c r="AB317" s="34"/>
    </row>
    <row r="318" spans="2:28" ht="42.75" customHeight="1">
      <c r="B318" s="34"/>
      <c r="F318" s="115">
        <f>+(disponibilidad[[#This Row],[Fecha y hora fin]]-disponibilidad[[#This Row],[Fecha y hora inicio]])*1440</f>
        <v>0</v>
      </c>
      <c r="AA318" s="34"/>
      <c r="AB318" s="34"/>
    </row>
    <row r="319" spans="2:28" ht="42.75" customHeight="1">
      <c r="B319" s="34"/>
      <c r="F319" s="115">
        <f>+(disponibilidad[[#This Row],[Fecha y hora fin]]-disponibilidad[[#This Row],[Fecha y hora inicio]])*1440</f>
        <v>0</v>
      </c>
      <c r="AA319" s="34"/>
      <c r="AB319" s="34"/>
    </row>
    <row r="320" spans="2:28" ht="42.75" customHeight="1">
      <c r="B320" s="34"/>
      <c r="F320" s="115">
        <f>+(disponibilidad[[#This Row],[Fecha y hora fin]]-disponibilidad[[#This Row],[Fecha y hora inicio]])*1440</f>
        <v>0</v>
      </c>
      <c r="AA320" s="34"/>
      <c r="AB320" s="34"/>
    </row>
    <row r="321" spans="2:28" ht="42.75" customHeight="1">
      <c r="B321" s="34"/>
      <c r="D321" s="167"/>
      <c r="E321" s="167"/>
      <c r="F321" s="115">
        <f>+(disponibilidad[[#This Row],[Fecha y hora fin]]-disponibilidad[[#This Row],[Fecha y hora inicio]])*1440</f>
        <v>0</v>
      </c>
      <c r="AA321" s="34"/>
      <c r="AB321" s="34"/>
    </row>
    <row r="322" spans="2:28" ht="42.75" customHeight="1">
      <c r="B322" s="34"/>
      <c r="D322" s="167"/>
      <c r="E322" s="167"/>
      <c r="F322" s="115">
        <f>+(disponibilidad[[#This Row],[Fecha y hora fin]]-disponibilidad[[#This Row],[Fecha y hora inicio]])*1440</f>
        <v>0</v>
      </c>
      <c r="AA322" s="34"/>
      <c r="AB322" s="34"/>
    </row>
    <row r="323" spans="2:28" ht="42.75" customHeight="1">
      <c r="B323" s="34"/>
      <c r="D323" s="167"/>
      <c r="E323" s="167"/>
      <c r="F323" s="115">
        <f>+(disponibilidad[[#This Row],[Fecha y hora fin]]-disponibilidad[[#This Row],[Fecha y hora inicio]])*1440</f>
        <v>0</v>
      </c>
      <c r="AA323" s="34"/>
      <c r="AB323" s="34"/>
    </row>
    <row r="324" spans="2:28" ht="42.75" customHeight="1">
      <c r="B324" s="34"/>
      <c r="C324" s="34"/>
      <c r="D324" s="167"/>
      <c r="E324" s="167"/>
      <c r="F324" s="115">
        <f>+(disponibilidad[[#This Row],[Fecha y hora fin]]-disponibilidad[[#This Row],[Fecha y hora inicio]])*1440</f>
        <v>0</v>
      </c>
      <c r="AA324" s="34"/>
      <c r="AB324" s="34"/>
    </row>
    <row r="325" spans="2:28" ht="42.75" customHeight="1">
      <c r="B325" s="34"/>
      <c r="D325" s="167"/>
      <c r="E325" s="167"/>
      <c r="F325" s="115">
        <f>+(disponibilidad[[#This Row],[Fecha y hora fin]]-disponibilidad[[#This Row],[Fecha y hora inicio]])*1440</f>
        <v>0</v>
      </c>
      <c r="AA325" s="34"/>
      <c r="AB325" s="34"/>
    </row>
    <row r="326" spans="2:28" ht="42.75" customHeight="1">
      <c r="B326" s="34"/>
      <c r="D326" s="167"/>
      <c r="E326" s="167"/>
      <c r="F326" s="115">
        <f>+(disponibilidad[[#This Row],[Fecha y hora fin]]-disponibilidad[[#This Row],[Fecha y hora inicio]])*1440</f>
        <v>0</v>
      </c>
      <c r="AA326" s="34"/>
      <c r="AB326" s="34"/>
    </row>
    <row r="327" spans="2:28" ht="42.75" customHeight="1">
      <c r="B327" s="34"/>
      <c r="D327" s="167"/>
      <c r="E327" s="167"/>
      <c r="F327" s="115">
        <f>+(disponibilidad[[#This Row],[Fecha y hora fin]]-disponibilidad[[#This Row],[Fecha y hora inicio]])*1440</f>
        <v>0</v>
      </c>
      <c r="AA327" s="34"/>
      <c r="AB327" s="34"/>
    </row>
    <row r="328" spans="2:28" ht="42.75" customHeight="1">
      <c r="B328" s="34"/>
      <c r="D328" s="167"/>
      <c r="E328" s="167"/>
      <c r="F328" s="115">
        <f>+(disponibilidad[[#This Row],[Fecha y hora fin]]-disponibilidad[[#This Row],[Fecha y hora inicio]])*1440</f>
        <v>0</v>
      </c>
      <c r="AA328" s="34"/>
      <c r="AB328" s="34"/>
    </row>
    <row r="329" spans="2:28" ht="42.75" customHeight="1">
      <c r="B329" s="34"/>
      <c r="D329" s="167"/>
      <c r="E329" s="167"/>
      <c r="F329" s="115">
        <f>+(disponibilidad[[#This Row],[Fecha y hora fin]]-disponibilidad[[#This Row],[Fecha y hora inicio]])*1440</f>
        <v>0</v>
      </c>
      <c r="AA329" s="34"/>
      <c r="AB329" s="34"/>
    </row>
    <row r="330" spans="2:28" ht="42.75" customHeight="1">
      <c r="B330" s="34"/>
      <c r="D330" s="167"/>
      <c r="E330" s="167"/>
      <c r="F330" s="115">
        <f>+(disponibilidad[[#This Row],[Fecha y hora fin]]-disponibilidad[[#This Row],[Fecha y hora inicio]])*1440</f>
        <v>0</v>
      </c>
      <c r="AA330" s="34"/>
      <c r="AB330" s="34"/>
    </row>
    <row r="331" spans="2:28" ht="42.75" customHeight="1">
      <c r="B331" s="34"/>
      <c r="D331" s="167"/>
      <c r="E331" s="167"/>
      <c r="F331" s="115">
        <f>+(disponibilidad[[#This Row],[Fecha y hora fin]]-disponibilidad[[#This Row],[Fecha y hora inicio]])*1440</f>
        <v>0</v>
      </c>
      <c r="AA331" s="34"/>
      <c r="AB331" s="34"/>
    </row>
    <row r="332" spans="2:28" ht="42.75" customHeight="1">
      <c r="B332" s="34"/>
      <c r="D332" s="167"/>
      <c r="E332" s="167"/>
      <c r="F332" s="115">
        <f>+(disponibilidad[[#This Row],[Fecha y hora fin]]-disponibilidad[[#This Row],[Fecha y hora inicio]])*1440</f>
        <v>0</v>
      </c>
      <c r="AA332" s="34"/>
      <c r="AB332" s="34"/>
    </row>
    <row r="333" spans="2:28" ht="42.75" customHeight="1">
      <c r="B333" s="34"/>
      <c r="D333" s="167"/>
      <c r="E333" s="167"/>
      <c r="F333" s="115">
        <f>+(disponibilidad[[#This Row],[Fecha y hora fin]]-disponibilidad[[#This Row],[Fecha y hora inicio]])*1440</f>
        <v>0</v>
      </c>
      <c r="AA333" s="34"/>
      <c r="AB333" s="34"/>
    </row>
    <row r="334" spans="2:28" ht="42.75" customHeight="1">
      <c r="B334" s="34"/>
      <c r="D334" s="167"/>
      <c r="E334" s="167"/>
      <c r="F334" s="115">
        <f>+(disponibilidad[[#This Row],[Fecha y hora fin]]-disponibilidad[[#This Row],[Fecha y hora inicio]])*1440</f>
        <v>0</v>
      </c>
      <c r="AA334" s="34"/>
      <c r="AB334" s="34"/>
    </row>
    <row r="335" spans="2:28" ht="42.75" customHeight="1">
      <c r="B335" s="34"/>
      <c r="D335" s="167"/>
      <c r="E335" s="167"/>
      <c r="F335" s="115">
        <f>+(disponibilidad[[#This Row],[Fecha y hora fin]]-disponibilidad[[#This Row],[Fecha y hora inicio]])*1440</f>
        <v>0</v>
      </c>
      <c r="AA335" s="34"/>
      <c r="AB335" s="34"/>
    </row>
    <row r="336" spans="2:28" ht="42.75" customHeight="1">
      <c r="B336" s="34"/>
      <c r="D336" s="167"/>
      <c r="E336" s="167"/>
      <c r="F336" s="115">
        <f>+(disponibilidad[[#This Row],[Fecha y hora fin]]-disponibilidad[[#This Row],[Fecha y hora inicio]])*1440</f>
        <v>0</v>
      </c>
      <c r="AA336" s="34"/>
      <c r="AB336" s="34"/>
    </row>
    <row r="337" spans="2:28" ht="42.75" customHeight="1">
      <c r="B337" s="34"/>
      <c r="D337" s="167"/>
      <c r="E337" s="167"/>
      <c r="F337" s="115">
        <f>+(disponibilidad[[#This Row],[Fecha y hora fin]]-disponibilidad[[#This Row],[Fecha y hora inicio]])*1440</f>
        <v>0</v>
      </c>
      <c r="AA337" s="34"/>
      <c r="AB337" s="34"/>
    </row>
    <row r="338" spans="2:28" ht="42.75" customHeight="1">
      <c r="B338" s="34"/>
      <c r="D338" s="167"/>
      <c r="E338" s="167"/>
      <c r="F338" s="115">
        <f>+(disponibilidad[[#This Row],[Fecha y hora fin]]-disponibilidad[[#This Row],[Fecha y hora inicio]])*1440</f>
        <v>0</v>
      </c>
      <c r="AA338" s="34"/>
      <c r="AB338" s="34"/>
    </row>
    <row r="339" spans="2:28" ht="42.75" customHeight="1">
      <c r="B339" s="34"/>
      <c r="D339" s="167"/>
      <c r="E339" s="167"/>
      <c r="F339" s="115">
        <f>+(disponibilidad[[#This Row],[Fecha y hora fin]]-disponibilidad[[#This Row],[Fecha y hora inicio]])*1440</f>
        <v>0</v>
      </c>
      <c r="AA339" s="34"/>
      <c r="AB339" s="34"/>
    </row>
    <row r="340" spans="2:28" ht="42.75" customHeight="1">
      <c r="B340" s="34"/>
      <c r="D340" s="167"/>
      <c r="E340" s="167"/>
      <c r="F340" s="115">
        <f>+(disponibilidad[[#This Row],[Fecha y hora fin]]-disponibilidad[[#This Row],[Fecha y hora inicio]])*1440</f>
        <v>0</v>
      </c>
      <c r="AA340" s="34"/>
      <c r="AB340" s="34"/>
    </row>
    <row r="341" spans="2:28" ht="42.75" customHeight="1">
      <c r="B341" s="34"/>
      <c r="D341" s="167"/>
      <c r="E341" s="167"/>
      <c r="F341" s="115">
        <f>+(disponibilidad[[#This Row],[Fecha y hora fin]]-disponibilidad[[#This Row],[Fecha y hora inicio]])*1440</f>
        <v>0</v>
      </c>
      <c r="AA341" s="34"/>
      <c r="AB341" s="34"/>
    </row>
    <row r="342" spans="2:28" ht="42.75" customHeight="1">
      <c r="B342" s="34"/>
      <c r="D342" s="167"/>
      <c r="E342" s="167"/>
      <c r="F342" s="115">
        <f>+(disponibilidad[[#This Row],[Fecha y hora fin]]-disponibilidad[[#This Row],[Fecha y hora inicio]])*1440</f>
        <v>0</v>
      </c>
      <c r="AA342" s="34"/>
      <c r="AB342" s="34"/>
    </row>
    <row r="343" spans="2:28" ht="42.75" customHeight="1">
      <c r="B343" s="34"/>
      <c r="D343" s="167"/>
      <c r="E343" s="167"/>
      <c r="F343" s="115">
        <f>+(disponibilidad[[#This Row],[Fecha y hora fin]]-disponibilidad[[#This Row],[Fecha y hora inicio]])*1440</f>
        <v>0</v>
      </c>
      <c r="AA343" s="34"/>
      <c r="AB343" s="34"/>
    </row>
    <row r="344" spans="2:28" ht="42.75" customHeight="1">
      <c r="B344" s="34"/>
      <c r="D344" s="167"/>
      <c r="E344" s="167"/>
      <c r="F344" s="115">
        <f>+(disponibilidad[[#This Row],[Fecha y hora fin]]-disponibilidad[[#This Row],[Fecha y hora inicio]])*1440</f>
        <v>0</v>
      </c>
      <c r="AA344" s="34"/>
      <c r="AB344" s="34"/>
    </row>
    <row r="345" spans="2:28" ht="42.75" customHeight="1">
      <c r="B345" s="34"/>
      <c r="D345" s="167"/>
      <c r="E345" s="167"/>
      <c r="F345" s="115">
        <f>+(disponibilidad[[#This Row],[Fecha y hora fin]]-disponibilidad[[#This Row],[Fecha y hora inicio]])*1440</f>
        <v>0</v>
      </c>
      <c r="AA345" s="34"/>
      <c r="AB345" s="34"/>
    </row>
    <row r="346" spans="2:28" ht="42.75" customHeight="1">
      <c r="B346" s="34"/>
      <c r="D346" s="167"/>
      <c r="E346" s="167"/>
      <c r="F346" s="115">
        <f>+(disponibilidad[[#This Row],[Fecha y hora fin]]-disponibilidad[[#This Row],[Fecha y hora inicio]])*1440</f>
        <v>0</v>
      </c>
      <c r="AA346" s="34"/>
      <c r="AB346" s="34"/>
    </row>
    <row r="347" spans="2:28" ht="42.75" customHeight="1">
      <c r="B347" s="34"/>
      <c r="D347" s="167"/>
      <c r="E347" s="167"/>
      <c r="F347" s="115">
        <f>+(disponibilidad[[#This Row],[Fecha y hora fin]]-disponibilidad[[#This Row],[Fecha y hora inicio]])*1440</f>
        <v>0</v>
      </c>
      <c r="AA347" s="34"/>
      <c r="AB347" s="34"/>
    </row>
    <row r="348" spans="2:28" ht="42.75" customHeight="1">
      <c r="B348" s="34"/>
      <c r="D348" s="167"/>
      <c r="E348" s="167"/>
      <c r="F348" s="115">
        <f>+(disponibilidad[[#This Row],[Fecha y hora fin]]-disponibilidad[[#This Row],[Fecha y hora inicio]])*1440</f>
        <v>0</v>
      </c>
      <c r="AA348" s="34"/>
      <c r="AB348" s="34"/>
    </row>
    <row r="349" spans="2:28" ht="42.75" customHeight="1">
      <c r="B349" s="34"/>
      <c r="D349" s="167"/>
      <c r="E349" s="167"/>
      <c r="F349" s="115">
        <f>+(disponibilidad[[#This Row],[Fecha y hora fin]]-disponibilidad[[#This Row],[Fecha y hora inicio]])*1440</f>
        <v>0</v>
      </c>
      <c r="AA349" s="34"/>
      <c r="AB349" s="34"/>
    </row>
    <row r="350" spans="2:28" ht="42.75" customHeight="1">
      <c r="B350" s="34"/>
      <c r="D350" s="167"/>
      <c r="E350" s="167"/>
      <c r="F350" s="115">
        <f>+(disponibilidad[[#This Row],[Fecha y hora fin]]-disponibilidad[[#This Row],[Fecha y hora inicio]])*1440</f>
        <v>0</v>
      </c>
      <c r="AA350" s="34"/>
      <c r="AB350" s="34"/>
    </row>
    <row r="351" spans="2:28" ht="42.75" customHeight="1">
      <c r="B351" s="34"/>
      <c r="D351" s="167"/>
      <c r="E351" s="167"/>
      <c r="F351" s="115">
        <f>+(disponibilidad[[#This Row],[Fecha y hora fin]]-disponibilidad[[#This Row],[Fecha y hora inicio]])*1440</f>
        <v>0</v>
      </c>
      <c r="AA351" s="34"/>
      <c r="AB351" s="34"/>
    </row>
    <row r="352" spans="2:28" ht="42.75" customHeight="1">
      <c r="B352" s="34"/>
      <c r="D352" s="167"/>
      <c r="E352" s="167"/>
      <c r="F352" s="115">
        <f>+(disponibilidad[[#This Row],[Fecha y hora fin]]-disponibilidad[[#This Row],[Fecha y hora inicio]])*1440</f>
        <v>0</v>
      </c>
      <c r="AA352" s="34"/>
      <c r="AB352" s="34"/>
    </row>
    <row r="353" spans="2:28" ht="42.75" customHeight="1">
      <c r="B353" s="34"/>
      <c r="D353" s="167"/>
      <c r="E353" s="167"/>
      <c r="F353" s="115">
        <f>+(disponibilidad[[#This Row],[Fecha y hora fin]]-disponibilidad[[#This Row],[Fecha y hora inicio]])*1440</f>
        <v>0</v>
      </c>
      <c r="AA353" s="34"/>
      <c r="AB353" s="34"/>
    </row>
    <row r="354" spans="2:28" ht="42.75" customHeight="1">
      <c r="B354" s="34"/>
      <c r="D354" s="167"/>
      <c r="E354" s="167"/>
      <c r="F354" s="115">
        <f>+(disponibilidad[[#This Row],[Fecha y hora fin]]-disponibilidad[[#This Row],[Fecha y hora inicio]])*1440</f>
        <v>0</v>
      </c>
      <c r="AA354" s="34"/>
      <c r="AB354" s="34"/>
    </row>
    <row r="355" spans="2:28" ht="42.75" customHeight="1">
      <c r="B355" s="34"/>
      <c r="D355" s="167"/>
      <c r="E355" s="167"/>
      <c r="F355" s="115">
        <f>+(disponibilidad[[#This Row],[Fecha y hora fin]]-disponibilidad[[#This Row],[Fecha y hora inicio]])*1440</f>
        <v>0</v>
      </c>
      <c r="AA355" s="34"/>
      <c r="AB355" s="34"/>
    </row>
    <row r="356" spans="2:28" ht="42.75" customHeight="1">
      <c r="B356" s="34"/>
      <c r="D356" s="167"/>
      <c r="E356" s="167"/>
      <c r="F356" s="115">
        <f>+(disponibilidad[[#This Row],[Fecha y hora fin]]-disponibilidad[[#This Row],[Fecha y hora inicio]])*1440</f>
        <v>0</v>
      </c>
      <c r="AA356" s="34"/>
      <c r="AB356" s="34"/>
    </row>
    <row r="357" spans="2:28" ht="42.75" customHeight="1">
      <c r="B357" s="34"/>
      <c r="D357" s="167"/>
      <c r="E357" s="167"/>
      <c r="F357" s="115">
        <f>+(disponibilidad[[#This Row],[Fecha y hora fin]]-disponibilidad[[#This Row],[Fecha y hora inicio]])*1440</f>
        <v>0</v>
      </c>
      <c r="AA357" s="34"/>
      <c r="AB357" s="34"/>
    </row>
    <row r="358" spans="2:28" ht="42.75" customHeight="1">
      <c r="B358" s="34"/>
      <c r="D358" s="167"/>
      <c r="E358" s="167"/>
      <c r="F358" s="115">
        <f>+(disponibilidad[[#This Row],[Fecha y hora fin]]-disponibilidad[[#This Row],[Fecha y hora inicio]])*1440</f>
        <v>0</v>
      </c>
      <c r="AA358" s="34"/>
      <c r="AB358" s="34"/>
    </row>
    <row r="359" spans="2:28" ht="42.75" customHeight="1">
      <c r="B359" s="34"/>
      <c r="D359" s="167"/>
      <c r="E359" s="167"/>
      <c r="F359" s="115">
        <f>+(disponibilidad[[#This Row],[Fecha y hora fin]]-disponibilidad[[#This Row],[Fecha y hora inicio]])*1440</f>
        <v>0</v>
      </c>
      <c r="AA359" s="34"/>
      <c r="AB359" s="34"/>
    </row>
    <row r="360" spans="2:28" ht="42.75" customHeight="1">
      <c r="B360" s="34"/>
      <c r="D360" s="167"/>
      <c r="E360" s="167"/>
      <c r="F360" s="115">
        <f>+(disponibilidad[[#This Row],[Fecha y hora fin]]-disponibilidad[[#This Row],[Fecha y hora inicio]])*1440</f>
        <v>0</v>
      </c>
      <c r="AA360" s="34"/>
      <c r="AB360" s="34"/>
    </row>
    <row r="361" spans="2:28" ht="42.75" customHeight="1">
      <c r="B361" s="34"/>
      <c r="D361" s="167"/>
      <c r="E361" s="167"/>
      <c r="F361" s="115">
        <f>+(disponibilidad[[#This Row],[Fecha y hora fin]]-disponibilidad[[#This Row],[Fecha y hora inicio]])*1440</f>
        <v>0</v>
      </c>
      <c r="AA361" s="34"/>
      <c r="AB361" s="34"/>
    </row>
    <row r="362" spans="2:28" ht="42.75" customHeight="1">
      <c r="B362" s="34"/>
      <c r="D362" s="167"/>
      <c r="E362" s="167"/>
      <c r="F362" s="115">
        <f>+(disponibilidad[[#This Row],[Fecha y hora fin]]-disponibilidad[[#This Row],[Fecha y hora inicio]])*1440</f>
        <v>0</v>
      </c>
      <c r="AA362" s="34"/>
      <c r="AB362" s="34"/>
    </row>
    <row r="363" spans="2:28" ht="42.75" customHeight="1">
      <c r="B363" s="34"/>
      <c r="D363" s="167"/>
      <c r="E363" s="167"/>
      <c r="F363" s="115">
        <f>+(disponibilidad[[#This Row],[Fecha y hora fin]]-disponibilidad[[#This Row],[Fecha y hora inicio]])*1440</f>
        <v>0</v>
      </c>
      <c r="AA363" s="34"/>
      <c r="AB363" s="34"/>
    </row>
    <row r="364" spans="2:28" ht="42.75" customHeight="1">
      <c r="B364" s="34"/>
      <c r="D364" s="167"/>
      <c r="E364" s="167"/>
      <c r="F364" s="115">
        <f>+(disponibilidad[[#This Row],[Fecha y hora fin]]-disponibilidad[[#This Row],[Fecha y hora inicio]])*1440</f>
        <v>0</v>
      </c>
      <c r="AA364" s="34"/>
      <c r="AB364" s="34"/>
    </row>
    <row r="365" spans="2:28" ht="42.75" customHeight="1">
      <c r="B365" s="34"/>
      <c r="D365" s="167"/>
      <c r="E365" s="167"/>
      <c r="F365" s="115">
        <f>+(disponibilidad[[#This Row],[Fecha y hora fin]]-disponibilidad[[#This Row],[Fecha y hora inicio]])*1440</f>
        <v>0</v>
      </c>
      <c r="AA365" s="34"/>
      <c r="AB365" s="34"/>
    </row>
    <row r="366" spans="2:28" ht="42.75" customHeight="1">
      <c r="B366" s="34"/>
      <c r="D366" s="167"/>
      <c r="E366" s="167"/>
      <c r="F366" s="115">
        <f>+(disponibilidad[[#This Row],[Fecha y hora fin]]-disponibilidad[[#This Row],[Fecha y hora inicio]])*1440</f>
        <v>0</v>
      </c>
      <c r="AA366" s="34"/>
      <c r="AB366" s="34"/>
    </row>
    <row r="367" spans="2:28" ht="42.75" customHeight="1">
      <c r="B367" s="34"/>
      <c r="D367" s="167"/>
      <c r="E367" s="167"/>
      <c r="F367" s="115">
        <f>+(disponibilidad[[#This Row],[Fecha y hora fin]]-disponibilidad[[#This Row],[Fecha y hora inicio]])*1440</f>
        <v>0</v>
      </c>
      <c r="AA367" s="34"/>
      <c r="AB367" s="34"/>
    </row>
    <row r="368" spans="2:28" ht="42.75" customHeight="1">
      <c r="B368" s="34"/>
      <c r="D368" s="167"/>
      <c r="E368" s="167"/>
      <c r="F368" s="115">
        <f>+(disponibilidad[[#This Row],[Fecha y hora fin]]-disponibilidad[[#This Row],[Fecha y hora inicio]])*1440</f>
        <v>0</v>
      </c>
      <c r="AA368" s="34"/>
      <c r="AB368" s="34"/>
    </row>
    <row r="369" spans="2:28" ht="42.75" customHeight="1">
      <c r="B369" s="34"/>
      <c r="D369" s="167"/>
      <c r="E369" s="167"/>
      <c r="F369" s="115">
        <f>+(disponibilidad[[#This Row],[Fecha y hora fin]]-disponibilidad[[#This Row],[Fecha y hora inicio]])*1440</f>
        <v>0</v>
      </c>
      <c r="AA369" s="34"/>
      <c r="AB369" s="34"/>
    </row>
    <row r="370" spans="2:28" ht="42.75" customHeight="1">
      <c r="B370" s="34"/>
      <c r="D370" s="167"/>
      <c r="E370" s="167"/>
      <c r="F370" s="115">
        <f>+(disponibilidad[[#This Row],[Fecha y hora fin]]-disponibilidad[[#This Row],[Fecha y hora inicio]])*1440</f>
        <v>0</v>
      </c>
      <c r="AA370" s="34"/>
      <c r="AB370" s="34"/>
    </row>
    <row r="371" spans="2:28" ht="42.75" customHeight="1">
      <c r="B371" s="34"/>
      <c r="D371" s="167"/>
      <c r="E371" s="167"/>
      <c r="F371" s="115">
        <f>+(disponibilidad[[#This Row],[Fecha y hora fin]]-disponibilidad[[#This Row],[Fecha y hora inicio]])*1440</f>
        <v>0</v>
      </c>
      <c r="AA371" s="34"/>
      <c r="AB371" s="34"/>
    </row>
    <row r="372" spans="2:28" ht="42.75" customHeight="1">
      <c r="B372" s="34"/>
      <c r="D372" s="167"/>
      <c r="E372" s="167"/>
      <c r="F372" s="115">
        <f>+(disponibilidad[[#This Row],[Fecha y hora fin]]-disponibilidad[[#This Row],[Fecha y hora inicio]])*1440</f>
        <v>0</v>
      </c>
      <c r="AA372" s="34"/>
      <c r="AB372" s="34"/>
    </row>
    <row r="373" spans="2:28" ht="42.75" customHeight="1">
      <c r="B373" s="34"/>
      <c r="D373" s="167"/>
      <c r="E373" s="167"/>
      <c r="F373" s="115">
        <f>+(disponibilidad[[#This Row],[Fecha y hora fin]]-disponibilidad[[#This Row],[Fecha y hora inicio]])*1440</f>
        <v>0</v>
      </c>
      <c r="AA373" s="34"/>
      <c r="AB373" s="34"/>
    </row>
    <row r="374" spans="2:28" ht="42.75" customHeight="1">
      <c r="B374" s="34"/>
      <c r="D374" s="167"/>
      <c r="E374" s="167"/>
      <c r="F374" s="115">
        <f>+(disponibilidad[[#This Row],[Fecha y hora fin]]-disponibilidad[[#This Row],[Fecha y hora inicio]])*1440</f>
        <v>0</v>
      </c>
      <c r="AA374" s="34"/>
      <c r="AB374" s="34"/>
    </row>
    <row r="375" spans="2:28" ht="42.75" customHeight="1">
      <c r="B375" s="34"/>
      <c r="D375" s="167"/>
      <c r="E375" s="167"/>
      <c r="F375" s="115">
        <f>+(disponibilidad[[#This Row],[Fecha y hora fin]]-disponibilidad[[#This Row],[Fecha y hora inicio]])*1440</f>
        <v>0</v>
      </c>
      <c r="AA375" s="34"/>
      <c r="AB375" s="34"/>
    </row>
    <row r="376" spans="2:28" ht="42.75" customHeight="1">
      <c r="B376" s="34"/>
      <c r="D376" s="167"/>
      <c r="E376" s="167"/>
      <c r="F376" s="115">
        <f>+(disponibilidad[[#This Row],[Fecha y hora fin]]-disponibilidad[[#This Row],[Fecha y hora inicio]])*1440</f>
        <v>0</v>
      </c>
      <c r="AA376" s="34"/>
      <c r="AB376" s="34"/>
    </row>
    <row r="377" spans="2:28" ht="42.75" customHeight="1">
      <c r="B377" s="34"/>
      <c r="D377" s="167"/>
      <c r="E377" s="167"/>
      <c r="F377" s="115">
        <f>+(disponibilidad[[#This Row],[Fecha y hora fin]]-disponibilidad[[#This Row],[Fecha y hora inicio]])*1440</f>
        <v>0</v>
      </c>
      <c r="AA377" s="34"/>
      <c r="AB377" s="34"/>
    </row>
    <row r="378" spans="2:28" ht="42.75" customHeight="1">
      <c r="B378" s="34"/>
      <c r="D378" s="167"/>
      <c r="E378" s="167"/>
      <c r="F378" s="115">
        <f>+(disponibilidad[[#This Row],[Fecha y hora fin]]-disponibilidad[[#This Row],[Fecha y hora inicio]])*1440</f>
        <v>0</v>
      </c>
      <c r="AA378" s="34"/>
      <c r="AB378" s="34"/>
    </row>
    <row r="379" spans="2:28" ht="42.75" customHeight="1">
      <c r="B379" s="34"/>
      <c r="F379" s="115">
        <f>+(disponibilidad[[#This Row],[Fecha y hora fin]]-disponibilidad[[#This Row],[Fecha y hora inicio]])*1440</f>
        <v>0</v>
      </c>
      <c r="AB379" s="34"/>
    </row>
    <row r="380" spans="2:28" ht="15">
      <c r="B380" s="34"/>
      <c r="F380" s="115">
        <f>+(disponibilidad[[#This Row],[Fecha y hora fin]]-disponibilidad[[#This Row],[Fecha y hora inicio]])*1440</f>
        <v>0</v>
      </c>
      <c r="AA380" s="34"/>
      <c r="AB380" s="34"/>
    </row>
    <row r="381" spans="2:28" ht="15">
      <c r="B381" s="34"/>
      <c r="F381" s="115">
        <f>+(disponibilidad[[#This Row],[Fecha y hora fin]]-disponibilidad[[#This Row],[Fecha y hora inicio]])*1440</f>
        <v>0</v>
      </c>
      <c r="AA381" s="34"/>
      <c r="AB381" s="34"/>
    </row>
    <row r="382" spans="2:28" ht="15">
      <c r="B382" s="34"/>
      <c r="F382" s="115">
        <f>+(disponibilidad[[#This Row],[Fecha y hora fin]]-disponibilidad[[#This Row],[Fecha y hora inicio]])*1440</f>
        <v>0</v>
      </c>
      <c r="AA382" s="34"/>
      <c r="AB382" s="34"/>
    </row>
    <row r="383" spans="2:28" ht="15">
      <c r="B383" s="34"/>
      <c r="F383" s="115">
        <f>+(disponibilidad[[#This Row],[Fecha y hora fin]]-disponibilidad[[#This Row],[Fecha y hora inicio]])*1440</f>
        <v>0</v>
      </c>
      <c r="AA383" s="34"/>
      <c r="AB383" s="34"/>
    </row>
    <row r="384" spans="2:28" ht="15">
      <c r="B384" s="34"/>
      <c r="F384" s="115">
        <f>+(disponibilidad[[#This Row],[Fecha y hora fin]]-disponibilidad[[#This Row],[Fecha y hora inicio]])*1440</f>
        <v>0</v>
      </c>
      <c r="AA384" s="34"/>
      <c r="AB384" s="34"/>
    </row>
    <row r="385" spans="2:28" ht="15">
      <c r="B385" s="34"/>
      <c r="F385" s="115">
        <f>+(disponibilidad[[#This Row],[Fecha y hora fin]]-disponibilidad[[#This Row],[Fecha y hora inicio]])*1440</f>
        <v>0</v>
      </c>
      <c r="AA385" s="34"/>
      <c r="AB385" s="34"/>
    </row>
    <row r="386" spans="2:28" ht="15">
      <c r="B386" s="34"/>
      <c r="F386" s="115">
        <f>+(disponibilidad[[#This Row],[Fecha y hora fin]]-disponibilidad[[#This Row],[Fecha y hora inicio]])*1440</f>
        <v>0</v>
      </c>
      <c r="AA386" s="34"/>
      <c r="AB386" s="34"/>
    </row>
    <row r="387" spans="2:28" ht="15">
      <c r="B387" s="34"/>
      <c r="F387" s="115">
        <f>+(disponibilidad[[#This Row],[Fecha y hora fin]]-disponibilidad[[#This Row],[Fecha y hora inicio]])*1440</f>
        <v>0</v>
      </c>
      <c r="AA387" s="34"/>
      <c r="AB387" s="34"/>
    </row>
    <row r="388" spans="2:28" ht="15">
      <c r="B388" s="34"/>
      <c r="F388" s="115">
        <f>+(disponibilidad[[#This Row],[Fecha y hora fin]]-disponibilidad[[#This Row],[Fecha y hora inicio]])*1440</f>
        <v>0</v>
      </c>
      <c r="AA388" s="34"/>
      <c r="AB388" s="34"/>
    </row>
    <row r="389" spans="2:28" ht="15">
      <c r="B389" s="34"/>
      <c r="F389" s="115">
        <f>+(disponibilidad[[#This Row],[Fecha y hora fin]]-disponibilidad[[#This Row],[Fecha y hora inicio]])*1440</f>
        <v>0</v>
      </c>
      <c r="AA389" s="34"/>
      <c r="AB389" s="34"/>
    </row>
    <row r="390" spans="2:28" ht="15">
      <c r="B390" s="34"/>
      <c r="F390" s="115">
        <f>+(disponibilidad[[#This Row],[Fecha y hora fin]]-disponibilidad[[#This Row],[Fecha y hora inicio]])*1440</f>
        <v>0</v>
      </c>
      <c r="AA390" s="34"/>
      <c r="AB390" s="34"/>
    </row>
    <row r="391" spans="2:28" ht="15">
      <c r="B391" s="34"/>
      <c r="F391" s="115">
        <f>+(disponibilidad[[#This Row],[Fecha y hora fin]]-disponibilidad[[#This Row],[Fecha y hora inicio]])*1440</f>
        <v>0</v>
      </c>
      <c r="AA391" s="34"/>
      <c r="AB391" s="34"/>
    </row>
    <row r="392" spans="2:28" ht="15">
      <c r="B392" s="34"/>
      <c r="F392" s="115">
        <f>+(disponibilidad[[#This Row],[Fecha y hora fin]]-disponibilidad[[#This Row],[Fecha y hora inicio]])*1440</f>
        <v>0</v>
      </c>
      <c r="AA392" s="34"/>
      <c r="AB392" s="34"/>
    </row>
    <row r="393" spans="2:28" ht="15">
      <c r="B393" s="34"/>
      <c r="F393" s="115">
        <f>+(disponibilidad[[#This Row],[Fecha y hora fin]]-disponibilidad[[#This Row],[Fecha y hora inicio]])*1440</f>
        <v>0</v>
      </c>
      <c r="AA393" s="34"/>
      <c r="AB393" s="34"/>
    </row>
    <row r="394" spans="2:28" ht="15">
      <c r="B394" s="34"/>
      <c r="F394" s="115">
        <f>+(disponibilidad[[#This Row],[Fecha y hora fin]]-disponibilidad[[#This Row],[Fecha y hora inicio]])*1440</f>
        <v>0</v>
      </c>
      <c r="AA394" s="34"/>
      <c r="AB394" s="34"/>
    </row>
    <row r="395" spans="2:28" ht="15">
      <c r="B395" s="34"/>
      <c r="F395" s="115">
        <f>+(disponibilidad[[#This Row],[Fecha y hora fin]]-disponibilidad[[#This Row],[Fecha y hora inicio]])*1440</f>
        <v>0</v>
      </c>
      <c r="AA395" s="34"/>
      <c r="AB395" s="34"/>
    </row>
    <row r="396" spans="2:28" ht="15">
      <c r="B396" s="34"/>
      <c r="F396" s="115">
        <f>+(disponibilidad[[#This Row],[Fecha y hora fin]]-disponibilidad[[#This Row],[Fecha y hora inicio]])*1440</f>
        <v>0</v>
      </c>
      <c r="AA396" s="34"/>
      <c r="AB396" s="34"/>
    </row>
    <row r="397" spans="2:28" ht="15">
      <c r="B397" s="34"/>
      <c r="F397" s="115">
        <f>+(disponibilidad[[#This Row],[Fecha y hora fin]]-disponibilidad[[#This Row],[Fecha y hora inicio]])*1440</f>
        <v>0</v>
      </c>
      <c r="AA397" s="34"/>
      <c r="AB397" s="34"/>
    </row>
    <row r="398" spans="2:28" ht="15">
      <c r="B398" s="34"/>
      <c r="F398" s="115">
        <f>+(disponibilidad[[#This Row],[Fecha y hora fin]]-disponibilidad[[#This Row],[Fecha y hora inicio]])*1440</f>
        <v>0</v>
      </c>
      <c r="AA398" s="34"/>
      <c r="AB398" s="34"/>
    </row>
    <row r="399" spans="2:28" ht="15">
      <c r="B399" s="34"/>
      <c r="F399" s="115">
        <f>+(disponibilidad[[#This Row],[Fecha y hora fin]]-disponibilidad[[#This Row],[Fecha y hora inicio]])*1440</f>
        <v>0</v>
      </c>
      <c r="AA399" s="34"/>
      <c r="AB399" s="34"/>
    </row>
    <row r="400" spans="2:28" ht="15">
      <c r="B400" s="34"/>
      <c r="F400" s="115">
        <f>+(disponibilidad[[#This Row],[Fecha y hora fin]]-disponibilidad[[#This Row],[Fecha y hora inicio]])*1440</f>
        <v>0</v>
      </c>
      <c r="AA400" s="34"/>
      <c r="AB400" s="34"/>
    </row>
    <row r="401" spans="2:28" ht="15">
      <c r="B401" s="34"/>
      <c r="F401" s="115">
        <f>+(disponibilidad[[#This Row],[Fecha y hora fin]]-disponibilidad[[#This Row],[Fecha y hora inicio]])*1440</f>
        <v>0</v>
      </c>
      <c r="AA401" s="34"/>
      <c r="AB401" s="34"/>
    </row>
    <row r="402" spans="2:28" ht="15">
      <c r="B402" s="34"/>
      <c r="F402" s="115">
        <f>+(disponibilidad[[#This Row],[Fecha y hora fin]]-disponibilidad[[#This Row],[Fecha y hora inicio]])*1440</f>
        <v>0</v>
      </c>
      <c r="AA402" s="34"/>
      <c r="AB402" s="34"/>
    </row>
    <row r="403" spans="2:28" ht="15">
      <c r="B403" s="34"/>
      <c r="F403" s="115">
        <f>+(disponibilidad[[#This Row],[Fecha y hora fin]]-disponibilidad[[#This Row],[Fecha y hora inicio]])*1440</f>
        <v>0</v>
      </c>
      <c r="AA403" s="34"/>
      <c r="AB403" s="34"/>
    </row>
    <row r="404" spans="2:28" ht="15">
      <c r="B404" s="34"/>
      <c r="F404" s="115">
        <f>+(disponibilidad[[#This Row],[Fecha y hora fin]]-disponibilidad[[#This Row],[Fecha y hora inicio]])*1440</f>
        <v>0</v>
      </c>
      <c r="AA404" s="34"/>
      <c r="AB404" s="34"/>
    </row>
    <row r="405" spans="2:28" ht="15">
      <c r="B405" s="34"/>
      <c r="F405" s="115">
        <f>+(disponibilidad[[#This Row],[Fecha y hora fin]]-disponibilidad[[#This Row],[Fecha y hora inicio]])*1440</f>
        <v>0</v>
      </c>
      <c r="AA405" s="34"/>
      <c r="AB405" s="34"/>
    </row>
    <row r="406" spans="2:28" ht="15">
      <c r="B406" s="34"/>
      <c r="F406" s="115">
        <f>+(disponibilidad[[#This Row],[Fecha y hora fin]]-disponibilidad[[#This Row],[Fecha y hora inicio]])*1440</f>
        <v>0</v>
      </c>
      <c r="AA406" s="34"/>
      <c r="AB406" s="34"/>
    </row>
    <row r="407" spans="2:28" ht="15">
      <c r="B407" s="34"/>
      <c r="F407" s="115">
        <f>+(disponibilidad[[#This Row],[Fecha y hora fin]]-disponibilidad[[#This Row],[Fecha y hora inicio]])*1440</f>
        <v>0</v>
      </c>
      <c r="AA407" s="34"/>
      <c r="AB407" s="34"/>
    </row>
    <row r="408" spans="2:28" ht="15">
      <c r="B408" s="34"/>
      <c r="F408" s="115">
        <f>+(disponibilidad[[#This Row],[Fecha y hora fin]]-disponibilidad[[#This Row],[Fecha y hora inicio]])*1440</f>
        <v>0</v>
      </c>
      <c r="AA408" s="34"/>
      <c r="AB408" s="34"/>
    </row>
    <row r="409" spans="2:28" ht="15">
      <c r="B409" s="34"/>
      <c r="F409" s="115">
        <f>+(disponibilidad[[#This Row],[Fecha y hora fin]]-disponibilidad[[#This Row],[Fecha y hora inicio]])*1440</f>
        <v>0</v>
      </c>
      <c r="AA409" s="34"/>
      <c r="AB409" s="34"/>
    </row>
    <row r="410" spans="2:28" ht="15">
      <c r="B410" s="34"/>
      <c r="F410" s="115">
        <f>+(disponibilidad[[#This Row],[Fecha y hora fin]]-disponibilidad[[#This Row],[Fecha y hora inicio]])*1440</f>
        <v>0</v>
      </c>
      <c r="AA410" s="34"/>
      <c r="AB410" s="34"/>
    </row>
    <row r="411" spans="2:28" ht="15">
      <c r="B411" s="34"/>
      <c r="F411" s="115">
        <f>+(disponibilidad[[#This Row],[Fecha y hora fin]]-disponibilidad[[#This Row],[Fecha y hora inicio]])*1440</f>
        <v>0</v>
      </c>
      <c r="AA411" s="34"/>
      <c r="AB411" s="34"/>
    </row>
    <row r="412" spans="2:28" ht="15">
      <c r="B412" s="34"/>
      <c r="F412" s="115">
        <f>+(disponibilidad[[#This Row],[Fecha y hora fin]]-disponibilidad[[#This Row],[Fecha y hora inicio]])*1440</f>
        <v>0</v>
      </c>
      <c r="AA412" s="34"/>
      <c r="AB412" s="34"/>
    </row>
    <row r="413" spans="2:28" ht="15">
      <c r="B413" s="34"/>
      <c r="F413" s="115">
        <f>+(disponibilidad[[#This Row],[Fecha y hora fin]]-disponibilidad[[#This Row],[Fecha y hora inicio]])*1440</f>
        <v>0</v>
      </c>
      <c r="AA413" s="34"/>
      <c r="AB413" s="34"/>
    </row>
    <row r="414" spans="2:28" ht="15">
      <c r="B414" s="34"/>
      <c r="F414" s="115">
        <f>+(disponibilidad[[#This Row],[Fecha y hora fin]]-disponibilidad[[#This Row],[Fecha y hora inicio]])*1440</f>
        <v>0</v>
      </c>
      <c r="AA414" s="34"/>
      <c r="AB414" s="34"/>
    </row>
    <row r="415" spans="2:28" ht="15">
      <c r="B415" s="34"/>
      <c r="F415" s="115">
        <f>+(disponibilidad[[#This Row],[Fecha y hora fin]]-disponibilidad[[#This Row],[Fecha y hora inicio]])*1440</f>
        <v>0</v>
      </c>
      <c r="AA415" s="34"/>
      <c r="AB415" s="34"/>
    </row>
    <row r="416" spans="2:28" ht="15">
      <c r="B416" s="34"/>
      <c r="F416" s="115">
        <f>+(disponibilidad[[#This Row],[Fecha y hora fin]]-disponibilidad[[#This Row],[Fecha y hora inicio]])*1440</f>
        <v>0</v>
      </c>
      <c r="AA416" s="34"/>
      <c r="AB416" s="34"/>
    </row>
    <row r="417" spans="2:28" ht="15">
      <c r="B417" s="34"/>
      <c r="F417" s="115">
        <f>+(disponibilidad[[#This Row],[Fecha y hora fin]]-disponibilidad[[#This Row],[Fecha y hora inicio]])*1440</f>
        <v>0</v>
      </c>
      <c r="AA417" s="34"/>
      <c r="AB417" s="34"/>
    </row>
    <row r="418" spans="2:28" ht="15">
      <c r="B418" s="34"/>
      <c r="F418" s="115">
        <f>+(disponibilidad[[#This Row],[Fecha y hora fin]]-disponibilidad[[#This Row],[Fecha y hora inicio]])*1440</f>
        <v>0</v>
      </c>
      <c r="AA418" s="34"/>
      <c r="AB418" s="34"/>
    </row>
    <row r="419" spans="2:28" ht="15">
      <c r="B419" s="34"/>
      <c r="F419" s="115">
        <f>+(disponibilidad[[#This Row],[Fecha y hora fin]]-disponibilidad[[#This Row],[Fecha y hora inicio]])*1440</f>
        <v>0</v>
      </c>
      <c r="AA419" s="34"/>
      <c r="AB419" s="34"/>
    </row>
    <row r="420" spans="2:28" ht="15">
      <c r="B420" s="34"/>
      <c r="F420" s="115">
        <f>+(disponibilidad[[#This Row],[Fecha y hora fin]]-disponibilidad[[#This Row],[Fecha y hora inicio]])*1440</f>
        <v>0</v>
      </c>
      <c r="AA420" s="34"/>
      <c r="AB420" s="34"/>
    </row>
    <row r="421" spans="2:28" ht="15">
      <c r="B421" s="34"/>
      <c r="F421" s="115">
        <f>+(disponibilidad[[#This Row],[Fecha y hora fin]]-disponibilidad[[#This Row],[Fecha y hora inicio]])*1440</f>
        <v>0</v>
      </c>
      <c r="AA421" s="34"/>
      <c r="AB421" s="34"/>
    </row>
    <row r="422" spans="2:28" ht="15">
      <c r="B422" s="34"/>
      <c r="F422" s="115">
        <f>+(disponibilidad[[#This Row],[Fecha y hora fin]]-disponibilidad[[#This Row],[Fecha y hora inicio]])*1440</f>
        <v>0</v>
      </c>
      <c r="AA422" s="34"/>
      <c r="AB422" s="34"/>
    </row>
    <row r="423" spans="2:28" ht="15">
      <c r="B423" s="34"/>
      <c r="F423" s="115">
        <f>+(disponibilidad[[#This Row],[Fecha y hora fin]]-disponibilidad[[#This Row],[Fecha y hora inicio]])*1440</f>
        <v>0</v>
      </c>
      <c r="AA423" s="34"/>
      <c r="AB423" s="34"/>
    </row>
    <row r="424" spans="2:28" ht="15">
      <c r="B424" s="34"/>
      <c r="F424" s="115">
        <f>+(disponibilidad[[#This Row],[Fecha y hora fin]]-disponibilidad[[#This Row],[Fecha y hora inicio]])*1440</f>
        <v>0</v>
      </c>
      <c r="AA424" s="34"/>
      <c r="AB424" s="34"/>
    </row>
    <row r="425" spans="2:28" ht="15">
      <c r="B425" s="34"/>
      <c r="F425" s="115">
        <f>+(disponibilidad[[#This Row],[Fecha y hora fin]]-disponibilidad[[#This Row],[Fecha y hora inicio]])*1440</f>
        <v>0</v>
      </c>
      <c r="AA425" s="34"/>
      <c r="AB425" s="34"/>
    </row>
    <row r="426" spans="2:28" ht="15">
      <c r="B426" s="34"/>
      <c r="F426" s="115">
        <f>+(disponibilidad[[#This Row],[Fecha y hora fin]]-disponibilidad[[#This Row],[Fecha y hora inicio]])*1440</f>
        <v>0</v>
      </c>
      <c r="AA426" s="34"/>
      <c r="AB426" s="34"/>
    </row>
    <row r="427" spans="2:28" ht="15">
      <c r="B427" s="34"/>
      <c r="F427" s="115">
        <f>+(disponibilidad[[#This Row],[Fecha y hora fin]]-disponibilidad[[#This Row],[Fecha y hora inicio]])*1440</f>
        <v>0</v>
      </c>
      <c r="AA427" s="34"/>
      <c r="AB427" s="34"/>
    </row>
    <row r="428" spans="2:28" ht="15">
      <c r="B428" s="34"/>
      <c r="F428" s="115">
        <f>+(disponibilidad[[#This Row],[Fecha y hora fin]]-disponibilidad[[#This Row],[Fecha y hora inicio]])*1440</f>
        <v>0</v>
      </c>
      <c r="AA428" s="34"/>
      <c r="AB428" s="34"/>
    </row>
    <row r="429" spans="2:28" ht="15">
      <c r="B429" s="34"/>
      <c r="F429" s="115">
        <f>+(disponibilidad[[#This Row],[Fecha y hora fin]]-disponibilidad[[#This Row],[Fecha y hora inicio]])*1440</f>
        <v>0</v>
      </c>
      <c r="AA429" s="34"/>
      <c r="AB429" s="34"/>
    </row>
    <row r="430" spans="2:28" ht="15">
      <c r="B430" s="34"/>
      <c r="F430" s="115">
        <f>+(disponibilidad[[#This Row],[Fecha y hora fin]]-disponibilidad[[#This Row],[Fecha y hora inicio]])*1440</f>
        <v>0</v>
      </c>
      <c r="AA430" s="34"/>
      <c r="AB430" s="34"/>
    </row>
    <row r="431" spans="2:28" ht="15">
      <c r="B431" s="34"/>
      <c r="F431" s="115">
        <f>+(disponibilidad[[#This Row],[Fecha y hora fin]]-disponibilidad[[#This Row],[Fecha y hora inicio]])*1440</f>
        <v>0</v>
      </c>
      <c r="AA431" s="34"/>
      <c r="AB431" s="34"/>
    </row>
    <row r="432" spans="2:28" ht="15">
      <c r="B432" s="34"/>
      <c r="F432" s="115">
        <f>+(disponibilidad[[#This Row],[Fecha y hora fin]]-disponibilidad[[#This Row],[Fecha y hora inicio]])*1440</f>
        <v>0</v>
      </c>
      <c r="AA432" s="34"/>
      <c r="AB432" s="34"/>
    </row>
    <row r="433" spans="2:28" ht="15">
      <c r="B433" s="34"/>
      <c r="F433" s="115">
        <f>+(disponibilidad[[#This Row],[Fecha y hora fin]]-disponibilidad[[#This Row],[Fecha y hora inicio]])*1440</f>
        <v>0</v>
      </c>
      <c r="AA433" s="34"/>
      <c r="AB433" s="34"/>
    </row>
    <row r="434" spans="2:28" ht="15">
      <c r="B434" s="34"/>
      <c r="F434" s="115">
        <f>+(disponibilidad[[#This Row],[Fecha y hora fin]]-disponibilidad[[#This Row],[Fecha y hora inicio]])*1440</f>
        <v>0</v>
      </c>
      <c r="AA434" s="34"/>
      <c r="AB434" s="34"/>
    </row>
    <row r="435" spans="2:28" ht="15">
      <c r="B435" s="34"/>
      <c r="F435" s="115">
        <f>+(disponibilidad[[#This Row],[Fecha y hora fin]]-disponibilidad[[#This Row],[Fecha y hora inicio]])*1440</f>
        <v>0</v>
      </c>
      <c r="AA435" s="34"/>
      <c r="AB435" s="34"/>
    </row>
    <row r="436" spans="2:28" ht="15">
      <c r="B436" s="34"/>
      <c r="F436" s="115">
        <f>+(disponibilidad[[#This Row],[Fecha y hora fin]]-disponibilidad[[#This Row],[Fecha y hora inicio]])*1440</f>
        <v>0</v>
      </c>
      <c r="AA436" s="34"/>
      <c r="AB436" s="34"/>
    </row>
    <row r="437" spans="2:28" ht="15">
      <c r="B437" s="34"/>
      <c r="F437" s="115">
        <f>+(disponibilidad[[#This Row],[Fecha y hora fin]]-disponibilidad[[#This Row],[Fecha y hora inicio]])*1440</f>
        <v>0</v>
      </c>
      <c r="AA437" s="34"/>
      <c r="AB437" s="34"/>
    </row>
    <row r="438" spans="2:28" ht="15">
      <c r="B438" s="34"/>
      <c r="F438" s="115">
        <f>+(disponibilidad[[#This Row],[Fecha y hora fin]]-disponibilidad[[#This Row],[Fecha y hora inicio]])*1440</f>
        <v>0</v>
      </c>
      <c r="AA438" s="34"/>
      <c r="AB438" s="34"/>
    </row>
    <row r="439" spans="2:28" ht="15">
      <c r="B439" s="34"/>
      <c r="F439" s="115">
        <f>+(disponibilidad[[#This Row],[Fecha y hora fin]]-disponibilidad[[#This Row],[Fecha y hora inicio]])*1440</f>
        <v>0</v>
      </c>
      <c r="AA439" s="34"/>
      <c r="AB439" s="34"/>
    </row>
    <row r="440" spans="2:28" ht="15">
      <c r="B440" s="34"/>
      <c r="F440" s="115">
        <f>+(disponibilidad[[#This Row],[Fecha y hora fin]]-disponibilidad[[#This Row],[Fecha y hora inicio]])*1440</f>
        <v>0</v>
      </c>
      <c r="AA440" s="34"/>
      <c r="AB440" s="34"/>
    </row>
    <row r="441" spans="2:28" ht="15">
      <c r="B441" s="34"/>
      <c r="F441" s="115">
        <f>+(disponibilidad[[#This Row],[Fecha y hora fin]]-disponibilidad[[#This Row],[Fecha y hora inicio]])*1440</f>
        <v>0</v>
      </c>
      <c r="AA441" s="34"/>
      <c r="AB441" s="34"/>
    </row>
    <row r="442" spans="2:28" ht="15">
      <c r="B442" s="34"/>
      <c r="F442" s="115">
        <f>+(disponibilidad[[#This Row],[Fecha y hora fin]]-disponibilidad[[#This Row],[Fecha y hora inicio]])*1440</f>
        <v>0</v>
      </c>
      <c r="AA442" s="34"/>
      <c r="AB442" s="34"/>
    </row>
    <row r="443" spans="2:28" ht="15">
      <c r="B443" s="34"/>
      <c r="F443" s="115">
        <f>+(disponibilidad[[#This Row],[Fecha y hora fin]]-disponibilidad[[#This Row],[Fecha y hora inicio]])*1440</f>
        <v>0</v>
      </c>
      <c r="AA443" s="34"/>
      <c r="AB443" s="34"/>
    </row>
    <row r="444" spans="2:28" ht="15">
      <c r="B444" s="34"/>
      <c r="F444" s="115">
        <f>+(disponibilidad[[#This Row],[Fecha y hora fin]]-disponibilidad[[#This Row],[Fecha y hora inicio]])*1440</f>
        <v>0</v>
      </c>
      <c r="AA444" s="34"/>
      <c r="AB444" s="34"/>
    </row>
    <row r="445" spans="2:28" ht="15">
      <c r="B445" s="34"/>
      <c r="F445" s="115">
        <f>+(disponibilidad[[#This Row],[Fecha y hora fin]]-disponibilidad[[#This Row],[Fecha y hora inicio]])*1440</f>
        <v>0</v>
      </c>
      <c r="AA445" s="34"/>
      <c r="AB445" s="34"/>
    </row>
    <row r="446" spans="2:28" ht="15">
      <c r="B446" s="34"/>
      <c r="F446" s="115">
        <f>+(disponibilidad[[#This Row],[Fecha y hora fin]]-disponibilidad[[#This Row],[Fecha y hora inicio]])*1440</f>
        <v>0</v>
      </c>
      <c r="AA446" s="34"/>
      <c r="AB446" s="34"/>
    </row>
    <row r="447" spans="2:28" ht="15">
      <c r="B447" s="34"/>
      <c r="F447" s="115">
        <f>+(disponibilidad[[#This Row],[Fecha y hora fin]]-disponibilidad[[#This Row],[Fecha y hora inicio]])*1440</f>
        <v>0</v>
      </c>
      <c r="AA447" s="34"/>
      <c r="AB447" s="34"/>
    </row>
    <row r="448" spans="2:28" ht="15">
      <c r="B448" s="34"/>
      <c r="F448" s="115">
        <f>+(disponibilidad[[#This Row],[Fecha y hora fin]]-disponibilidad[[#This Row],[Fecha y hora inicio]])*1440</f>
        <v>0</v>
      </c>
      <c r="AA448" s="34"/>
      <c r="AB448" s="34"/>
    </row>
    <row r="449" spans="2:28" ht="15">
      <c r="B449" s="34"/>
      <c r="F449" s="115">
        <f>+(disponibilidad[[#This Row],[Fecha y hora fin]]-disponibilidad[[#This Row],[Fecha y hora inicio]])*1440</f>
        <v>0</v>
      </c>
      <c r="AA449" s="34"/>
      <c r="AB449" s="34"/>
    </row>
    <row r="450" spans="2:28" ht="15">
      <c r="B450" s="34"/>
      <c r="F450" s="115">
        <f>+(disponibilidad[[#This Row],[Fecha y hora fin]]-disponibilidad[[#This Row],[Fecha y hora inicio]])*1440</f>
        <v>0</v>
      </c>
      <c r="AA450" s="34"/>
      <c r="AB450" s="34"/>
    </row>
    <row r="451" spans="2:28" ht="15">
      <c r="B451" s="34"/>
      <c r="F451" s="115">
        <f>+(disponibilidad[[#This Row],[Fecha y hora fin]]-disponibilidad[[#This Row],[Fecha y hora inicio]])*1440</f>
        <v>0</v>
      </c>
      <c r="AA451" s="34"/>
      <c r="AB451" s="34"/>
    </row>
    <row r="452" spans="2:28" ht="15">
      <c r="B452" s="34"/>
      <c r="F452" s="115">
        <f>+(disponibilidad[[#This Row],[Fecha y hora fin]]-disponibilidad[[#This Row],[Fecha y hora inicio]])*1440</f>
        <v>0</v>
      </c>
      <c r="AA452" s="34"/>
      <c r="AB452" s="34"/>
    </row>
    <row r="453" spans="2:28" ht="15">
      <c r="B453" s="34"/>
      <c r="F453" s="115">
        <f>+(disponibilidad[[#This Row],[Fecha y hora fin]]-disponibilidad[[#This Row],[Fecha y hora inicio]])*1440</f>
        <v>0</v>
      </c>
      <c r="AA453" s="34"/>
      <c r="AB453" s="34"/>
    </row>
    <row r="454" spans="2:28" ht="15">
      <c r="B454" s="34"/>
      <c r="F454" s="115">
        <f>+(disponibilidad[[#This Row],[Fecha y hora fin]]-disponibilidad[[#This Row],[Fecha y hora inicio]])*1440</f>
        <v>0</v>
      </c>
      <c r="AA454" s="34"/>
      <c r="AB454" s="34"/>
    </row>
    <row r="455" spans="2:28" ht="15">
      <c r="B455" s="34"/>
      <c r="F455" s="115">
        <f>+(disponibilidad[[#This Row],[Fecha y hora fin]]-disponibilidad[[#This Row],[Fecha y hora inicio]])*1440</f>
        <v>0</v>
      </c>
      <c r="AA455" s="34"/>
      <c r="AB455" s="34"/>
    </row>
    <row r="456" spans="2:28" ht="15">
      <c r="B456" s="34"/>
      <c r="F456" s="115">
        <f>+(disponibilidad[[#This Row],[Fecha y hora fin]]-disponibilidad[[#This Row],[Fecha y hora inicio]])*1440</f>
        <v>0</v>
      </c>
      <c r="AA456" s="34"/>
      <c r="AB456" s="34"/>
    </row>
    <row r="457" spans="2:28" ht="15">
      <c r="B457" s="34"/>
      <c r="F457" s="115">
        <f>+(disponibilidad[[#This Row],[Fecha y hora fin]]-disponibilidad[[#This Row],[Fecha y hora inicio]])*1440</f>
        <v>0</v>
      </c>
      <c r="AA457" s="34"/>
      <c r="AB457" s="34"/>
    </row>
    <row r="458" spans="2:28" ht="15">
      <c r="B458" s="34"/>
      <c r="F458" s="115">
        <f>+(disponibilidad[[#This Row],[Fecha y hora fin]]-disponibilidad[[#This Row],[Fecha y hora inicio]])*1440</f>
        <v>0</v>
      </c>
      <c r="AA458" s="34"/>
      <c r="AB458" s="34"/>
    </row>
    <row r="459" spans="2:28" ht="15">
      <c r="B459" s="34"/>
      <c r="F459" s="115">
        <f>+(disponibilidad[[#This Row],[Fecha y hora fin]]-disponibilidad[[#This Row],[Fecha y hora inicio]])*1440</f>
        <v>0</v>
      </c>
      <c r="AA459" s="34"/>
      <c r="AB459" s="34"/>
    </row>
    <row r="460" spans="2:28" ht="15">
      <c r="B460" s="34"/>
      <c r="F460" s="115">
        <f>+(disponibilidad[[#This Row],[Fecha y hora fin]]-disponibilidad[[#This Row],[Fecha y hora inicio]])*1440</f>
        <v>0</v>
      </c>
      <c r="AA460" s="34"/>
      <c r="AB460" s="34"/>
    </row>
    <row r="461" spans="2:28" ht="15">
      <c r="B461" s="34"/>
      <c r="F461" s="115">
        <f>+(disponibilidad[[#This Row],[Fecha y hora fin]]-disponibilidad[[#This Row],[Fecha y hora inicio]])*1440</f>
        <v>0</v>
      </c>
      <c r="AA461" s="34"/>
      <c r="AB461" s="34"/>
    </row>
    <row r="462" spans="2:28" ht="15">
      <c r="B462" s="34"/>
      <c r="F462" s="115">
        <f>+(disponibilidad[[#This Row],[Fecha y hora fin]]-disponibilidad[[#This Row],[Fecha y hora inicio]])*1440</f>
        <v>0</v>
      </c>
      <c r="AA462" s="34"/>
      <c r="AB462" s="34"/>
    </row>
    <row r="463" spans="2:28" ht="15">
      <c r="B463" s="34"/>
      <c r="F463" s="115">
        <f>+(disponibilidad[[#This Row],[Fecha y hora fin]]-disponibilidad[[#This Row],[Fecha y hora inicio]])*1440</f>
        <v>0</v>
      </c>
      <c r="AA463" s="34"/>
      <c r="AB463" s="34"/>
    </row>
    <row r="464" spans="2:28" ht="15">
      <c r="B464" s="34"/>
      <c r="F464" s="115">
        <f>+(disponibilidad[[#This Row],[Fecha y hora fin]]-disponibilidad[[#This Row],[Fecha y hora inicio]])*1440</f>
        <v>0</v>
      </c>
      <c r="AA464" s="34"/>
      <c r="AB464" s="34"/>
    </row>
    <row r="465" spans="2:28" ht="15">
      <c r="B465" s="34"/>
      <c r="F465" s="115">
        <f>+(disponibilidad[[#This Row],[Fecha y hora fin]]-disponibilidad[[#This Row],[Fecha y hora inicio]])*1440</f>
        <v>0</v>
      </c>
      <c r="AA465" s="34"/>
      <c r="AB465" s="34"/>
    </row>
    <row r="466" spans="2:28" ht="15">
      <c r="B466" s="34"/>
      <c r="F466" s="115">
        <f>+(disponibilidad[[#This Row],[Fecha y hora fin]]-disponibilidad[[#This Row],[Fecha y hora inicio]])*1440</f>
        <v>0</v>
      </c>
      <c r="AA466" s="34"/>
      <c r="AB466" s="34"/>
    </row>
    <row r="467" spans="2:28" ht="15">
      <c r="B467" s="34"/>
      <c r="F467" s="115">
        <f>+(disponibilidad[[#This Row],[Fecha y hora fin]]-disponibilidad[[#This Row],[Fecha y hora inicio]])*1440</f>
        <v>0</v>
      </c>
      <c r="AA467" s="34"/>
      <c r="AB467" s="34"/>
    </row>
    <row r="468" spans="2:28" ht="15">
      <c r="B468" s="34"/>
      <c r="F468" s="115">
        <f>+(disponibilidad[[#This Row],[Fecha y hora fin]]-disponibilidad[[#This Row],[Fecha y hora inicio]])*1440</f>
        <v>0</v>
      </c>
      <c r="AA468" s="34"/>
      <c r="AB468" s="34"/>
    </row>
    <row r="469" spans="2:28" ht="15">
      <c r="B469" s="34"/>
      <c r="F469" s="115">
        <f>+(disponibilidad[[#This Row],[Fecha y hora fin]]-disponibilidad[[#This Row],[Fecha y hora inicio]])*1440</f>
        <v>0</v>
      </c>
      <c r="AA469" s="34"/>
      <c r="AB469" s="34"/>
    </row>
    <row r="470" spans="2:28" ht="15">
      <c r="B470" s="34"/>
      <c r="F470" s="115">
        <f>+(disponibilidad[[#This Row],[Fecha y hora fin]]-disponibilidad[[#This Row],[Fecha y hora inicio]])*1440</f>
        <v>0</v>
      </c>
      <c r="AA470" s="34"/>
      <c r="AB470" s="34"/>
    </row>
    <row r="471" spans="2:28" ht="15">
      <c r="B471" s="34"/>
      <c r="F471" s="115">
        <f>+(disponibilidad[[#This Row],[Fecha y hora fin]]-disponibilidad[[#This Row],[Fecha y hora inicio]])*1440</f>
        <v>0</v>
      </c>
      <c r="AA471" s="34"/>
      <c r="AB471" s="34"/>
    </row>
    <row r="472" spans="2:28" ht="15">
      <c r="B472" s="34"/>
      <c r="F472" s="115">
        <f>+(disponibilidad[[#This Row],[Fecha y hora fin]]-disponibilidad[[#This Row],[Fecha y hora inicio]])*1440</f>
        <v>0</v>
      </c>
      <c r="AA472" s="34"/>
      <c r="AB472" s="34"/>
    </row>
    <row r="473" spans="2:28" ht="15">
      <c r="B473" s="34"/>
      <c r="F473" s="115">
        <f>+(disponibilidad[[#This Row],[Fecha y hora fin]]-disponibilidad[[#This Row],[Fecha y hora inicio]])*1440</f>
        <v>0</v>
      </c>
      <c r="AA473" s="34"/>
      <c r="AB473" s="34"/>
    </row>
    <row r="474" spans="2:28" ht="15">
      <c r="B474" s="34"/>
      <c r="C474" s="1"/>
      <c r="F474" s="115">
        <f>+(disponibilidad[[#This Row],[Fecha y hora fin]]-disponibilidad[[#This Row],[Fecha y hora inicio]])*1440</f>
        <v>0</v>
      </c>
      <c r="AA474" s="34"/>
      <c r="AB474" s="34"/>
    </row>
    <row r="475" spans="2:28" ht="15">
      <c r="B475" s="34"/>
      <c r="F475" s="115">
        <f>+(disponibilidad[[#This Row],[Fecha y hora fin]]-disponibilidad[[#This Row],[Fecha y hora inicio]])*1440</f>
        <v>0</v>
      </c>
      <c r="AA475" s="34"/>
      <c r="AB475" s="34"/>
    </row>
    <row r="476" spans="2:28" ht="15">
      <c r="B476" s="34"/>
      <c r="F476" s="115">
        <f>+(disponibilidad[[#This Row],[Fecha y hora fin]]-disponibilidad[[#This Row],[Fecha y hora inicio]])*1440</f>
        <v>0</v>
      </c>
      <c r="AA476" s="34"/>
      <c r="AB476" s="34"/>
    </row>
    <row r="477" spans="2:28" ht="15">
      <c r="B477" s="34"/>
      <c r="F477" s="115">
        <f>+(disponibilidad[[#This Row],[Fecha y hora fin]]-disponibilidad[[#This Row],[Fecha y hora inicio]])*1440</f>
        <v>0</v>
      </c>
      <c r="AA477" s="34"/>
      <c r="AB477" s="34"/>
    </row>
    <row r="478" spans="2:28" ht="15">
      <c r="B478" s="34"/>
      <c r="F478" s="115">
        <f>+(disponibilidad[[#This Row],[Fecha y hora fin]]-disponibilidad[[#This Row],[Fecha y hora inicio]])*1440</f>
        <v>0</v>
      </c>
      <c r="AA478" s="34"/>
      <c r="AB478" s="34"/>
    </row>
    <row r="479" spans="2:28" ht="15">
      <c r="B479" s="34"/>
      <c r="F479" s="115">
        <f>+(disponibilidad[[#This Row],[Fecha y hora fin]]-disponibilidad[[#This Row],[Fecha y hora inicio]])*1440</f>
        <v>0</v>
      </c>
      <c r="AA479" s="34"/>
      <c r="AB479" s="34"/>
    </row>
    <row r="480" spans="2:28" ht="15">
      <c r="B480" s="34"/>
      <c r="F480" s="115">
        <f>+(disponibilidad[[#This Row],[Fecha y hora fin]]-disponibilidad[[#This Row],[Fecha y hora inicio]])*1440</f>
        <v>0</v>
      </c>
      <c r="AA480" s="34"/>
      <c r="AB480" s="34"/>
    </row>
    <row r="481" spans="2:28" ht="15">
      <c r="B481" s="34"/>
      <c r="F481" s="115">
        <f>+(disponibilidad[[#This Row],[Fecha y hora fin]]-disponibilidad[[#This Row],[Fecha y hora inicio]])*1440</f>
        <v>0</v>
      </c>
      <c r="AA481" s="34"/>
      <c r="AB481" s="34"/>
    </row>
    <row r="482" spans="2:28" ht="15">
      <c r="B482" s="34"/>
      <c r="F482" s="115">
        <f>+(disponibilidad[[#This Row],[Fecha y hora fin]]-disponibilidad[[#This Row],[Fecha y hora inicio]])*1440</f>
        <v>0</v>
      </c>
      <c r="AA482" s="34"/>
      <c r="AB482" s="34"/>
    </row>
    <row r="483" spans="2:28" ht="15">
      <c r="B483" s="34"/>
      <c r="F483" s="115">
        <f>+(disponibilidad[[#This Row],[Fecha y hora fin]]-disponibilidad[[#This Row],[Fecha y hora inicio]])*1440</f>
        <v>0</v>
      </c>
      <c r="AA483" s="34"/>
      <c r="AB483" s="34"/>
    </row>
    <row r="484" spans="2:28" ht="15">
      <c r="B484" s="34"/>
      <c r="F484" s="115">
        <f>+(disponibilidad[[#This Row],[Fecha y hora fin]]-disponibilidad[[#This Row],[Fecha y hora inicio]])*1440</f>
        <v>0</v>
      </c>
      <c r="AA484" s="34"/>
      <c r="AB484" s="34"/>
    </row>
    <row r="485" spans="2:28" ht="15">
      <c r="B485" s="34"/>
      <c r="F485" s="115">
        <f>+(disponibilidad[[#This Row],[Fecha y hora fin]]-disponibilidad[[#This Row],[Fecha y hora inicio]])*1440</f>
        <v>0</v>
      </c>
      <c r="AA485" s="34"/>
      <c r="AB485" s="34"/>
    </row>
    <row r="486" spans="2:28" ht="15">
      <c r="B486" s="34"/>
      <c r="F486" s="115">
        <f>+(disponibilidad[[#This Row],[Fecha y hora fin]]-disponibilidad[[#This Row],[Fecha y hora inicio]])*1440</f>
        <v>0</v>
      </c>
      <c r="AA486" s="34"/>
      <c r="AB486" s="34"/>
    </row>
    <row r="487" spans="2:28" ht="15">
      <c r="B487" s="34"/>
      <c r="F487" s="115">
        <f>+(disponibilidad[[#This Row],[Fecha y hora fin]]-disponibilidad[[#This Row],[Fecha y hora inicio]])*1440</f>
        <v>0</v>
      </c>
      <c r="AA487" s="34"/>
      <c r="AB487" s="34"/>
    </row>
    <row r="488" spans="2:28" ht="15">
      <c r="B488" s="34"/>
      <c r="F488" s="115">
        <f>+(disponibilidad[[#This Row],[Fecha y hora fin]]-disponibilidad[[#This Row],[Fecha y hora inicio]])*1440</f>
        <v>0</v>
      </c>
      <c r="AA488" s="34"/>
      <c r="AB488" s="34"/>
    </row>
    <row r="489" spans="2:28" ht="15">
      <c r="B489" s="34"/>
      <c r="F489" s="115">
        <f>+(disponibilidad[[#This Row],[Fecha y hora fin]]-disponibilidad[[#This Row],[Fecha y hora inicio]])*1440</f>
        <v>0</v>
      </c>
      <c r="AA489" s="34"/>
      <c r="AB489" s="34"/>
    </row>
    <row r="490" spans="2:28" ht="15">
      <c r="B490" s="34"/>
      <c r="F490" s="115">
        <f>+(disponibilidad[[#This Row],[Fecha y hora fin]]-disponibilidad[[#This Row],[Fecha y hora inicio]])*1440</f>
        <v>0</v>
      </c>
      <c r="AA490" s="34"/>
      <c r="AB490" s="34"/>
    </row>
    <row r="491" spans="2:28" ht="15">
      <c r="B491" s="34"/>
      <c r="F491" s="115">
        <f>+(disponibilidad[[#This Row],[Fecha y hora fin]]-disponibilidad[[#This Row],[Fecha y hora inicio]])*1440</f>
        <v>0</v>
      </c>
      <c r="AA491" s="34"/>
      <c r="AB491" s="34"/>
    </row>
    <row r="492" spans="2:28" ht="15">
      <c r="B492" s="34"/>
      <c r="F492" s="115">
        <f>+(disponibilidad[[#This Row],[Fecha y hora fin]]-disponibilidad[[#This Row],[Fecha y hora inicio]])*1440</f>
        <v>0</v>
      </c>
      <c r="AA492" s="34"/>
      <c r="AB492" s="34"/>
    </row>
    <row r="493" spans="2:28" ht="15">
      <c r="B493" s="34"/>
      <c r="F493" s="115">
        <f>+(disponibilidad[[#This Row],[Fecha y hora fin]]-disponibilidad[[#This Row],[Fecha y hora inicio]])*1440</f>
        <v>0</v>
      </c>
      <c r="AA493" s="34"/>
      <c r="AB493" s="34"/>
    </row>
    <row r="494" spans="2:28" ht="15">
      <c r="B494" s="34"/>
      <c r="F494" s="115">
        <f>+(disponibilidad[[#This Row],[Fecha y hora fin]]-disponibilidad[[#This Row],[Fecha y hora inicio]])*1440</f>
        <v>0</v>
      </c>
      <c r="AA494" s="34"/>
      <c r="AB494" s="34"/>
    </row>
    <row r="495" spans="2:28" ht="15">
      <c r="B495" s="34"/>
      <c r="F495" s="115">
        <f>+(disponibilidad[[#This Row],[Fecha y hora fin]]-disponibilidad[[#This Row],[Fecha y hora inicio]])*1440</f>
        <v>0</v>
      </c>
      <c r="AA495" s="34"/>
      <c r="AB495" s="34"/>
    </row>
    <row r="496" spans="2:28" ht="15">
      <c r="B496" s="34"/>
      <c r="F496" s="115">
        <f>+(disponibilidad[[#This Row],[Fecha y hora fin]]-disponibilidad[[#This Row],[Fecha y hora inicio]])*1440</f>
        <v>0</v>
      </c>
      <c r="AA496" s="34"/>
      <c r="AB496" s="34"/>
    </row>
    <row r="497" spans="2:28" ht="15">
      <c r="B497" s="34"/>
      <c r="F497" s="115">
        <f>+(disponibilidad[[#This Row],[Fecha y hora fin]]-disponibilidad[[#This Row],[Fecha y hora inicio]])*1440</f>
        <v>0</v>
      </c>
      <c r="AA497" s="34"/>
      <c r="AB497" s="34"/>
    </row>
    <row r="498" spans="2:28" ht="15">
      <c r="B498" s="34"/>
      <c r="F498" s="115">
        <f>+(disponibilidad[[#This Row],[Fecha y hora fin]]-disponibilidad[[#This Row],[Fecha y hora inicio]])*1440</f>
        <v>0</v>
      </c>
      <c r="AA498" s="34"/>
      <c r="AB498" s="34"/>
    </row>
    <row r="499" spans="2:28" ht="15">
      <c r="B499" s="34"/>
      <c r="F499" s="115">
        <f>+(disponibilidad[[#This Row],[Fecha y hora fin]]-disponibilidad[[#This Row],[Fecha y hora inicio]])*1440</f>
        <v>0</v>
      </c>
      <c r="AA499" s="34"/>
      <c r="AB499" s="34"/>
    </row>
    <row r="500" spans="2:28" ht="15">
      <c r="B500" s="34"/>
      <c r="F500" s="115">
        <f>+(disponibilidad[[#This Row],[Fecha y hora fin]]-disponibilidad[[#This Row],[Fecha y hora inicio]])*1440</f>
        <v>0</v>
      </c>
      <c r="AA500" s="34"/>
      <c r="AB500" s="34"/>
    </row>
    <row r="501" spans="2:28" ht="15">
      <c r="B501" s="34"/>
      <c r="F501" s="115">
        <f>+(disponibilidad[[#This Row],[Fecha y hora fin]]-disponibilidad[[#This Row],[Fecha y hora inicio]])*1440</f>
        <v>0</v>
      </c>
      <c r="AA501" s="34"/>
      <c r="AB501" s="34"/>
    </row>
    <row r="502" spans="2:28" ht="15">
      <c r="B502" s="34"/>
      <c r="F502" s="115">
        <f>+(disponibilidad[[#This Row],[Fecha y hora fin]]-disponibilidad[[#This Row],[Fecha y hora inicio]])*1440</f>
        <v>0</v>
      </c>
      <c r="AA502" s="34"/>
      <c r="AB502" s="34"/>
    </row>
    <row r="503" spans="2:28" ht="15">
      <c r="B503" s="34"/>
      <c r="F503" s="115">
        <f>+(disponibilidad[[#This Row],[Fecha y hora fin]]-disponibilidad[[#This Row],[Fecha y hora inicio]])*1440</f>
        <v>0</v>
      </c>
      <c r="AA503" s="34"/>
      <c r="AB503" s="34"/>
    </row>
    <row r="504" spans="2:28" ht="15">
      <c r="B504" s="34"/>
      <c r="F504" s="115">
        <f>+(disponibilidad[[#This Row],[Fecha y hora fin]]-disponibilidad[[#This Row],[Fecha y hora inicio]])*1440</f>
        <v>0</v>
      </c>
      <c r="AA504" s="34"/>
      <c r="AB504" s="34"/>
    </row>
    <row r="505" spans="2:28" ht="15">
      <c r="B505" s="34"/>
      <c r="F505" s="115">
        <f>+(disponibilidad[[#This Row],[Fecha y hora fin]]-disponibilidad[[#This Row],[Fecha y hora inicio]])*1440</f>
        <v>0</v>
      </c>
      <c r="AA505" s="34"/>
      <c r="AB505" s="34"/>
    </row>
    <row r="506" spans="2:28" ht="15">
      <c r="B506" s="34"/>
      <c r="F506" s="115">
        <f>+(disponibilidad[[#This Row],[Fecha y hora fin]]-disponibilidad[[#This Row],[Fecha y hora inicio]])*1440</f>
        <v>0</v>
      </c>
      <c r="AA506" s="34"/>
      <c r="AB506" s="34"/>
    </row>
    <row r="507" spans="2:28" ht="15">
      <c r="B507" s="34"/>
      <c r="F507" s="115">
        <f>+(disponibilidad[[#This Row],[Fecha y hora fin]]-disponibilidad[[#This Row],[Fecha y hora inicio]])*1440</f>
        <v>0</v>
      </c>
      <c r="AA507" s="34"/>
      <c r="AB507" s="34"/>
    </row>
    <row r="508" spans="2:28" ht="15">
      <c r="B508" s="34"/>
      <c r="F508" s="115">
        <f>+(disponibilidad[[#This Row],[Fecha y hora fin]]-disponibilidad[[#This Row],[Fecha y hora inicio]])*1440</f>
        <v>0</v>
      </c>
      <c r="AA508" s="34"/>
      <c r="AB508" s="34"/>
    </row>
    <row r="509" spans="2:28" ht="15">
      <c r="B509" s="34"/>
      <c r="F509" s="115">
        <f>+(disponibilidad[[#This Row],[Fecha y hora fin]]-disponibilidad[[#This Row],[Fecha y hora inicio]])*1440</f>
        <v>0</v>
      </c>
      <c r="AA509" s="34"/>
      <c r="AB509" s="34"/>
    </row>
    <row r="510" spans="2:28" ht="15">
      <c r="B510" s="34"/>
      <c r="F510" s="115">
        <f>+(disponibilidad[[#This Row],[Fecha y hora fin]]-disponibilidad[[#This Row],[Fecha y hora inicio]])*1440</f>
        <v>0</v>
      </c>
      <c r="AA510" s="34"/>
      <c r="AB510" s="34"/>
    </row>
    <row r="511" spans="2:28" ht="15">
      <c r="B511" s="34"/>
      <c r="F511" s="115">
        <f>+(disponibilidad[[#This Row],[Fecha y hora fin]]-disponibilidad[[#This Row],[Fecha y hora inicio]])*1440</f>
        <v>0</v>
      </c>
      <c r="AA511" s="34"/>
      <c r="AB511" s="34"/>
    </row>
    <row r="512" spans="2:28" ht="15">
      <c r="B512" s="34"/>
      <c r="F512" s="115">
        <f>+(disponibilidad[[#This Row],[Fecha y hora fin]]-disponibilidad[[#This Row],[Fecha y hora inicio]])*1440</f>
        <v>0</v>
      </c>
      <c r="AA512" s="34"/>
      <c r="AB512" s="34"/>
    </row>
    <row r="513" spans="2:28" ht="15">
      <c r="B513" s="34"/>
      <c r="F513" s="115">
        <f>+(disponibilidad[[#This Row],[Fecha y hora fin]]-disponibilidad[[#This Row],[Fecha y hora inicio]])*1440</f>
        <v>0</v>
      </c>
      <c r="AA513" s="34"/>
      <c r="AB513" s="34"/>
    </row>
    <row r="514" spans="2:28" ht="15">
      <c r="B514" s="34"/>
      <c r="F514" s="115">
        <f>+(disponibilidad[[#This Row],[Fecha y hora fin]]-disponibilidad[[#This Row],[Fecha y hora inicio]])*1440</f>
        <v>0</v>
      </c>
      <c r="AA514" s="34"/>
      <c r="AB514" s="34"/>
    </row>
    <row r="515" spans="2:28" ht="15">
      <c r="B515" s="34"/>
      <c r="F515" s="115">
        <f>+(disponibilidad[[#This Row],[Fecha y hora fin]]-disponibilidad[[#This Row],[Fecha y hora inicio]])*1440</f>
        <v>0</v>
      </c>
      <c r="AA515" s="34"/>
      <c r="AB515" s="34"/>
    </row>
    <row r="516" spans="2:28" ht="15">
      <c r="B516" s="34"/>
      <c r="F516" s="115">
        <f>+(disponibilidad[[#This Row],[Fecha y hora fin]]-disponibilidad[[#This Row],[Fecha y hora inicio]])*1440</f>
        <v>0</v>
      </c>
      <c r="AA516" s="34"/>
      <c r="AB516" s="34"/>
    </row>
    <row r="517" spans="2:28" ht="15">
      <c r="B517" s="34"/>
      <c r="F517" s="115">
        <f>+(disponibilidad[[#This Row],[Fecha y hora fin]]-disponibilidad[[#This Row],[Fecha y hora inicio]])*1440</f>
        <v>0</v>
      </c>
      <c r="AA517" s="34"/>
      <c r="AB517" s="34"/>
    </row>
    <row r="518" spans="2:28" ht="15">
      <c r="B518" s="34"/>
      <c r="F518" s="115">
        <f>+(disponibilidad[[#This Row],[Fecha y hora fin]]-disponibilidad[[#This Row],[Fecha y hora inicio]])*1440</f>
        <v>0</v>
      </c>
      <c r="AA518" s="34"/>
      <c r="AB518" s="34"/>
    </row>
    <row r="519" spans="2:28" ht="15">
      <c r="B519" s="34"/>
      <c r="F519" s="115">
        <f>+(disponibilidad[[#This Row],[Fecha y hora fin]]-disponibilidad[[#This Row],[Fecha y hora inicio]])*1440</f>
        <v>0</v>
      </c>
      <c r="AA519" s="34"/>
      <c r="AB519" s="34"/>
    </row>
    <row r="520" spans="2:28" ht="15">
      <c r="B520" s="34"/>
      <c r="F520" s="115">
        <f>+(disponibilidad[[#This Row],[Fecha y hora fin]]-disponibilidad[[#This Row],[Fecha y hora inicio]])*1440</f>
        <v>0</v>
      </c>
      <c r="AA520" s="34"/>
      <c r="AB520" s="34"/>
    </row>
    <row r="521" spans="2:28" ht="15">
      <c r="B521" s="34"/>
      <c r="F521" s="115">
        <f>+(disponibilidad[[#This Row],[Fecha y hora fin]]-disponibilidad[[#This Row],[Fecha y hora inicio]])*1440</f>
        <v>0</v>
      </c>
      <c r="AA521" s="34"/>
      <c r="AB521" s="34"/>
    </row>
    <row r="522" spans="2:28" ht="15">
      <c r="B522" s="34"/>
      <c r="F522" s="115">
        <f>+(disponibilidad[[#This Row],[Fecha y hora fin]]-disponibilidad[[#This Row],[Fecha y hora inicio]])*1440</f>
        <v>0</v>
      </c>
      <c r="AA522" s="34"/>
      <c r="AB522" s="34"/>
    </row>
    <row r="523" spans="2:28" ht="15">
      <c r="B523" s="34"/>
      <c r="F523" s="115">
        <f>+(disponibilidad[[#This Row],[Fecha y hora fin]]-disponibilidad[[#This Row],[Fecha y hora inicio]])*1440</f>
        <v>0</v>
      </c>
      <c r="AA523" s="34"/>
      <c r="AB523" s="34"/>
    </row>
    <row r="524" spans="2:28" ht="15">
      <c r="B524" s="34"/>
      <c r="F524" s="115">
        <f>+(disponibilidad[[#This Row],[Fecha y hora fin]]-disponibilidad[[#This Row],[Fecha y hora inicio]])*1440</f>
        <v>0</v>
      </c>
      <c r="AA524" s="34"/>
      <c r="AB524" s="34"/>
    </row>
    <row r="525" spans="2:28" ht="15">
      <c r="B525" s="34"/>
      <c r="F525" s="115">
        <f>+(disponibilidad[[#This Row],[Fecha y hora fin]]-disponibilidad[[#This Row],[Fecha y hora inicio]])*1440</f>
        <v>0</v>
      </c>
      <c r="AA525" s="34"/>
      <c r="AB525" s="34"/>
    </row>
    <row r="526" spans="2:28" ht="15">
      <c r="B526" s="34"/>
      <c r="F526" s="115">
        <f>+(disponibilidad[[#This Row],[Fecha y hora fin]]-disponibilidad[[#This Row],[Fecha y hora inicio]])*1440</f>
        <v>0</v>
      </c>
      <c r="AA526" s="34"/>
      <c r="AB526" s="34"/>
    </row>
    <row r="527" spans="2:28" ht="15">
      <c r="B527" s="34"/>
      <c r="F527" s="115">
        <f>+(disponibilidad[[#This Row],[Fecha y hora fin]]-disponibilidad[[#This Row],[Fecha y hora inicio]])*1440</f>
        <v>0</v>
      </c>
      <c r="AA527" s="34"/>
      <c r="AB527" s="34"/>
    </row>
    <row r="528" spans="2:28" ht="15">
      <c r="B528" s="34"/>
      <c r="F528" s="115">
        <f>+(disponibilidad[[#This Row],[Fecha y hora fin]]-disponibilidad[[#This Row],[Fecha y hora inicio]])*1440</f>
        <v>0</v>
      </c>
      <c r="AA528" s="34"/>
      <c r="AB528" s="34"/>
    </row>
    <row r="529" spans="2:28" ht="15">
      <c r="B529" s="34"/>
      <c r="F529" s="115">
        <f>+(disponibilidad[[#This Row],[Fecha y hora fin]]-disponibilidad[[#This Row],[Fecha y hora inicio]])*1440</f>
        <v>0</v>
      </c>
      <c r="AA529" s="34"/>
      <c r="AB529" s="34"/>
    </row>
    <row r="530" spans="2:28" ht="15">
      <c r="B530" s="34"/>
      <c r="F530" s="115">
        <f>+(disponibilidad[[#This Row],[Fecha y hora fin]]-disponibilidad[[#This Row],[Fecha y hora inicio]])*1440</f>
        <v>0</v>
      </c>
      <c r="AA530" s="34"/>
      <c r="AB530" s="34"/>
    </row>
    <row r="531" spans="2:28" ht="15">
      <c r="B531" s="34"/>
      <c r="F531" s="115">
        <f>+(disponibilidad[[#This Row],[Fecha y hora fin]]-disponibilidad[[#This Row],[Fecha y hora inicio]])*1440</f>
        <v>0</v>
      </c>
      <c r="AA531" s="34"/>
      <c r="AB531" s="34"/>
    </row>
    <row r="532" spans="2:28" ht="15">
      <c r="B532" s="34"/>
      <c r="F532" s="115">
        <f>+(disponibilidad[[#This Row],[Fecha y hora fin]]-disponibilidad[[#This Row],[Fecha y hora inicio]])*1440</f>
        <v>0</v>
      </c>
      <c r="AA532" s="34"/>
      <c r="AB532" s="34"/>
    </row>
    <row r="533" spans="2:28" ht="15">
      <c r="B533" s="34"/>
      <c r="F533" s="115">
        <f>+(disponibilidad[[#This Row],[Fecha y hora fin]]-disponibilidad[[#This Row],[Fecha y hora inicio]])*1440</f>
        <v>0</v>
      </c>
      <c r="AA533" s="34"/>
      <c r="AB533" s="34"/>
    </row>
    <row r="534" spans="2:28" ht="15">
      <c r="B534" s="34"/>
      <c r="F534" s="115">
        <f>+(disponibilidad[[#This Row],[Fecha y hora fin]]-disponibilidad[[#This Row],[Fecha y hora inicio]])*1440</f>
        <v>0</v>
      </c>
      <c r="AA534" s="34"/>
      <c r="AB534" s="34"/>
    </row>
    <row r="535" spans="2:28" ht="15">
      <c r="B535" s="34"/>
      <c r="F535" s="115">
        <f>+(disponibilidad[[#This Row],[Fecha y hora fin]]-disponibilidad[[#This Row],[Fecha y hora inicio]])*1440</f>
        <v>0</v>
      </c>
      <c r="AA535" s="34"/>
      <c r="AB535" s="34"/>
    </row>
    <row r="536" spans="2:28" ht="15">
      <c r="B536" s="34"/>
      <c r="F536" s="115">
        <f>+(disponibilidad[[#This Row],[Fecha y hora fin]]-disponibilidad[[#This Row],[Fecha y hora inicio]])*1440</f>
        <v>0</v>
      </c>
      <c r="AA536" s="34"/>
      <c r="AB536" s="34"/>
    </row>
    <row r="537" spans="2:28" ht="15">
      <c r="B537" s="34"/>
      <c r="F537" s="115">
        <f>+(disponibilidad[[#This Row],[Fecha y hora fin]]-disponibilidad[[#This Row],[Fecha y hora inicio]])*1440</f>
        <v>0</v>
      </c>
      <c r="AA537" s="34"/>
      <c r="AB537" s="34"/>
    </row>
    <row r="538" spans="2:28" ht="15">
      <c r="B538" s="34"/>
      <c r="F538" s="115">
        <f>+(disponibilidad[[#This Row],[Fecha y hora fin]]-disponibilidad[[#This Row],[Fecha y hora inicio]])*1440</f>
        <v>0</v>
      </c>
      <c r="AA538" s="34"/>
      <c r="AB538" s="34"/>
    </row>
    <row r="539" spans="2:28" ht="15">
      <c r="B539" s="34"/>
      <c r="F539" s="115">
        <f>+(disponibilidad[[#This Row],[Fecha y hora fin]]-disponibilidad[[#This Row],[Fecha y hora inicio]])*1440</f>
        <v>0</v>
      </c>
      <c r="AA539" s="34"/>
      <c r="AB539" s="34"/>
    </row>
    <row r="540" spans="2:28" ht="15">
      <c r="B540" s="34"/>
      <c r="F540" s="115">
        <f>+(disponibilidad[[#This Row],[Fecha y hora fin]]-disponibilidad[[#This Row],[Fecha y hora inicio]])*1440</f>
        <v>0</v>
      </c>
      <c r="AA540" s="34"/>
      <c r="AB540" s="34"/>
    </row>
    <row r="541" spans="2:28" ht="15">
      <c r="B541" s="34"/>
      <c r="F541" s="115">
        <f>+(disponibilidad[[#This Row],[Fecha y hora fin]]-disponibilidad[[#This Row],[Fecha y hora inicio]])*1440</f>
        <v>0</v>
      </c>
      <c r="AA541" s="34"/>
      <c r="AB541" s="34"/>
    </row>
    <row r="542" spans="2:28" ht="15">
      <c r="B542" s="34"/>
      <c r="F542" s="115">
        <f>+(disponibilidad[[#This Row],[Fecha y hora fin]]-disponibilidad[[#This Row],[Fecha y hora inicio]])*1440</f>
        <v>0</v>
      </c>
      <c r="AA542" s="34"/>
      <c r="AB542" s="34"/>
    </row>
    <row r="543" spans="2:28" ht="15">
      <c r="B543" s="34"/>
      <c r="F543" s="115">
        <f>+(disponibilidad[[#This Row],[Fecha y hora fin]]-disponibilidad[[#This Row],[Fecha y hora inicio]])*1440</f>
        <v>0</v>
      </c>
      <c r="AA543" s="34"/>
      <c r="AB543" s="34"/>
    </row>
    <row r="544" spans="2:28" ht="15">
      <c r="B544" s="34"/>
      <c r="F544" s="115">
        <f>+(disponibilidad[[#This Row],[Fecha y hora fin]]-disponibilidad[[#This Row],[Fecha y hora inicio]])*1440</f>
        <v>0</v>
      </c>
      <c r="AA544" s="34"/>
      <c r="AB544" s="34"/>
    </row>
    <row r="545" spans="2:28" ht="15">
      <c r="B545" s="34"/>
      <c r="F545" s="115">
        <f>+(disponibilidad[[#This Row],[Fecha y hora fin]]-disponibilidad[[#This Row],[Fecha y hora inicio]])*1440</f>
        <v>0</v>
      </c>
      <c r="AA545" s="34"/>
      <c r="AB545" s="34"/>
    </row>
    <row r="546" spans="2:28" ht="15">
      <c r="B546" s="34"/>
      <c r="F546" s="115">
        <f>+(disponibilidad[[#This Row],[Fecha y hora fin]]-disponibilidad[[#This Row],[Fecha y hora inicio]])*1440</f>
        <v>0</v>
      </c>
      <c r="AA546" s="34"/>
      <c r="AB546" s="34"/>
    </row>
    <row r="547" spans="2:28" ht="15">
      <c r="B547" s="34"/>
      <c r="F547" s="115">
        <f>+(disponibilidad[[#This Row],[Fecha y hora fin]]-disponibilidad[[#This Row],[Fecha y hora inicio]])*1440</f>
        <v>0</v>
      </c>
      <c r="AA547" s="34"/>
      <c r="AB547" s="34"/>
    </row>
    <row r="548" spans="2:28" ht="15">
      <c r="B548" s="34"/>
      <c r="F548" s="115">
        <f>+(disponibilidad[[#This Row],[Fecha y hora fin]]-disponibilidad[[#This Row],[Fecha y hora inicio]])*1440</f>
        <v>0</v>
      </c>
      <c r="AA548" s="34"/>
      <c r="AB548" s="34"/>
    </row>
    <row r="549" spans="2:28" ht="15">
      <c r="B549" s="34"/>
      <c r="F549" s="115">
        <f>+(disponibilidad[[#This Row],[Fecha y hora fin]]-disponibilidad[[#This Row],[Fecha y hora inicio]])*1440</f>
        <v>0</v>
      </c>
      <c r="AA549" s="34"/>
      <c r="AB549" s="34"/>
    </row>
    <row r="550" spans="2:28" ht="15">
      <c r="B550" s="34"/>
      <c r="F550" s="115">
        <f>+(disponibilidad[[#This Row],[Fecha y hora fin]]-disponibilidad[[#This Row],[Fecha y hora inicio]])*1440</f>
        <v>0</v>
      </c>
      <c r="AA550" s="34"/>
      <c r="AB550" s="34"/>
    </row>
    <row r="551" spans="2:28" ht="15">
      <c r="B551" s="34"/>
      <c r="F551" s="115">
        <f>+(disponibilidad[[#This Row],[Fecha y hora fin]]-disponibilidad[[#This Row],[Fecha y hora inicio]])*1440</f>
        <v>0</v>
      </c>
      <c r="AA551" s="34"/>
      <c r="AB551" s="34"/>
    </row>
    <row r="552" spans="2:28" ht="15">
      <c r="B552" s="34"/>
      <c r="F552" s="115">
        <f>+(disponibilidad[[#This Row],[Fecha y hora fin]]-disponibilidad[[#This Row],[Fecha y hora inicio]])*1440</f>
        <v>0</v>
      </c>
      <c r="AA552" s="34"/>
      <c r="AB552" s="34"/>
    </row>
    <row r="553" spans="2:28" ht="15">
      <c r="B553" s="34"/>
      <c r="F553" s="115">
        <f>+(disponibilidad[[#This Row],[Fecha y hora fin]]-disponibilidad[[#This Row],[Fecha y hora inicio]])*1440</f>
        <v>0</v>
      </c>
      <c r="AA553" s="34"/>
      <c r="AB553" s="34"/>
    </row>
    <row r="554" spans="2:28" ht="15">
      <c r="B554" s="34"/>
      <c r="F554" s="115">
        <f>+(disponibilidad[[#This Row],[Fecha y hora fin]]-disponibilidad[[#This Row],[Fecha y hora inicio]])*1440</f>
        <v>0</v>
      </c>
      <c r="AA554" s="34"/>
      <c r="AB554" s="34"/>
    </row>
    <row r="555" spans="2:28" ht="15">
      <c r="B555" s="34"/>
      <c r="F555" s="115">
        <f>+(disponibilidad[[#This Row],[Fecha y hora fin]]-disponibilidad[[#This Row],[Fecha y hora inicio]])*1440</f>
        <v>0</v>
      </c>
      <c r="AA555" s="34"/>
      <c r="AB555" s="34"/>
    </row>
    <row r="556" spans="2:28" ht="15">
      <c r="B556" s="34"/>
      <c r="F556" s="115">
        <f>+(disponibilidad[[#This Row],[Fecha y hora fin]]-disponibilidad[[#This Row],[Fecha y hora inicio]])*1440</f>
        <v>0</v>
      </c>
      <c r="AA556" s="34"/>
      <c r="AB556" s="34"/>
    </row>
    <row r="557" spans="2:28" ht="15">
      <c r="B557" s="34"/>
      <c r="F557" s="115">
        <f>+(disponibilidad[[#This Row],[Fecha y hora fin]]-disponibilidad[[#This Row],[Fecha y hora inicio]])*1440</f>
        <v>0</v>
      </c>
      <c r="AA557" s="34"/>
      <c r="AB557" s="34"/>
    </row>
    <row r="558" spans="2:28" ht="15">
      <c r="B558" s="34"/>
      <c r="F558" s="115">
        <f>+(disponibilidad[[#This Row],[Fecha y hora fin]]-disponibilidad[[#This Row],[Fecha y hora inicio]])*1440</f>
        <v>0</v>
      </c>
      <c r="AA558" s="34"/>
      <c r="AB558" s="34"/>
    </row>
    <row r="559" spans="2:28" ht="15">
      <c r="B559" s="34"/>
      <c r="F559" s="115">
        <f>+(disponibilidad[[#This Row],[Fecha y hora fin]]-disponibilidad[[#This Row],[Fecha y hora inicio]])*1440</f>
        <v>0</v>
      </c>
      <c r="AA559" s="34"/>
      <c r="AB559" s="34"/>
    </row>
    <row r="560" spans="2:28" ht="15">
      <c r="B560" s="34"/>
      <c r="F560" s="115">
        <f>+(disponibilidad[[#This Row],[Fecha y hora fin]]-disponibilidad[[#This Row],[Fecha y hora inicio]])*1440</f>
        <v>0</v>
      </c>
      <c r="AA560" s="34"/>
      <c r="AB560" s="34"/>
    </row>
    <row r="561" spans="2:28" ht="15">
      <c r="B561" s="34"/>
      <c r="F561" s="115">
        <f>+(disponibilidad[[#This Row],[Fecha y hora fin]]-disponibilidad[[#This Row],[Fecha y hora inicio]])*1440</f>
        <v>0</v>
      </c>
      <c r="AA561" s="34"/>
      <c r="AB561" s="34"/>
    </row>
    <row r="562" spans="2:28" ht="15">
      <c r="B562" s="34"/>
      <c r="F562" s="115">
        <f>+(disponibilidad[[#This Row],[Fecha y hora fin]]-disponibilidad[[#This Row],[Fecha y hora inicio]])*1440</f>
        <v>0</v>
      </c>
      <c r="AA562" s="34"/>
      <c r="AB562" s="34"/>
    </row>
    <row r="563" spans="2:28" ht="15">
      <c r="B563" s="34"/>
      <c r="F563" s="115">
        <f>+(disponibilidad[[#This Row],[Fecha y hora fin]]-disponibilidad[[#This Row],[Fecha y hora inicio]])*1440</f>
        <v>0</v>
      </c>
      <c r="AA563" s="34"/>
      <c r="AB563" s="34"/>
    </row>
    <row r="564" spans="2:28" ht="15">
      <c r="B564" s="34"/>
      <c r="F564" s="115">
        <f>+(disponibilidad[[#This Row],[Fecha y hora fin]]-disponibilidad[[#This Row],[Fecha y hora inicio]])*1440</f>
        <v>0</v>
      </c>
      <c r="AA564" s="34"/>
      <c r="AB564" s="34"/>
    </row>
    <row r="565" spans="2:28" ht="15">
      <c r="B565" s="34"/>
      <c r="F565" s="115">
        <f>+(disponibilidad[[#This Row],[Fecha y hora fin]]-disponibilidad[[#This Row],[Fecha y hora inicio]])*1440</f>
        <v>0</v>
      </c>
      <c r="AA565" s="34"/>
      <c r="AB565" s="34"/>
    </row>
    <row r="566" spans="2:28" ht="15">
      <c r="B566" s="34"/>
      <c r="F566" s="115">
        <f>+(disponibilidad[[#This Row],[Fecha y hora fin]]-disponibilidad[[#This Row],[Fecha y hora inicio]])*1440</f>
        <v>0</v>
      </c>
      <c r="AA566" s="34"/>
      <c r="AB566" s="34"/>
    </row>
    <row r="567" spans="2:28" ht="15">
      <c r="B567" s="34"/>
      <c r="F567" s="115">
        <f>+(disponibilidad[[#This Row],[Fecha y hora fin]]-disponibilidad[[#This Row],[Fecha y hora inicio]])*1440</f>
        <v>0</v>
      </c>
      <c r="AA567" s="34"/>
      <c r="AB567" s="34"/>
    </row>
    <row r="568" spans="2:28" ht="15">
      <c r="B568" s="34"/>
      <c r="F568" s="115">
        <f>+(disponibilidad[[#This Row],[Fecha y hora fin]]-disponibilidad[[#This Row],[Fecha y hora inicio]])*1440</f>
        <v>0</v>
      </c>
      <c r="AA568" s="34"/>
      <c r="AB568" s="34"/>
    </row>
    <row r="569" spans="2:28" ht="15">
      <c r="B569" s="34"/>
      <c r="F569" s="115">
        <f>+(disponibilidad[[#This Row],[Fecha y hora fin]]-disponibilidad[[#This Row],[Fecha y hora inicio]])*1440</f>
        <v>0</v>
      </c>
      <c r="AA569" s="34"/>
      <c r="AB569" s="34"/>
    </row>
    <row r="570" spans="2:28" ht="15">
      <c r="B570" s="34"/>
      <c r="F570" s="115">
        <f>+(disponibilidad[[#This Row],[Fecha y hora fin]]-disponibilidad[[#This Row],[Fecha y hora inicio]])*1440</f>
        <v>0</v>
      </c>
      <c r="AA570" s="34"/>
      <c r="AB570" s="34"/>
    </row>
    <row r="571" spans="2:28" ht="15">
      <c r="B571" s="34"/>
      <c r="F571" s="115">
        <f>+(disponibilidad[[#This Row],[Fecha y hora fin]]-disponibilidad[[#This Row],[Fecha y hora inicio]])*1440</f>
        <v>0</v>
      </c>
      <c r="AA571" s="34"/>
      <c r="AB571" s="34"/>
    </row>
    <row r="572" spans="2:28" ht="15">
      <c r="B572" s="34"/>
      <c r="F572" s="115">
        <f>+(disponibilidad[[#This Row],[Fecha y hora fin]]-disponibilidad[[#This Row],[Fecha y hora inicio]])*1440</f>
        <v>0</v>
      </c>
      <c r="AA572" s="34"/>
      <c r="AB572" s="34"/>
    </row>
    <row r="573" spans="2:28" ht="15">
      <c r="B573" s="34"/>
      <c r="F573" s="115">
        <f>+(disponibilidad[[#This Row],[Fecha y hora fin]]-disponibilidad[[#This Row],[Fecha y hora inicio]])*1440</f>
        <v>0</v>
      </c>
      <c r="AA573" s="34"/>
      <c r="AB573" s="34"/>
    </row>
    <row r="574" spans="2:28" ht="15">
      <c r="B574" s="34"/>
      <c r="F574" s="115">
        <f>+(disponibilidad[[#This Row],[Fecha y hora fin]]-disponibilidad[[#This Row],[Fecha y hora inicio]])*1440</f>
        <v>0</v>
      </c>
      <c r="AA574" s="34"/>
      <c r="AB574" s="34"/>
    </row>
    <row r="575" spans="2:28" ht="15">
      <c r="B575" s="34"/>
      <c r="F575" s="115">
        <f>+(disponibilidad[[#This Row],[Fecha y hora fin]]-disponibilidad[[#This Row],[Fecha y hora inicio]])*1440</f>
        <v>0</v>
      </c>
      <c r="AA575" s="34"/>
      <c r="AB575" s="34"/>
    </row>
    <row r="576" spans="2:28" ht="15">
      <c r="B576" s="34"/>
      <c r="F576" s="115">
        <f>+(disponibilidad[[#This Row],[Fecha y hora fin]]-disponibilidad[[#This Row],[Fecha y hora inicio]])*1440</f>
        <v>0</v>
      </c>
      <c r="AA576" s="34"/>
      <c r="AB576" s="34"/>
    </row>
    <row r="577" spans="2:28" ht="15">
      <c r="B577" s="34"/>
      <c r="F577" s="115">
        <f>+(disponibilidad[[#This Row],[Fecha y hora fin]]-disponibilidad[[#This Row],[Fecha y hora inicio]])*1440</f>
        <v>0</v>
      </c>
      <c r="AA577" s="34"/>
      <c r="AB577" s="34"/>
    </row>
    <row r="578" spans="2:28" ht="15">
      <c r="B578" s="34"/>
      <c r="F578" s="115">
        <f>+(disponibilidad[[#This Row],[Fecha y hora fin]]-disponibilidad[[#This Row],[Fecha y hora inicio]])*1440</f>
        <v>0</v>
      </c>
      <c r="AA578" s="34"/>
      <c r="AB578" s="34"/>
    </row>
    <row r="579" spans="2:28" ht="15">
      <c r="B579" s="34"/>
      <c r="F579" s="115">
        <f>+(disponibilidad[[#This Row],[Fecha y hora fin]]-disponibilidad[[#This Row],[Fecha y hora inicio]])*1440</f>
        <v>0</v>
      </c>
      <c r="AA579" s="34"/>
      <c r="AB579" s="34"/>
    </row>
    <row r="580" spans="2:28" ht="15">
      <c r="B580" s="34"/>
      <c r="F580" s="115">
        <f>+(disponibilidad[[#This Row],[Fecha y hora fin]]-disponibilidad[[#This Row],[Fecha y hora inicio]])*1440</f>
        <v>0</v>
      </c>
      <c r="AA580" s="34"/>
      <c r="AB580" s="34"/>
    </row>
    <row r="581" spans="2:28" ht="15">
      <c r="B581" s="34"/>
      <c r="F581" s="115">
        <f>+(disponibilidad[[#This Row],[Fecha y hora fin]]-disponibilidad[[#This Row],[Fecha y hora inicio]])*1440</f>
        <v>0</v>
      </c>
      <c r="AA581" s="34"/>
      <c r="AB581" s="34"/>
    </row>
    <row r="582" spans="2:28" ht="15">
      <c r="B582" s="34"/>
      <c r="F582" s="115">
        <f>+(disponibilidad[[#This Row],[Fecha y hora fin]]-disponibilidad[[#This Row],[Fecha y hora inicio]])*1440</f>
        <v>0</v>
      </c>
      <c r="AA582" s="34"/>
      <c r="AB582" s="34"/>
    </row>
    <row r="583" spans="2:28" ht="15">
      <c r="B583" s="34"/>
      <c r="F583" s="115">
        <f>+(disponibilidad[[#This Row],[Fecha y hora fin]]-disponibilidad[[#This Row],[Fecha y hora inicio]])*1440</f>
        <v>0</v>
      </c>
      <c r="AA583" s="34"/>
      <c r="AB583" s="34"/>
    </row>
    <row r="584" spans="2:28" ht="15">
      <c r="B584" s="34"/>
      <c r="F584" s="115">
        <f>+(disponibilidad[[#This Row],[Fecha y hora fin]]-disponibilidad[[#This Row],[Fecha y hora inicio]])*1440</f>
        <v>0</v>
      </c>
      <c r="AA584" s="34"/>
      <c r="AB584" s="34"/>
    </row>
    <row r="585" spans="2:28" ht="15">
      <c r="B585" s="34"/>
      <c r="F585" s="115">
        <f>+(disponibilidad[[#This Row],[Fecha y hora fin]]-disponibilidad[[#This Row],[Fecha y hora inicio]])*1440</f>
        <v>0</v>
      </c>
      <c r="AA585" s="34"/>
      <c r="AB585" s="34"/>
    </row>
    <row r="586" spans="2:28" ht="15">
      <c r="B586" s="34"/>
      <c r="F586" s="115">
        <f>+(disponibilidad[[#This Row],[Fecha y hora fin]]-disponibilidad[[#This Row],[Fecha y hora inicio]])*1440</f>
        <v>0</v>
      </c>
      <c r="AA586" s="34"/>
      <c r="AB586" s="34"/>
    </row>
    <row r="587" spans="2:28" ht="15">
      <c r="B587" s="34"/>
      <c r="F587" s="115">
        <f>+(disponibilidad[[#This Row],[Fecha y hora fin]]-disponibilidad[[#This Row],[Fecha y hora inicio]])*1440</f>
        <v>0</v>
      </c>
      <c r="AA587" s="34"/>
      <c r="AB587" s="34"/>
    </row>
    <row r="588" spans="2:28" ht="15">
      <c r="B588" s="34"/>
      <c r="F588" s="115">
        <f>+(disponibilidad[[#This Row],[Fecha y hora fin]]-disponibilidad[[#This Row],[Fecha y hora inicio]])*1440</f>
        <v>0</v>
      </c>
      <c r="AA588" s="34"/>
      <c r="AB588" s="34"/>
    </row>
    <row r="589" spans="2:28" ht="15">
      <c r="B589" s="34"/>
      <c r="F589" s="115">
        <f>+(disponibilidad[[#This Row],[Fecha y hora fin]]-disponibilidad[[#This Row],[Fecha y hora inicio]])*1440</f>
        <v>0</v>
      </c>
      <c r="AA589" s="34"/>
      <c r="AB589" s="34"/>
    </row>
    <row r="590" spans="2:28" ht="15">
      <c r="B590" s="34"/>
      <c r="F590" s="115">
        <f>+(disponibilidad[[#This Row],[Fecha y hora fin]]-disponibilidad[[#This Row],[Fecha y hora inicio]])*1440</f>
        <v>0</v>
      </c>
      <c r="AA590" s="34"/>
      <c r="AB590" s="34"/>
    </row>
    <row r="591" spans="2:28" ht="15">
      <c r="B591" s="34"/>
      <c r="F591" s="115">
        <f>+(disponibilidad[[#This Row],[Fecha y hora fin]]-disponibilidad[[#This Row],[Fecha y hora inicio]])*1440</f>
        <v>0</v>
      </c>
      <c r="AA591" s="34"/>
      <c r="AB591" s="34"/>
    </row>
    <row r="592" spans="2:28" ht="15">
      <c r="B592" s="34"/>
      <c r="F592" s="115">
        <f>+(disponibilidad[[#This Row],[Fecha y hora fin]]-disponibilidad[[#This Row],[Fecha y hora inicio]])*1440</f>
        <v>0</v>
      </c>
      <c r="AA592" s="34"/>
      <c r="AB592" s="34"/>
    </row>
    <row r="593" spans="2:28" ht="15">
      <c r="B593" s="34"/>
      <c r="F593" s="115">
        <f>+(disponibilidad[[#This Row],[Fecha y hora fin]]-disponibilidad[[#This Row],[Fecha y hora inicio]])*1440</f>
        <v>0</v>
      </c>
      <c r="AA593" s="34"/>
      <c r="AB593" s="34"/>
    </row>
    <row r="594" spans="2:28" ht="15">
      <c r="B594" s="34"/>
      <c r="F594" s="115">
        <f>+(disponibilidad[[#This Row],[Fecha y hora fin]]-disponibilidad[[#This Row],[Fecha y hora inicio]])*1440</f>
        <v>0</v>
      </c>
      <c r="AA594" s="34"/>
      <c r="AB594" s="34"/>
    </row>
    <row r="595" spans="2:28" ht="15">
      <c r="B595" s="34"/>
      <c r="F595" s="115">
        <f>+(disponibilidad[[#This Row],[Fecha y hora fin]]-disponibilidad[[#This Row],[Fecha y hora inicio]])*1440</f>
        <v>0</v>
      </c>
      <c r="AA595" s="34"/>
      <c r="AB595" s="34"/>
    </row>
    <row r="596" spans="2:28" ht="15">
      <c r="B596" s="34"/>
      <c r="F596" s="115">
        <f>+(disponibilidad[[#This Row],[Fecha y hora fin]]-disponibilidad[[#This Row],[Fecha y hora inicio]])*1440</f>
        <v>0</v>
      </c>
      <c r="AA596" s="34"/>
      <c r="AB596" s="34"/>
    </row>
    <row r="597" spans="2:28" ht="15">
      <c r="B597" s="34"/>
      <c r="F597" s="115">
        <f>+(disponibilidad[[#This Row],[Fecha y hora fin]]-disponibilidad[[#This Row],[Fecha y hora inicio]])*1440</f>
        <v>0</v>
      </c>
      <c r="AA597" s="34"/>
      <c r="AB597" s="34"/>
    </row>
    <row r="598" spans="2:28" ht="15">
      <c r="B598" s="34"/>
      <c r="F598" s="115">
        <f>+(disponibilidad[[#This Row],[Fecha y hora fin]]-disponibilidad[[#This Row],[Fecha y hora inicio]])*1440</f>
        <v>0</v>
      </c>
      <c r="AA598" s="34"/>
      <c r="AB598" s="34"/>
    </row>
    <row r="599" spans="2:28" ht="15">
      <c r="B599" s="34"/>
      <c r="F599" s="115">
        <f>+(disponibilidad[[#This Row],[Fecha y hora fin]]-disponibilidad[[#This Row],[Fecha y hora inicio]])*1440</f>
        <v>0</v>
      </c>
      <c r="AA599" s="34"/>
      <c r="AB599" s="34"/>
    </row>
    <row r="600" spans="2:28" ht="15">
      <c r="B600" s="34"/>
      <c r="F600" s="115">
        <f>+(disponibilidad[[#This Row],[Fecha y hora fin]]-disponibilidad[[#This Row],[Fecha y hora inicio]])*1440</f>
        <v>0</v>
      </c>
      <c r="AA600" s="34"/>
      <c r="AB600" s="34"/>
    </row>
    <row r="601" spans="2:28" ht="15">
      <c r="B601" s="34"/>
      <c r="F601" s="115">
        <f>+(disponibilidad[[#This Row],[Fecha y hora fin]]-disponibilidad[[#This Row],[Fecha y hora inicio]])*1440</f>
        <v>0</v>
      </c>
      <c r="AA601" s="34"/>
      <c r="AB601" s="34"/>
    </row>
    <row r="602" spans="2:28" ht="15">
      <c r="B602" s="34"/>
      <c r="F602" s="115">
        <f>+(disponibilidad[[#This Row],[Fecha y hora fin]]-disponibilidad[[#This Row],[Fecha y hora inicio]])*1440</f>
        <v>0</v>
      </c>
      <c r="AA602" s="34"/>
      <c r="AB602" s="34"/>
    </row>
    <row r="603" spans="2:28" ht="15">
      <c r="B603" s="34"/>
      <c r="F603" s="115">
        <f>+(disponibilidad[[#This Row],[Fecha y hora fin]]-disponibilidad[[#This Row],[Fecha y hora inicio]])*1440</f>
        <v>0</v>
      </c>
      <c r="AA603" s="34"/>
      <c r="AB603" s="34"/>
    </row>
    <row r="604" spans="2:28" ht="15">
      <c r="B604" s="34"/>
      <c r="F604" s="115">
        <f>+(disponibilidad[[#This Row],[Fecha y hora fin]]-disponibilidad[[#This Row],[Fecha y hora inicio]])*1440</f>
        <v>0</v>
      </c>
      <c r="AA604" s="34"/>
      <c r="AB604" s="34"/>
    </row>
    <row r="605" spans="2:28" ht="15">
      <c r="B605" s="34"/>
      <c r="F605" s="115">
        <f>+(disponibilidad[[#This Row],[Fecha y hora fin]]-disponibilidad[[#This Row],[Fecha y hora inicio]])*1440</f>
        <v>0</v>
      </c>
      <c r="AA605" s="34"/>
      <c r="AB605" s="34"/>
    </row>
    <row r="606" spans="2:28" ht="15">
      <c r="B606" s="34"/>
      <c r="F606" s="115">
        <f>+(disponibilidad[[#This Row],[Fecha y hora fin]]-disponibilidad[[#This Row],[Fecha y hora inicio]])*1440</f>
        <v>0</v>
      </c>
      <c r="AA606" s="34"/>
      <c r="AB606" s="34"/>
    </row>
    <row r="607" spans="2:28" ht="15">
      <c r="B607" s="34"/>
      <c r="F607" s="115">
        <f>+(disponibilidad[[#This Row],[Fecha y hora fin]]-disponibilidad[[#This Row],[Fecha y hora inicio]])*1440</f>
        <v>0</v>
      </c>
      <c r="AA607" s="34"/>
      <c r="AB607" s="34"/>
    </row>
    <row r="608" spans="2:28" ht="15">
      <c r="B608" s="34"/>
      <c r="F608" s="115">
        <f>+(disponibilidad[[#This Row],[Fecha y hora fin]]-disponibilidad[[#This Row],[Fecha y hora inicio]])*1440</f>
        <v>0</v>
      </c>
      <c r="AA608" s="34"/>
      <c r="AB608" s="34"/>
    </row>
    <row r="609" spans="2:28" ht="15">
      <c r="B609" s="34"/>
      <c r="F609" s="115">
        <f>+(disponibilidad[[#This Row],[Fecha y hora fin]]-disponibilidad[[#This Row],[Fecha y hora inicio]])*1440</f>
        <v>0</v>
      </c>
      <c r="AA609" s="34"/>
      <c r="AB609" s="34"/>
    </row>
    <row r="610" spans="2:28" ht="15">
      <c r="B610" s="34"/>
      <c r="F610" s="115">
        <f>+(disponibilidad[[#This Row],[Fecha y hora fin]]-disponibilidad[[#This Row],[Fecha y hora inicio]])*1440</f>
        <v>0</v>
      </c>
      <c r="AA610" s="34"/>
      <c r="AB610" s="34"/>
    </row>
    <row r="611" spans="2:28" ht="15">
      <c r="F611" s="115">
        <f>+(disponibilidad[[#This Row],[Fecha y hora fin]]-disponibilidad[[#This Row],[Fecha y hora inicio]])*1440</f>
        <v>0</v>
      </c>
    </row>
    <row r="612" spans="2:28" ht="15">
      <c r="F612" s="115">
        <f>+(disponibilidad[[#This Row],[Fecha y hora fin]]-disponibilidad[[#This Row],[Fecha y hora inicio]])*1440</f>
        <v>0</v>
      </c>
    </row>
    <row r="613" spans="2:28" ht="15">
      <c r="F613" s="115">
        <f>+(disponibilidad[[#This Row],[Fecha y hora fin]]-disponibilidad[[#This Row],[Fecha y hora inicio]])*1440</f>
        <v>0</v>
      </c>
    </row>
    <row r="614" spans="2:28" ht="15">
      <c r="F614" s="115">
        <f>+(disponibilidad[[#This Row],[Fecha y hora fin]]-disponibilidad[[#This Row],[Fecha y hora inicio]])*1440</f>
        <v>0</v>
      </c>
    </row>
    <row r="615" spans="2:28" ht="15">
      <c r="F615" s="115">
        <f>+(disponibilidad[[#This Row],[Fecha y hora fin]]-disponibilidad[[#This Row],[Fecha y hora inicio]])*1440</f>
        <v>0</v>
      </c>
    </row>
    <row r="616" spans="2:28" ht="15">
      <c r="F616" s="115">
        <f>+(disponibilidad[[#This Row],[Fecha y hora fin]]-disponibilidad[[#This Row],[Fecha y hora inicio]])*1440</f>
        <v>0</v>
      </c>
    </row>
    <row r="617" spans="2:28" ht="15">
      <c r="F617" s="115">
        <f>+(disponibilidad[[#This Row],[Fecha y hora fin]]-disponibilidad[[#This Row],[Fecha y hora inicio]])*1440</f>
        <v>0</v>
      </c>
    </row>
    <row r="618" spans="2:28" ht="15">
      <c r="F618" s="115">
        <f>+(disponibilidad[[#This Row],[Fecha y hora fin]]-disponibilidad[[#This Row],[Fecha y hora inicio]])*1440</f>
        <v>0</v>
      </c>
    </row>
    <row r="619" spans="2:28" ht="15">
      <c r="F619" s="115">
        <f>+(disponibilidad[[#This Row],[Fecha y hora fin]]-disponibilidad[[#This Row],[Fecha y hora inicio]])*1440</f>
        <v>0</v>
      </c>
    </row>
    <row r="620" spans="2:28" ht="15">
      <c r="F620" s="115">
        <f>+(disponibilidad[[#This Row],[Fecha y hora fin]]-disponibilidad[[#This Row],[Fecha y hora inicio]])*1440</f>
        <v>0</v>
      </c>
    </row>
    <row r="621" spans="2:28" ht="15">
      <c r="F621" s="115">
        <f>+(disponibilidad[[#This Row],[Fecha y hora fin]]-disponibilidad[[#This Row],[Fecha y hora inicio]])*1440</f>
        <v>0</v>
      </c>
    </row>
    <row r="622" spans="2:28" ht="15">
      <c r="F622" s="115">
        <f>+(disponibilidad[[#This Row],[Fecha y hora fin]]-disponibilidad[[#This Row],[Fecha y hora inicio]])*1440</f>
        <v>0</v>
      </c>
    </row>
    <row r="623" spans="2:28" ht="15">
      <c r="F623" s="115">
        <f>+(disponibilidad[[#This Row],[Fecha y hora fin]]-disponibilidad[[#This Row],[Fecha y hora inicio]])*1440</f>
        <v>0</v>
      </c>
    </row>
    <row r="624" spans="2:28" ht="15">
      <c r="F624" s="115">
        <f>+(disponibilidad[[#This Row],[Fecha y hora fin]]-disponibilidad[[#This Row],[Fecha y hora inicio]])*1440</f>
        <v>0</v>
      </c>
    </row>
    <row r="625" spans="6:6" ht="15">
      <c r="F625" s="115">
        <f>+(disponibilidad[[#This Row],[Fecha y hora fin]]-disponibilidad[[#This Row],[Fecha y hora inicio]])*1440</f>
        <v>0</v>
      </c>
    </row>
    <row r="626" spans="6:6" ht="15">
      <c r="F626" s="115">
        <f>+(disponibilidad[[#This Row],[Fecha y hora fin]]-disponibilidad[[#This Row],[Fecha y hora inicio]])*1440</f>
        <v>0</v>
      </c>
    </row>
    <row r="627" spans="6:6" ht="15">
      <c r="F627" s="115">
        <f>+(disponibilidad[[#This Row],[Fecha y hora fin]]-disponibilidad[[#This Row],[Fecha y hora inicio]])*1440</f>
        <v>0</v>
      </c>
    </row>
    <row r="628" spans="6:6" ht="15">
      <c r="F628" s="115">
        <f>+(disponibilidad[[#This Row],[Fecha y hora fin]]-disponibilidad[[#This Row],[Fecha y hora inicio]])*1440</f>
        <v>0</v>
      </c>
    </row>
    <row r="629" spans="6:6" ht="15">
      <c r="F629" s="115">
        <f>+(disponibilidad[[#This Row],[Fecha y hora fin]]-disponibilidad[[#This Row],[Fecha y hora inicio]])*1440</f>
        <v>0</v>
      </c>
    </row>
    <row r="630" spans="6:6" ht="15">
      <c r="F630" s="115">
        <f>+(disponibilidad[[#This Row],[Fecha y hora fin]]-disponibilidad[[#This Row],[Fecha y hora inicio]])*1440</f>
        <v>0</v>
      </c>
    </row>
    <row r="631" spans="6:6" ht="15">
      <c r="F631" s="115">
        <f>+(disponibilidad[[#This Row],[Fecha y hora fin]]-disponibilidad[[#This Row],[Fecha y hora inicio]])*1440</f>
        <v>0</v>
      </c>
    </row>
    <row r="632" spans="6:6" ht="15">
      <c r="F632" s="115">
        <f>+(disponibilidad[[#This Row],[Fecha y hora fin]]-disponibilidad[[#This Row],[Fecha y hora inicio]])*1440</f>
        <v>0</v>
      </c>
    </row>
    <row r="633" spans="6:6" ht="15">
      <c r="F633" s="115">
        <f>+(disponibilidad[[#This Row],[Fecha y hora fin]]-disponibilidad[[#This Row],[Fecha y hora inicio]])*1440</f>
        <v>0</v>
      </c>
    </row>
    <row r="634" spans="6:6" ht="15">
      <c r="F634" s="115">
        <f>+(disponibilidad[[#This Row],[Fecha y hora fin]]-disponibilidad[[#This Row],[Fecha y hora inicio]])*1440</f>
        <v>0</v>
      </c>
    </row>
    <row r="635" spans="6:6" ht="15">
      <c r="F635" s="115">
        <f>+(disponibilidad[[#This Row],[Fecha y hora fin]]-disponibilidad[[#This Row],[Fecha y hora inicio]])*1440</f>
        <v>0</v>
      </c>
    </row>
    <row r="636" spans="6:6" ht="15">
      <c r="F636" s="115">
        <f>+(disponibilidad[[#This Row],[Fecha y hora fin]]-disponibilidad[[#This Row],[Fecha y hora inicio]])*1440</f>
        <v>0</v>
      </c>
    </row>
    <row r="637" spans="6:6" ht="15">
      <c r="F637" s="115">
        <f>+(disponibilidad[[#This Row],[Fecha y hora fin]]-disponibilidad[[#This Row],[Fecha y hora inicio]])*1440</f>
        <v>0</v>
      </c>
    </row>
    <row r="638" spans="6:6" ht="15">
      <c r="F638" s="115">
        <f>+(disponibilidad[[#This Row],[Fecha y hora fin]]-disponibilidad[[#This Row],[Fecha y hora inicio]])*1440</f>
        <v>0</v>
      </c>
    </row>
    <row r="639" spans="6:6" ht="15">
      <c r="F639" s="115">
        <f>+(disponibilidad[[#This Row],[Fecha y hora fin]]-disponibilidad[[#This Row],[Fecha y hora inicio]])*1440</f>
        <v>0</v>
      </c>
    </row>
    <row r="640" spans="6:6" ht="15">
      <c r="F640" s="115">
        <f>+(disponibilidad[[#This Row],[Fecha y hora fin]]-disponibilidad[[#This Row],[Fecha y hora inicio]])*1440</f>
        <v>0</v>
      </c>
    </row>
    <row r="641" spans="6:6" ht="15">
      <c r="F641" s="115">
        <f>+(disponibilidad[[#This Row],[Fecha y hora fin]]-disponibilidad[[#This Row],[Fecha y hora inicio]])*1440</f>
        <v>0</v>
      </c>
    </row>
    <row r="642" spans="6:6" ht="15">
      <c r="F642" s="115">
        <f>+(disponibilidad[[#This Row],[Fecha y hora fin]]-disponibilidad[[#This Row],[Fecha y hora inicio]])*1440</f>
        <v>0</v>
      </c>
    </row>
    <row r="643" spans="6:6" ht="15">
      <c r="F643" s="115">
        <f>+(disponibilidad[[#This Row],[Fecha y hora fin]]-disponibilidad[[#This Row],[Fecha y hora inicio]])*1440</f>
        <v>0</v>
      </c>
    </row>
    <row r="644" spans="6:6" ht="15">
      <c r="F644" s="115">
        <f>+(disponibilidad[[#This Row],[Fecha y hora fin]]-disponibilidad[[#This Row],[Fecha y hora inicio]])*1440</f>
        <v>0</v>
      </c>
    </row>
    <row r="645" spans="6:6" ht="15">
      <c r="F645" s="115">
        <f>+(disponibilidad[[#This Row],[Fecha y hora fin]]-disponibilidad[[#This Row],[Fecha y hora inicio]])*1440</f>
        <v>0</v>
      </c>
    </row>
    <row r="646" spans="6:6" ht="15">
      <c r="F646" s="115">
        <f>+(disponibilidad[[#This Row],[Fecha y hora fin]]-disponibilidad[[#This Row],[Fecha y hora inicio]])*1440</f>
        <v>0</v>
      </c>
    </row>
    <row r="647" spans="6:6" ht="15">
      <c r="F647" s="115">
        <f>+(disponibilidad[[#This Row],[Fecha y hora fin]]-disponibilidad[[#This Row],[Fecha y hora inicio]])*1440</f>
        <v>0</v>
      </c>
    </row>
    <row r="648" spans="6:6" ht="15">
      <c r="F648" s="115">
        <f>+(disponibilidad[[#This Row],[Fecha y hora fin]]-disponibilidad[[#This Row],[Fecha y hora inicio]])*1440</f>
        <v>0</v>
      </c>
    </row>
    <row r="649" spans="6:6" ht="15">
      <c r="F649" s="115">
        <f>+(disponibilidad[[#This Row],[Fecha y hora fin]]-disponibilidad[[#This Row],[Fecha y hora inicio]])*1440</f>
        <v>0</v>
      </c>
    </row>
    <row r="650" spans="6:6" ht="15">
      <c r="F650" s="115">
        <f>+(disponibilidad[[#This Row],[Fecha y hora fin]]-disponibilidad[[#This Row],[Fecha y hora inicio]])*1440</f>
        <v>0</v>
      </c>
    </row>
    <row r="651" spans="6:6" ht="15">
      <c r="F651" s="115">
        <f>+(disponibilidad[[#This Row],[Fecha y hora fin]]-disponibilidad[[#This Row],[Fecha y hora inicio]])*1440</f>
        <v>0</v>
      </c>
    </row>
    <row r="652" spans="6:6" ht="15">
      <c r="F652" s="115">
        <f>+(disponibilidad[[#This Row],[Fecha y hora fin]]-disponibilidad[[#This Row],[Fecha y hora inicio]])*1440</f>
        <v>0</v>
      </c>
    </row>
    <row r="653" spans="6:6" ht="15">
      <c r="F653" s="115">
        <f>+(disponibilidad[[#This Row],[Fecha y hora fin]]-disponibilidad[[#This Row],[Fecha y hora inicio]])*1440</f>
        <v>0</v>
      </c>
    </row>
    <row r="654" spans="6:6" ht="15">
      <c r="F654" s="115">
        <f>+(disponibilidad[[#This Row],[Fecha y hora fin]]-disponibilidad[[#This Row],[Fecha y hora inicio]])*1440</f>
        <v>0</v>
      </c>
    </row>
    <row r="655" spans="6:6" ht="15">
      <c r="F655" s="115">
        <f>+(disponibilidad[[#This Row],[Fecha y hora fin]]-disponibilidad[[#This Row],[Fecha y hora inicio]])*1440</f>
        <v>0</v>
      </c>
    </row>
    <row r="656" spans="6:6" ht="15">
      <c r="F656" s="115">
        <f>+(disponibilidad[[#This Row],[Fecha y hora fin]]-disponibilidad[[#This Row],[Fecha y hora inicio]])*1440</f>
        <v>0</v>
      </c>
    </row>
    <row r="657" spans="6:6" ht="15">
      <c r="F657" s="115">
        <f>+(disponibilidad[[#This Row],[Fecha y hora fin]]-disponibilidad[[#This Row],[Fecha y hora inicio]])*1440</f>
        <v>0</v>
      </c>
    </row>
    <row r="658" spans="6:6" ht="15">
      <c r="F658" s="115">
        <f>+(disponibilidad[[#This Row],[Fecha y hora fin]]-disponibilidad[[#This Row],[Fecha y hora inicio]])*1440</f>
        <v>0</v>
      </c>
    </row>
    <row r="659" spans="6:6" ht="15">
      <c r="F659" s="115">
        <f>+(disponibilidad[[#This Row],[Fecha y hora fin]]-disponibilidad[[#This Row],[Fecha y hora inicio]])*1440</f>
        <v>0</v>
      </c>
    </row>
    <row r="660" spans="6:6" ht="15">
      <c r="F660" s="115">
        <f>+(disponibilidad[[#This Row],[Fecha y hora fin]]-disponibilidad[[#This Row],[Fecha y hora inicio]])*1440</f>
        <v>0</v>
      </c>
    </row>
    <row r="661" spans="6:6" ht="15">
      <c r="F661" s="115">
        <f>+(disponibilidad[[#This Row],[Fecha y hora fin]]-disponibilidad[[#This Row],[Fecha y hora inicio]])*1440</f>
        <v>0</v>
      </c>
    </row>
    <row r="662" spans="6:6" ht="15">
      <c r="F662" s="115">
        <f>+(disponibilidad[[#This Row],[Fecha y hora fin]]-disponibilidad[[#This Row],[Fecha y hora inicio]])*1440</f>
        <v>0</v>
      </c>
    </row>
    <row r="663" spans="6:6" ht="15">
      <c r="F663" s="115">
        <f>+(disponibilidad[[#This Row],[Fecha y hora fin]]-disponibilidad[[#This Row],[Fecha y hora inicio]])*1440</f>
        <v>0</v>
      </c>
    </row>
    <row r="664" spans="6:6" ht="15">
      <c r="F664" s="115">
        <f>+(disponibilidad[[#This Row],[Fecha y hora fin]]-disponibilidad[[#This Row],[Fecha y hora inicio]])*1440</f>
        <v>0</v>
      </c>
    </row>
    <row r="665" spans="6:6" ht="15">
      <c r="F665" s="115">
        <f>+(disponibilidad[[#This Row],[Fecha y hora fin]]-disponibilidad[[#This Row],[Fecha y hora inicio]])*1440</f>
        <v>0</v>
      </c>
    </row>
    <row r="666" spans="6:6" ht="15">
      <c r="F666" s="115">
        <f>+(disponibilidad[[#This Row],[Fecha y hora fin]]-disponibilidad[[#This Row],[Fecha y hora inicio]])*1440</f>
        <v>0</v>
      </c>
    </row>
    <row r="667" spans="6:6" ht="15">
      <c r="F667" s="115">
        <f>+(disponibilidad[[#This Row],[Fecha y hora fin]]-disponibilidad[[#This Row],[Fecha y hora inicio]])*1440</f>
        <v>0</v>
      </c>
    </row>
    <row r="668" spans="6:6" ht="15">
      <c r="F668" s="115">
        <f>+(disponibilidad[[#This Row],[Fecha y hora fin]]-disponibilidad[[#This Row],[Fecha y hora inicio]])*1440</f>
        <v>0</v>
      </c>
    </row>
    <row r="669" spans="6:6" ht="15">
      <c r="F669" s="115">
        <f>+(disponibilidad[[#This Row],[Fecha y hora fin]]-disponibilidad[[#This Row],[Fecha y hora inicio]])*1440</f>
        <v>0</v>
      </c>
    </row>
    <row r="670" spans="6:6" ht="15">
      <c r="F670" s="115">
        <f>+(disponibilidad[[#This Row],[Fecha y hora fin]]-disponibilidad[[#This Row],[Fecha y hora inicio]])*1440</f>
        <v>0</v>
      </c>
    </row>
    <row r="671" spans="6:6" ht="15">
      <c r="F671" s="115">
        <f>+(disponibilidad[[#This Row],[Fecha y hora fin]]-disponibilidad[[#This Row],[Fecha y hora inicio]])*1440</f>
        <v>0</v>
      </c>
    </row>
    <row r="672" spans="6:6" ht="15">
      <c r="F672" s="115">
        <f>+(disponibilidad[[#This Row],[Fecha y hora fin]]-disponibilidad[[#This Row],[Fecha y hora inicio]])*1440</f>
        <v>0</v>
      </c>
    </row>
    <row r="673" spans="6:6" ht="15">
      <c r="F673" s="115">
        <f>+(disponibilidad[[#This Row],[Fecha y hora fin]]-disponibilidad[[#This Row],[Fecha y hora inicio]])*1440</f>
        <v>0</v>
      </c>
    </row>
    <row r="674" spans="6:6" ht="15">
      <c r="F674" s="115">
        <f>+(disponibilidad[[#This Row],[Fecha y hora fin]]-disponibilidad[[#This Row],[Fecha y hora inicio]])*1440</f>
        <v>0</v>
      </c>
    </row>
    <row r="675" spans="6:6" ht="15">
      <c r="F675" s="115">
        <f>+(disponibilidad[[#This Row],[Fecha y hora fin]]-disponibilidad[[#This Row],[Fecha y hora inicio]])*1440</f>
        <v>0</v>
      </c>
    </row>
    <row r="676" spans="6:6" ht="15">
      <c r="F676" s="115">
        <f>+(disponibilidad[[#This Row],[Fecha y hora fin]]-disponibilidad[[#This Row],[Fecha y hora inicio]])*1440</f>
        <v>0</v>
      </c>
    </row>
    <row r="677" spans="6:6" ht="15">
      <c r="F677" s="115">
        <f>+(disponibilidad[[#This Row],[Fecha y hora fin]]-disponibilidad[[#This Row],[Fecha y hora inicio]])*1440</f>
        <v>0</v>
      </c>
    </row>
    <row r="678" spans="6:6" ht="15">
      <c r="F678" s="115">
        <f>+(disponibilidad[[#This Row],[Fecha y hora fin]]-disponibilidad[[#This Row],[Fecha y hora inicio]])*1440</f>
        <v>0</v>
      </c>
    </row>
    <row r="679" spans="6:6" ht="15">
      <c r="F679" s="115">
        <f>+(disponibilidad[[#This Row],[Fecha y hora fin]]-disponibilidad[[#This Row],[Fecha y hora inicio]])*1440</f>
        <v>0</v>
      </c>
    </row>
    <row r="680" spans="6:6" ht="15">
      <c r="F680" s="115">
        <f>+(disponibilidad[[#This Row],[Fecha y hora fin]]-disponibilidad[[#This Row],[Fecha y hora inicio]])*1440</f>
        <v>0</v>
      </c>
    </row>
    <row r="681" spans="6:6" ht="15">
      <c r="F681" s="115">
        <f>+(disponibilidad[[#This Row],[Fecha y hora fin]]-disponibilidad[[#This Row],[Fecha y hora inicio]])*1440</f>
        <v>0</v>
      </c>
    </row>
    <row r="682" spans="6:6" ht="15">
      <c r="F682" s="115">
        <f>+(disponibilidad[[#This Row],[Fecha y hora fin]]-disponibilidad[[#This Row],[Fecha y hora inicio]])*1440</f>
        <v>0</v>
      </c>
    </row>
    <row r="683" spans="6:6" ht="15">
      <c r="F683" s="115">
        <f>+(disponibilidad[[#This Row],[Fecha y hora fin]]-disponibilidad[[#This Row],[Fecha y hora inicio]])*1440</f>
        <v>0</v>
      </c>
    </row>
    <row r="684" spans="6:6" ht="15">
      <c r="F684" s="115">
        <f>+(disponibilidad[[#This Row],[Fecha y hora fin]]-disponibilidad[[#This Row],[Fecha y hora inicio]])*1440</f>
        <v>0</v>
      </c>
    </row>
    <row r="685" spans="6:6" ht="15">
      <c r="F685" s="115">
        <f>+(disponibilidad[[#This Row],[Fecha y hora fin]]-disponibilidad[[#This Row],[Fecha y hora inicio]])*1440</f>
        <v>0</v>
      </c>
    </row>
    <row r="686" spans="6:6" ht="15">
      <c r="F686" s="115">
        <f>+(disponibilidad[[#This Row],[Fecha y hora fin]]-disponibilidad[[#This Row],[Fecha y hora inicio]])*1440</f>
        <v>0</v>
      </c>
    </row>
    <row r="687" spans="6:6" ht="15">
      <c r="F687" s="115">
        <f>+(disponibilidad[[#This Row],[Fecha y hora fin]]-disponibilidad[[#This Row],[Fecha y hora inicio]])*1440</f>
        <v>0</v>
      </c>
    </row>
    <row r="688" spans="6:6" ht="15">
      <c r="F688" s="115">
        <f>+(disponibilidad[[#This Row],[Fecha y hora fin]]-disponibilidad[[#This Row],[Fecha y hora inicio]])*1440</f>
        <v>0</v>
      </c>
    </row>
    <row r="689" spans="6:6" ht="15">
      <c r="F689" s="115">
        <f>+(disponibilidad[[#This Row],[Fecha y hora fin]]-disponibilidad[[#This Row],[Fecha y hora inicio]])*1440</f>
        <v>0</v>
      </c>
    </row>
    <row r="690" spans="6:6" ht="15">
      <c r="F690" s="115">
        <f>+(disponibilidad[[#This Row],[Fecha y hora fin]]-disponibilidad[[#This Row],[Fecha y hora inicio]])*1440</f>
        <v>0</v>
      </c>
    </row>
    <row r="691" spans="6:6" ht="15">
      <c r="F691" s="115">
        <f>+(disponibilidad[[#This Row],[Fecha y hora fin]]-disponibilidad[[#This Row],[Fecha y hora inicio]])*1440</f>
        <v>0</v>
      </c>
    </row>
    <row r="692" spans="6:6" ht="15">
      <c r="F692" s="115">
        <f>+(disponibilidad[[#This Row],[Fecha y hora fin]]-disponibilidad[[#This Row],[Fecha y hora inicio]])*1440</f>
        <v>0</v>
      </c>
    </row>
    <row r="693" spans="6:6" ht="15">
      <c r="F693" s="115">
        <f>+(disponibilidad[[#This Row],[Fecha y hora fin]]-disponibilidad[[#This Row],[Fecha y hora inicio]])*1440</f>
        <v>0</v>
      </c>
    </row>
    <row r="694" spans="6:6" ht="15">
      <c r="F694" s="115">
        <f>+(disponibilidad[[#This Row],[Fecha y hora fin]]-disponibilidad[[#This Row],[Fecha y hora inicio]])*1440</f>
        <v>0</v>
      </c>
    </row>
    <row r="695" spans="6:6" ht="15">
      <c r="F695" s="115">
        <f>+(disponibilidad[[#This Row],[Fecha y hora fin]]-disponibilidad[[#This Row],[Fecha y hora inicio]])*1440</f>
        <v>0</v>
      </c>
    </row>
    <row r="696" spans="6:6" ht="15">
      <c r="F696" s="115">
        <f>+(disponibilidad[[#This Row],[Fecha y hora fin]]-disponibilidad[[#This Row],[Fecha y hora inicio]])*1440</f>
        <v>0</v>
      </c>
    </row>
    <row r="697" spans="6:6" ht="15">
      <c r="F697" s="115">
        <f>+(disponibilidad[[#This Row],[Fecha y hora fin]]-disponibilidad[[#This Row],[Fecha y hora inicio]])*1440</f>
        <v>0</v>
      </c>
    </row>
    <row r="698" spans="6:6" ht="15">
      <c r="F698" s="115">
        <f>+(disponibilidad[[#This Row],[Fecha y hora fin]]-disponibilidad[[#This Row],[Fecha y hora inicio]])*1440</f>
        <v>0</v>
      </c>
    </row>
    <row r="699" spans="6:6" ht="15">
      <c r="F699" s="115">
        <f>+(disponibilidad[[#This Row],[Fecha y hora fin]]-disponibilidad[[#This Row],[Fecha y hora inicio]])*1440</f>
        <v>0</v>
      </c>
    </row>
    <row r="700" spans="6:6" ht="15">
      <c r="F700" s="115">
        <f>+(disponibilidad[[#This Row],[Fecha y hora fin]]-disponibilidad[[#This Row],[Fecha y hora inicio]])*1440</f>
        <v>0</v>
      </c>
    </row>
    <row r="701" spans="6:6" ht="15">
      <c r="F701" s="115">
        <f>+(disponibilidad[[#This Row],[Fecha y hora fin]]-disponibilidad[[#This Row],[Fecha y hora inicio]])*1440</f>
        <v>0</v>
      </c>
    </row>
    <row r="702" spans="6:6" ht="15">
      <c r="F702" s="115">
        <f>+(disponibilidad[[#This Row],[Fecha y hora fin]]-disponibilidad[[#This Row],[Fecha y hora inicio]])*1440</f>
        <v>0</v>
      </c>
    </row>
    <row r="703" spans="6:6" ht="15">
      <c r="F703" s="115">
        <f>+(disponibilidad[[#This Row],[Fecha y hora fin]]-disponibilidad[[#This Row],[Fecha y hora inicio]])*1440</f>
        <v>0</v>
      </c>
    </row>
    <row r="704" spans="6:6" ht="15">
      <c r="F704" s="115">
        <f>+(disponibilidad[[#This Row],[Fecha y hora fin]]-disponibilidad[[#This Row],[Fecha y hora inicio]])*1440</f>
        <v>0</v>
      </c>
    </row>
    <row r="705" spans="6:6" ht="15">
      <c r="F705" s="115">
        <f>+(disponibilidad[[#This Row],[Fecha y hora fin]]-disponibilidad[[#This Row],[Fecha y hora inicio]])*1440</f>
        <v>0</v>
      </c>
    </row>
    <row r="706" spans="6:6" ht="15">
      <c r="F706" s="115">
        <f>+(disponibilidad[[#This Row],[Fecha y hora fin]]-disponibilidad[[#This Row],[Fecha y hora inicio]])*1440</f>
        <v>0</v>
      </c>
    </row>
    <row r="707" spans="6:6" ht="15">
      <c r="F707" s="115">
        <f>+(disponibilidad[[#This Row],[Fecha y hora fin]]-disponibilidad[[#This Row],[Fecha y hora inicio]])*1440</f>
        <v>0</v>
      </c>
    </row>
    <row r="708" spans="6:6" ht="15">
      <c r="F708" s="115">
        <f>+(disponibilidad[[#This Row],[Fecha y hora fin]]-disponibilidad[[#This Row],[Fecha y hora inicio]])*1440</f>
        <v>0</v>
      </c>
    </row>
    <row r="709" spans="6:6" ht="15">
      <c r="F709" s="115">
        <f>+(disponibilidad[[#This Row],[Fecha y hora fin]]-disponibilidad[[#This Row],[Fecha y hora inicio]])*1440</f>
        <v>0</v>
      </c>
    </row>
    <row r="710" spans="6:6" ht="15">
      <c r="F710" s="115">
        <f>+(disponibilidad[[#This Row],[Fecha y hora fin]]-disponibilidad[[#This Row],[Fecha y hora inicio]])*1440</f>
        <v>0</v>
      </c>
    </row>
    <row r="711" spans="6:6" ht="15">
      <c r="F711" s="115">
        <f>+(disponibilidad[[#This Row],[Fecha y hora fin]]-disponibilidad[[#This Row],[Fecha y hora inicio]])*1440</f>
        <v>0</v>
      </c>
    </row>
    <row r="712" spans="6:6" ht="15">
      <c r="F712" s="115">
        <f>+(disponibilidad[[#This Row],[Fecha y hora fin]]-disponibilidad[[#This Row],[Fecha y hora inicio]])*1440</f>
        <v>0</v>
      </c>
    </row>
    <row r="713" spans="6:6" ht="15">
      <c r="F713" s="115">
        <f>+(disponibilidad[[#This Row],[Fecha y hora fin]]-disponibilidad[[#This Row],[Fecha y hora inicio]])*1440</f>
        <v>0</v>
      </c>
    </row>
    <row r="714" spans="6:6" ht="15">
      <c r="F714" s="115">
        <f>+(disponibilidad[[#This Row],[Fecha y hora fin]]-disponibilidad[[#This Row],[Fecha y hora inicio]])*1440</f>
        <v>0</v>
      </c>
    </row>
    <row r="715" spans="6:6" ht="15">
      <c r="F715" s="115">
        <f>+(disponibilidad[[#This Row],[Fecha y hora fin]]-disponibilidad[[#This Row],[Fecha y hora inicio]])*1440</f>
        <v>0</v>
      </c>
    </row>
    <row r="716" spans="6:6" ht="15">
      <c r="F716" s="115">
        <f>+(disponibilidad[[#This Row],[Fecha y hora fin]]-disponibilidad[[#This Row],[Fecha y hora inicio]])*1440</f>
        <v>0</v>
      </c>
    </row>
    <row r="717" spans="6:6" ht="15">
      <c r="F717" s="115">
        <f>+(disponibilidad[[#This Row],[Fecha y hora fin]]-disponibilidad[[#This Row],[Fecha y hora inicio]])*1440</f>
        <v>0</v>
      </c>
    </row>
    <row r="718" spans="6:6" ht="15">
      <c r="F718" s="115">
        <f>+(disponibilidad[[#This Row],[Fecha y hora fin]]-disponibilidad[[#This Row],[Fecha y hora inicio]])*1440</f>
        <v>0</v>
      </c>
    </row>
    <row r="719" spans="6:6" ht="15">
      <c r="F719" s="115">
        <f>+(disponibilidad[[#This Row],[Fecha y hora fin]]-disponibilidad[[#This Row],[Fecha y hora inicio]])*1440</f>
        <v>0</v>
      </c>
    </row>
    <row r="720" spans="6:6" ht="15">
      <c r="F720" s="115">
        <f>+(disponibilidad[[#This Row],[Fecha y hora fin]]-disponibilidad[[#This Row],[Fecha y hora inicio]])*1440</f>
        <v>0</v>
      </c>
    </row>
    <row r="721" spans="6:6" ht="15">
      <c r="F721" s="115">
        <f>+(disponibilidad[[#This Row],[Fecha y hora fin]]-disponibilidad[[#This Row],[Fecha y hora inicio]])*1440</f>
        <v>0</v>
      </c>
    </row>
    <row r="722" spans="6:6" ht="15">
      <c r="F722" s="115">
        <f>+(disponibilidad[[#This Row],[Fecha y hora fin]]-disponibilidad[[#This Row],[Fecha y hora inicio]])*1440</f>
        <v>0</v>
      </c>
    </row>
    <row r="723" spans="6:6" ht="15">
      <c r="F723" s="115">
        <f>+(disponibilidad[[#This Row],[Fecha y hora fin]]-disponibilidad[[#This Row],[Fecha y hora inicio]])*1440</f>
        <v>0</v>
      </c>
    </row>
    <row r="724" spans="6:6" ht="15">
      <c r="F724" s="115">
        <f>+(disponibilidad[[#This Row],[Fecha y hora fin]]-disponibilidad[[#This Row],[Fecha y hora inicio]])*1440</f>
        <v>0</v>
      </c>
    </row>
    <row r="725" spans="6:6" ht="15">
      <c r="F725" s="115">
        <f>+(disponibilidad[[#This Row],[Fecha y hora fin]]-disponibilidad[[#This Row],[Fecha y hora inicio]])*1440</f>
        <v>0</v>
      </c>
    </row>
    <row r="726" spans="6:6" ht="15">
      <c r="F726" s="115">
        <f>+(disponibilidad[[#This Row],[Fecha y hora fin]]-disponibilidad[[#This Row],[Fecha y hora inicio]])*1440</f>
        <v>0</v>
      </c>
    </row>
    <row r="727" spans="6:6" ht="15">
      <c r="F727" s="115">
        <f>+(disponibilidad[[#This Row],[Fecha y hora fin]]-disponibilidad[[#This Row],[Fecha y hora inicio]])*1440</f>
        <v>0</v>
      </c>
    </row>
    <row r="728" spans="6:6" ht="15">
      <c r="F728" s="115">
        <f>+(disponibilidad[[#This Row],[Fecha y hora fin]]-disponibilidad[[#This Row],[Fecha y hora inicio]])*1440</f>
        <v>0</v>
      </c>
    </row>
    <row r="729" spans="6:6" ht="15">
      <c r="F729" s="115">
        <f>+(disponibilidad[[#This Row],[Fecha y hora fin]]-disponibilidad[[#This Row],[Fecha y hora inicio]])*1440</f>
        <v>0</v>
      </c>
    </row>
    <row r="730" spans="6:6" ht="15">
      <c r="F730" s="115">
        <f>+(disponibilidad[[#This Row],[Fecha y hora fin]]-disponibilidad[[#This Row],[Fecha y hora inicio]])*1440</f>
        <v>0</v>
      </c>
    </row>
    <row r="731" spans="6:6" ht="15">
      <c r="F731" s="115">
        <f>+(disponibilidad[[#This Row],[Fecha y hora fin]]-disponibilidad[[#This Row],[Fecha y hora inicio]])*1440</f>
        <v>0</v>
      </c>
    </row>
    <row r="732" spans="6:6" ht="15">
      <c r="F732" s="115">
        <f>+(disponibilidad[[#This Row],[Fecha y hora fin]]-disponibilidad[[#This Row],[Fecha y hora inicio]])*1440</f>
        <v>0</v>
      </c>
    </row>
    <row r="733" spans="6:6" ht="15">
      <c r="F733" s="115">
        <f>+(disponibilidad[[#This Row],[Fecha y hora fin]]-disponibilidad[[#This Row],[Fecha y hora inicio]])*1440</f>
        <v>0</v>
      </c>
    </row>
    <row r="734" spans="6:6" ht="15">
      <c r="F734" s="115">
        <f>+(disponibilidad[[#This Row],[Fecha y hora fin]]-disponibilidad[[#This Row],[Fecha y hora inicio]])*1440</f>
        <v>0</v>
      </c>
    </row>
    <row r="735" spans="6:6" ht="15">
      <c r="F735" s="115">
        <f>+(disponibilidad[[#This Row],[Fecha y hora fin]]-disponibilidad[[#This Row],[Fecha y hora inicio]])*1440</f>
        <v>0</v>
      </c>
    </row>
    <row r="736" spans="6:6" ht="15">
      <c r="F736" s="115">
        <f>+(disponibilidad[[#This Row],[Fecha y hora fin]]-disponibilidad[[#This Row],[Fecha y hora inicio]])*1440</f>
        <v>0</v>
      </c>
    </row>
    <row r="737" spans="6:6" ht="15">
      <c r="F737" s="115">
        <f>+(disponibilidad[[#This Row],[Fecha y hora fin]]-disponibilidad[[#This Row],[Fecha y hora inicio]])*1440</f>
        <v>0</v>
      </c>
    </row>
    <row r="738" spans="6:6" ht="15">
      <c r="F738" s="115">
        <f>+(disponibilidad[[#This Row],[Fecha y hora fin]]-disponibilidad[[#This Row],[Fecha y hora inicio]])*1440</f>
        <v>0</v>
      </c>
    </row>
    <row r="739" spans="6:6" ht="15">
      <c r="F739" s="115">
        <f>+(disponibilidad[[#This Row],[Fecha y hora fin]]-disponibilidad[[#This Row],[Fecha y hora inicio]])*1440</f>
        <v>0</v>
      </c>
    </row>
    <row r="740" spans="6:6" ht="15">
      <c r="F740" s="115">
        <f>+(disponibilidad[[#This Row],[Fecha y hora fin]]-disponibilidad[[#This Row],[Fecha y hora inicio]])*1440</f>
        <v>0</v>
      </c>
    </row>
    <row r="741" spans="6:6" ht="15">
      <c r="F741" s="115">
        <f>+(disponibilidad[[#This Row],[Fecha y hora fin]]-disponibilidad[[#This Row],[Fecha y hora inicio]])*1440</f>
        <v>0</v>
      </c>
    </row>
    <row r="742" spans="6:6" ht="15">
      <c r="F742" s="115">
        <f>+(disponibilidad[[#This Row],[Fecha y hora fin]]-disponibilidad[[#This Row],[Fecha y hora inicio]])*1440</f>
        <v>0</v>
      </c>
    </row>
    <row r="743" spans="6:6" ht="15">
      <c r="F743" s="115">
        <f>+(disponibilidad[[#This Row],[Fecha y hora fin]]-disponibilidad[[#This Row],[Fecha y hora inicio]])*1440</f>
        <v>0</v>
      </c>
    </row>
    <row r="744" spans="6:6" ht="15">
      <c r="F744" s="115">
        <f>+(disponibilidad[[#This Row],[Fecha y hora fin]]-disponibilidad[[#This Row],[Fecha y hora inicio]])*1440</f>
        <v>0</v>
      </c>
    </row>
    <row r="745" spans="6:6" ht="15">
      <c r="F745" s="115">
        <f>+(disponibilidad[[#This Row],[Fecha y hora fin]]-disponibilidad[[#This Row],[Fecha y hora inicio]])*1440</f>
        <v>0</v>
      </c>
    </row>
    <row r="746" spans="6:6" ht="15">
      <c r="F746" s="115">
        <f>+(disponibilidad[[#This Row],[Fecha y hora fin]]-disponibilidad[[#This Row],[Fecha y hora inicio]])*1440</f>
        <v>0</v>
      </c>
    </row>
    <row r="747" spans="6:6" ht="15">
      <c r="F747" s="115">
        <f>+(disponibilidad[[#This Row],[Fecha y hora fin]]-disponibilidad[[#This Row],[Fecha y hora inicio]])*1440</f>
        <v>0</v>
      </c>
    </row>
    <row r="748" spans="6:6" ht="15">
      <c r="F748" s="115">
        <f>+(disponibilidad[[#This Row],[Fecha y hora fin]]-disponibilidad[[#This Row],[Fecha y hora inicio]])*1440</f>
        <v>0</v>
      </c>
    </row>
    <row r="749" spans="6:6" ht="15">
      <c r="F749" s="115">
        <f>+(disponibilidad[[#This Row],[Fecha y hora fin]]-disponibilidad[[#This Row],[Fecha y hora inicio]])*1440</f>
        <v>0</v>
      </c>
    </row>
    <row r="750" spans="6:6" ht="15">
      <c r="F750" s="115">
        <f>+(disponibilidad[[#This Row],[Fecha y hora fin]]-disponibilidad[[#This Row],[Fecha y hora inicio]])*1440</f>
        <v>0</v>
      </c>
    </row>
    <row r="751" spans="6:6" ht="15">
      <c r="F751" s="115">
        <f>+(disponibilidad[[#This Row],[Fecha y hora fin]]-disponibilidad[[#This Row],[Fecha y hora inicio]])*1440</f>
        <v>0</v>
      </c>
    </row>
    <row r="752" spans="6:6" ht="15">
      <c r="F752" s="115">
        <f>+(disponibilidad[[#This Row],[Fecha y hora fin]]-disponibilidad[[#This Row],[Fecha y hora inicio]])*1440</f>
        <v>0</v>
      </c>
    </row>
    <row r="753" spans="6:6" ht="15">
      <c r="F753" s="115">
        <f>+(disponibilidad[[#This Row],[Fecha y hora fin]]-disponibilidad[[#This Row],[Fecha y hora inicio]])*1440</f>
        <v>0</v>
      </c>
    </row>
    <row r="754" spans="6:6" ht="15">
      <c r="F754" s="115">
        <f>+(disponibilidad[[#This Row],[Fecha y hora fin]]-disponibilidad[[#This Row],[Fecha y hora inicio]])*1440</f>
        <v>0</v>
      </c>
    </row>
    <row r="755" spans="6:6" ht="15">
      <c r="F755" s="115">
        <f>+(disponibilidad[[#This Row],[Fecha y hora fin]]-disponibilidad[[#This Row],[Fecha y hora inicio]])*1440</f>
        <v>0</v>
      </c>
    </row>
    <row r="756" spans="6:6" ht="15">
      <c r="F756" s="115">
        <f>+(disponibilidad[[#This Row],[Fecha y hora fin]]-disponibilidad[[#This Row],[Fecha y hora inicio]])*1440</f>
        <v>0</v>
      </c>
    </row>
    <row r="757" spans="6:6" ht="15">
      <c r="F757" s="115">
        <f>+(disponibilidad[[#This Row],[Fecha y hora fin]]-disponibilidad[[#This Row],[Fecha y hora inicio]])*1440</f>
        <v>0</v>
      </c>
    </row>
    <row r="758" spans="6:6" ht="15">
      <c r="F758" s="115">
        <f>+(disponibilidad[[#This Row],[Fecha y hora fin]]-disponibilidad[[#This Row],[Fecha y hora inicio]])*1440</f>
        <v>0</v>
      </c>
    </row>
    <row r="759" spans="6:6" ht="15">
      <c r="F759" s="115">
        <f>+(disponibilidad[[#This Row],[Fecha y hora fin]]-disponibilidad[[#This Row],[Fecha y hora inicio]])*1440</f>
        <v>0</v>
      </c>
    </row>
    <row r="760" spans="6:6" ht="15">
      <c r="F760" s="115">
        <f>+(disponibilidad[[#This Row],[Fecha y hora fin]]-disponibilidad[[#This Row],[Fecha y hora inicio]])*1440</f>
        <v>0</v>
      </c>
    </row>
    <row r="761" spans="6:6" ht="15">
      <c r="F761" s="115">
        <f>+(disponibilidad[[#This Row],[Fecha y hora fin]]-disponibilidad[[#This Row],[Fecha y hora inicio]])*1440</f>
        <v>0</v>
      </c>
    </row>
    <row r="762" spans="6:6" ht="15">
      <c r="F762" s="115">
        <f>+(disponibilidad[[#This Row],[Fecha y hora fin]]-disponibilidad[[#This Row],[Fecha y hora inicio]])*1440</f>
        <v>0</v>
      </c>
    </row>
    <row r="763" spans="6:6" ht="15">
      <c r="F763" s="115">
        <f>+(disponibilidad[[#This Row],[Fecha y hora fin]]-disponibilidad[[#This Row],[Fecha y hora inicio]])*1440</f>
        <v>0</v>
      </c>
    </row>
    <row r="764" spans="6:6" ht="15">
      <c r="F764" s="115">
        <f>+(disponibilidad[[#This Row],[Fecha y hora fin]]-disponibilidad[[#This Row],[Fecha y hora inicio]])*1440</f>
        <v>0</v>
      </c>
    </row>
    <row r="765" spans="6:6" ht="15">
      <c r="F765" s="115">
        <f>+(disponibilidad[[#This Row],[Fecha y hora fin]]-disponibilidad[[#This Row],[Fecha y hora inicio]])*1440</f>
        <v>0</v>
      </c>
    </row>
    <row r="766" spans="6:6" ht="15">
      <c r="F766" s="115">
        <f>+(disponibilidad[[#This Row],[Fecha y hora fin]]-disponibilidad[[#This Row],[Fecha y hora inicio]])*1440</f>
        <v>0</v>
      </c>
    </row>
    <row r="767" spans="6:6" ht="15">
      <c r="F767" s="115">
        <f>+(disponibilidad[[#This Row],[Fecha y hora fin]]-disponibilidad[[#This Row],[Fecha y hora inicio]])*1440</f>
        <v>0</v>
      </c>
    </row>
    <row r="768" spans="6:6" ht="15">
      <c r="F768" s="115">
        <f>+(disponibilidad[[#This Row],[Fecha y hora fin]]-disponibilidad[[#This Row],[Fecha y hora inicio]])*1440</f>
        <v>0</v>
      </c>
    </row>
    <row r="769" spans="6:6" ht="15">
      <c r="F769" s="115">
        <f>+(disponibilidad[[#This Row],[Fecha y hora fin]]-disponibilidad[[#This Row],[Fecha y hora inicio]])*1440</f>
        <v>0</v>
      </c>
    </row>
    <row r="770" spans="6:6" ht="15">
      <c r="F770" s="115">
        <f>+(disponibilidad[[#This Row],[Fecha y hora fin]]-disponibilidad[[#This Row],[Fecha y hora inicio]])*1440</f>
        <v>0</v>
      </c>
    </row>
    <row r="771" spans="6:6" ht="15">
      <c r="F771" s="115">
        <f>+(disponibilidad[[#This Row],[Fecha y hora fin]]-disponibilidad[[#This Row],[Fecha y hora inicio]])*1440</f>
        <v>0</v>
      </c>
    </row>
    <row r="772" spans="6:6" ht="15">
      <c r="F772" s="115">
        <f>+(disponibilidad[[#This Row],[Fecha y hora fin]]-disponibilidad[[#This Row],[Fecha y hora inicio]])*1440</f>
        <v>0</v>
      </c>
    </row>
    <row r="773" spans="6:6" ht="15">
      <c r="F773" s="115">
        <f>+(disponibilidad[[#This Row],[Fecha y hora fin]]-disponibilidad[[#This Row],[Fecha y hora inicio]])*1440</f>
        <v>0</v>
      </c>
    </row>
    <row r="774" spans="6:6" ht="15">
      <c r="F774" s="115">
        <f>+(disponibilidad[[#This Row],[Fecha y hora fin]]-disponibilidad[[#This Row],[Fecha y hora inicio]])*1440</f>
        <v>0</v>
      </c>
    </row>
    <row r="775" spans="6:6" ht="15">
      <c r="F775" s="115">
        <f>+(disponibilidad[[#This Row],[Fecha y hora fin]]-disponibilidad[[#This Row],[Fecha y hora inicio]])*1440</f>
        <v>0</v>
      </c>
    </row>
    <row r="776" spans="6:6" ht="15">
      <c r="F776" s="115">
        <f>+(disponibilidad[[#This Row],[Fecha y hora fin]]-disponibilidad[[#This Row],[Fecha y hora inicio]])*1440</f>
        <v>0</v>
      </c>
    </row>
    <row r="777" spans="6:6" ht="15">
      <c r="F777" s="115">
        <f>+(disponibilidad[[#This Row],[Fecha y hora fin]]-disponibilidad[[#This Row],[Fecha y hora inicio]])*1440</f>
        <v>0</v>
      </c>
    </row>
    <row r="778" spans="6:6" ht="15">
      <c r="F778" s="115">
        <f>+(disponibilidad[[#This Row],[Fecha y hora fin]]-disponibilidad[[#This Row],[Fecha y hora inicio]])*1440</f>
        <v>0</v>
      </c>
    </row>
    <row r="779" spans="6:6" ht="15">
      <c r="F779" s="115">
        <f>+(disponibilidad[[#This Row],[Fecha y hora fin]]-disponibilidad[[#This Row],[Fecha y hora inicio]])*1440</f>
        <v>0</v>
      </c>
    </row>
    <row r="780" spans="6:6" ht="15">
      <c r="F780" s="115">
        <f>+(disponibilidad[[#This Row],[Fecha y hora fin]]-disponibilidad[[#This Row],[Fecha y hora inicio]])*1440</f>
        <v>0</v>
      </c>
    </row>
    <row r="781" spans="6:6" ht="15">
      <c r="F781" s="115">
        <f>+(disponibilidad[[#This Row],[Fecha y hora fin]]-disponibilidad[[#This Row],[Fecha y hora inicio]])*1440</f>
        <v>0</v>
      </c>
    </row>
    <row r="782" spans="6:6" ht="15">
      <c r="F782" s="115">
        <f>+(disponibilidad[[#This Row],[Fecha y hora fin]]-disponibilidad[[#This Row],[Fecha y hora inicio]])*1440</f>
        <v>0</v>
      </c>
    </row>
    <row r="783" spans="6:6" ht="15">
      <c r="F783" s="115">
        <f>+(disponibilidad[[#This Row],[Fecha y hora fin]]-disponibilidad[[#This Row],[Fecha y hora inicio]])*1440</f>
        <v>0</v>
      </c>
    </row>
    <row r="784" spans="6:6" ht="15">
      <c r="F784" s="115">
        <f>+(disponibilidad[[#This Row],[Fecha y hora fin]]-disponibilidad[[#This Row],[Fecha y hora inicio]])*1440</f>
        <v>0</v>
      </c>
    </row>
    <row r="785" spans="6:6" ht="15">
      <c r="F785" s="115">
        <f>+(disponibilidad[[#This Row],[Fecha y hora fin]]-disponibilidad[[#This Row],[Fecha y hora inicio]])*1440</f>
        <v>0</v>
      </c>
    </row>
    <row r="786" spans="6:6" ht="15">
      <c r="F786" s="115">
        <f>+(disponibilidad[[#This Row],[Fecha y hora fin]]-disponibilidad[[#This Row],[Fecha y hora inicio]])*1440</f>
        <v>0</v>
      </c>
    </row>
    <row r="787" spans="6:6" ht="15">
      <c r="F787" s="115">
        <f>+(disponibilidad[[#This Row],[Fecha y hora fin]]-disponibilidad[[#This Row],[Fecha y hora inicio]])*1440</f>
        <v>0</v>
      </c>
    </row>
    <row r="788" spans="6:6" ht="15">
      <c r="F788" s="115">
        <f>+(disponibilidad[[#This Row],[Fecha y hora fin]]-disponibilidad[[#This Row],[Fecha y hora inicio]])*1440</f>
        <v>0</v>
      </c>
    </row>
    <row r="789" spans="6:6" ht="15">
      <c r="F789" s="115">
        <f>+(disponibilidad[[#This Row],[Fecha y hora fin]]-disponibilidad[[#This Row],[Fecha y hora inicio]])*1440</f>
        <v>0</v>
      </c>
    </row>
    <row r="790" spans="6:6" ht="15">
      <c r="F790" s="115">
        <f>+(disponibilidad[[#This Row],[Fecha y hora fin]]-disponibilidad[[#This Row],[Fecha y hora inicio]])*1440</f>
        <v>0</v>
      </c>
    </row>
    <row r="791" spans="6:6" ht="15">
      <c r="F791" s="115">
        <f>+(disponibilidad[[#This Row],[Fecha y hora fin]]-disponibilidad[[#This Row],[Fecha y hora inicio]])*1440</f>
        <v>0</v>
      </c>
    </row>
    <row r="792" spans="6:6" ht="15">
      <c r="F792" s="115">
        <f>+(disponibilidad[[#This Row],[Fecha y hora fin]]-disponibilidad[[#This Row],[Fecha y hora inicio]])*1440</f>
        <v>0</v>
      </c>
    </row>
    <row r="793" spans="6:6" ht="15">
      <c r="F793" s="115">
        <f>+(disponibilidad[[#This Row],[Fecha y hora fin]]-disponibilidad[[#This Row],[Fecha y hora inicio]])*1440</f>
        <v>0</v>
      </c>
    </row>
    <row r="794" spans="6:6" ht="15">
      <c r="F794" s="115">
        <f>+(disponibilidad[[#This Row],[Fecha y hora fin]]-disponibilidad[[#This Row],[Fecha y hora inicio]])*1440</f>
        <v>0</v>
      </c>
    </row>
    <row r="795" spans="6:6" ht="15">
      <c r="F795" s="115">
        <f>+(disponibilidad[[#This Row],[Fecha y hora fin]]-disponibilidad[[#This Row],[Fecha y hora inicio]])*1440</f>
        <v>0</v>
      </c>
    </row>
    <row r="796" spans="6:6" ht="15">
      <c r="F796" s="115">
        <f>+(disponibilidad[[#This Row],[Fecha y hora fin]]-disponibilidad[[#This Row],[Fecha y hora inicio]])*1440</f>
        <v>0</v>
      </c>
    </row>
    <row r="797" spans="6:6" ht="15">
      <c r="F797" s="115">
        <f>+(disponibilidad[[#This Row],[Fecha y hora fin]]-disponibilidad[[#This Row],[Fecha y hora inicio]])*1440</f>
        <v>0</v>
      </c>
    </row>
    <row r="798" spans="6:6" ht="15">
      <c r="F798" s="115">
        <f>+(disponibilidad[[#This Row],[Fecha y hora fin]]-disponibilidad[[#This Row],[Fecha y hora inicio]])*1440</f>
        <v>0</v>
      </c>
    </row>
    <row r="799" spans="6:6" ht="15">
      <c r="F799" s="115">
        <f>+(disponibilidad[[#This Row],[Fecha y hora fin]]-disponibilidad[[#This Row],[Fecha y hora inicio]])*1440</f>
        <v>0</v>
      </c>
    </row>
    <row r="800" spans="6:6" ht="15">
      <c r="F800" s="115">
        <f>+(disponibilidad[[#This Row],[Fecha y hora fin]]-disponibilidad[[#This Row],[Fecha y hora inicio]])*1440</f>
        <v>0</v>
      </c>
    </row>
    <row r="801" spans="6:6" ht="15">
      <c r="F801" s="115">
        <f>+(disponibilidad[[#This Row],[Fecha y hora fin]]-disponibilidad[[#This Row],[Fecha y hora inicio]])*1440</f>
        <v>0</v>
      </c>
    </row>
    <row r="802" spans="6:6" ht="15">
      <c r="F802" s="115">
        <f>+(disponibilidad[[#This Row],[Fecha y hora fin]]-disponibilidad[[#This Row],[Fecha y hora inicio]])*1440</f>
        <v>0</v>
      </c>
    </row>
    <row r="803" spans="6:6" ht="15">
      <c r="F803" s="115">
        <f>+(disponibilidad[[#This Row],[Fecha y hora fin]]-disponibilidad[[#This Row],[Fecha y hora inicio]])*1440</f>
        <v>0</v>
      </c>
    </row>
    <row r="804" spans="6:6" ht="15">
      <c r="F804" s="115">
        <f>+(disponibilidad[[#This Row],[Fecha y hora fin]]-disponibilidad[[#This Row],[Fecha y hora inicio]])*1440</f>
        <v>0</v>
      </c>
    </row>
    <row r="805" spans="6:6" ht="15">
      <c r="F805" s="115">
        <f>+(disponibilidad[[#This Row],[Fecha y hora fin]]-disponibilidad[[#This Row],[Fecha y hora inicio]])*1440</f>
        <v>0</v>
      </c>
    </row>
    <row r="806" spans="6:6" ht="15">
      <c r="F806" s="115">
        <f>+(disponibilidad[[#This Row],[Fecha y hora fin]]-disponibilidad[[#This Row],[Fecha y hora inicio]])*1440</f>
        <v>0</v>
      </c>
    </row>
    <row r="807" spans="6:6" ht="15">
      <c r="F807" s="115">
        <f>+(disponibilidad[[#This Row],[Fecha y hora fin]]-disponibilidad[[#This Row],[Fecha y hora inicio]])*1440</f>
        <v>0</v>
      </c>
    </row>
    <row r="808" spans="6:6" ht="15">
      <c r="F808" s="115">
        <f>+(disponibilidad[[#This Row],[Fecha y hora fin]]-disponibilidad[[#This Row],[Fecha y hora inicio]])*1440</f>
        <v>0</v>
      </c>
    </row>
    <row r="809" spans="6:6" ht="15">
      <c r="F809" s="115">
        <f>+(disponibilidad[[#This Row],[Fecha y hora fin]]-disponibilidad[[#This Row],[Fecha y hora inicio]])*1440</f>
        <v>0</v>
      </c>
    </row>
    <row r="810" spans="6:6" ht="15">
      <c r="F810" s="115">
        <f>+(disponibilidad[[#This Row],[Fecha y hora fin]]-disponibilidad[[#This Row],[Fecha y hora inicio]])*1440</f>
        <v>0</v>
      </c>
    </row>
    <row r="811" spans="6:6" ht="15">
      <c r="F811" s="115">
        <f>+(disponibilidad[[#This Row],[Fecha y hora fin]]-disponibilidad[[#This Row],[Fecha y hora inicio]])*1440</f>
        <v>0</v>
      </c>
    </row>
    <row r="812" spans="6:6" ht="15">
      <c r="F812" s="115">
        <f>+(disponibilidad[[#This Row],[Fecha y hora fin]]-disponibilidad[[#This Row],[Fecha y hora inicio]])*1440</f>
        <v>0</v>
      </c>
    </row>
    <row r="813" spans="6:6" ht="15">
      <c r="F813" s="115">
        <f>+(disponibilidad[[#This Row],[Fecha y hora fin]]-disponibilidad[[#This Row],[Fecha y hora inicio]])*1440</f>
        <v>0</v>
      </c>
    </row>
    <row r="814" spans="6:6" ht="15">
      <c r="F814" s="115">
        <f>+(disponibilidad[[#This Row],[Fecha y hora fin]]-disponibilidad[[#This Row],[Fecha y hora inicio]])*1440</f>
        <v>0</v>
      </c>
    </row>
    <row r="815" spans="6:6" ht="15">
      <c r="F815" s="115">
        <f>+(disponibilidad[[#This Row],[Fecha y hora fin]]-disponibilidad[[#This Row],[Fecha y hora inicio]])*1440</f>
        <v>0</v>
      </c>
    </row>
    <row r="816" spans="6:6" ht="15">
      <c r="F816" s="115">
        <f>+(disponibilidad[[#This Row],[Fecha y hora fin]]-disponibilidad[[#This Row],[Fecha y hora inicio]])*1440</f>
        <v>0</v>
      </c>
    </row>
    <row r="817" spans="6:6" ht="15">
      <c r="F817" s="115">
        <f>+(disponibilidad[[#This Row],[Fecha y hora fin]]-disponibilidad[[#This Row],[Fecha y hora inicio]])*1440</f>
        <v>0</v>
      </c>
    </row>
    <row r="818" spans="6:6" ht="15">
      <c r="F818" s="115">
        <f>+(disponibilidad[[#This Row],[Fecha y hora fin]]-disponibilidad[[#This Row],[Fecha y hora inicio]])*1440</f>
        <v>0</v>
      </c>
    </row>
    <row r="819" spans="6:6" ht="15">
      <c r="F819" s="115">
        <f>+(disponibilidad[[#This Row],[Fecha y hora fin]]-disponibilidad[[#This Row],[Fecha y hora inicio]])*1440</f>
        <v>0</v>
      </c>
    </row>
    <row r="820" spans="6:6" ht="15">
      <c r="F820" s="115">
        <f>+(disponibilidad[[#This Row],[Fecha y hora fin]]-disponibilidad[[#This Row],[Fecha y hora inicio]])*1440</f>
        <v>0</v>
      </c>
    </row>
    <row r="821" spans="6:6" ht="15">
      <c r="F821" s="115">
        <f>+(disponibilidad[[#This Row],[Fecha y hora fin]]-disponibilidad[[#This Row],[Fecha y hora inicio]])*1440</f>
        <v>0</v>
      </c>
    </row>
    <row r="822" spans="6:6" ht="15">
      <c r="F822" s="115">
        <f>+(disponibilidad[[#This Row],[Fecha y hora fin]]-disponibilidad[[#This Row],[Fecha y hora inicio]])*1440</f>
        <v>0</v>
      </c>
    </row>
    <row r="823" spans="6:6" ht="15">
      <c r="F823" s="115">
        <f>+(disponibilidad[[#This Row],[Fecha y hora fin]]-disponibilidad[[#This Row],[Fecha y hora inicio]])*1440</f>
        <v>0</v>
      </c>
    </row>
    <row r="824" spans="6:6" ht="15">
      <c r="F824" s="115">
        <f>+(disponibilidad[[#This Row],[Fecha y hora fin]]-disponibilidad[[#This Row],[Fecha y hora inicio]])*1440</f>
        <v>0</v>
      </c>
    </row>
    <row r="825" spans="6:6" ht="15">
      <c r="F825" s="115">
        <f>+(disponibilidad[[#This Row],[Fecha y hora fin]]-disponibilidad[[#This Row],[Fecha y hora inicio]])*1440</f>
        <v>0</v>
      </c>
    </row>
    <row r="826" spans="6:6" ht="15">
      <c r="F826" s="115">
        <f>+(disponibilidad[[#This Row],[Fecha y hora fin]]-disponibilidad[[#This Row],[Fecha y hora inicio]])*1440</f>
        <v>0</v>
      </c>
    </row>
    <row r="827" spans="6:6" ht="15">
      <c r="F827" s="115">
        <f>+(disponibilidad[[#This Row],[Fecha y hora fin]]-disponibilidad[[#This Row],[Fecha y hora inicio]])*1440</f>
        <v>0</v>
      </c>
    </row>
    <row r="828" spans="6:6" ht="15">
      <c r="F828" s="115">
        <f>+(disponibilidad[[#This Row],[Fecha y hora fin]]-disponibilidad[[#This Row],[Fecha y hora inicio]])*1440</f>
        <v>0</v>
      </c>
    </row>
    <row r="829" spans="6:6" ht="15">
      <c r="F829" s="115">
        <f>+(disponibilidad[[#This Row],[Fecha y hora fin]]-disponibilidad[[#This Row],[Fecha y hora inicio]])*1440</f>
        <v>0</v>
      </c>
    </row>
    <row r="830" spans="6:6" ht="15">
      <c r="F830" s="115">
        <f>+(disponibilidad[[#This Row],[Fecha y hora fin]]-disponibilidad[[#This Row],[Fecha y hora inicio]])*1440</f>
        <v>0</v>
      </c>
    </row>
    <row r="831" spans="6:6" ht="15">
      <c r="F831" s="115">
        <f>+(disponibilidad[[#This Row],[Fecha y hora fin]]-disponibilidad[[#This Row],[Fecha y hora inicio]])*1440</f>
        <v>0</v>
      </c>
    </row>
    <row r="832" spans="6:6" ht="15">
      <c r="F832" s="115">
        <f>+(disponibilidad[[#This Row],[Fecha y hora fin]]-disponibilidad[[#This Row],[Fecha y hora inicio]])*1440</f>
        <v>0</v>
      </c>
    </row>
    <row r="833" spans="6:6" ht="15">
      <c r="F833" s="115">
        <f>+(disponibilidad[[#This Row],[Fecha y hora fin]]-disponibilidad[[#This Row],[Fecha y hora inicio]])*1440</f>
        <v>0</v>
      </c>
    </row>
    <row r="834" spans="6:6" ht="15">
      <c r="F834" s="115">
        <f>+(disponibilidad[[#This Row],[Fecha y hora fin]]-disponibilidad[[#This Row],[Fecha y hora inicio]])*1440</f>
        <v>0</v>
      </c>
    </row>
    <row r="835" spans="6:6" ht="15">
      <c r="F835" s="115">
        <f>+(disponibilidad[[#This Row],[Fecha y hora fin]]-disponibilidad[[#This Row],[Fecha y hora inicio]])*1440</f>
        <v>0</v>
      </c>
    </row>
    <row r="836" spans="6:6" ht="15">
      <c r="F836" s="115">
        <f>+(disponibilidad[[#This Row],[Fecha y hora fin]]-disponibilidad[[#This Row],[Fecha y hora inicio]])*1440</f>
        <v>0</v>
      </c>
    </row>
    <row r="837" spans="6:6" ht="15">
      <c r="F837" s="115">
        <f>+(disponibilidad[[#This Row],[Fecha y hora fin]]-disponibilidad[[#This Row],[Fecha y hora inicio]])*1440</f>
        <v>0</v>
      </c>
    </row>
    <row r="838" spans="6:6" ht="15">
      <c r="F838" s="115">
        <f>+(disponibilidad[[#This Row],[Fecha y hora fin]]-disponibilidad[[#This Row],[Fecha y hora inicio]])*1440</f>
        <v>0</v>
      </c>
    </row>
    <row r="839" spans="6:6" ht="15">
      <c r="F839" s="115">
        <f>+(disponibilidad[[#This Row],[Fecha y hora fin]]-disponibilidad[[#This Row],[Fecha y hora inicio]])*1440</f>
        <v>0</v>
      </c>
    </row>
    <row r="840" spans="6:6" ht="15">
      <c r="F840" s="115">
        <f>+(disponibilidad[[#This Row],[Fecha y hora fin]]-disponibilidad[[#This Row],[Fecha y hora inicio]])*1440</f>
        <v>0</v>
      </c>
    </row>
    <row r="841" spans="6:6" ht="15">
      <c r="F841" s="115">
        <f>+(disponibilidad[[#This Row],[Fecha y hora fin]]-disponibilidad[[#This Row],[Fecha y hora inicio]])*1440</f>
        <v>0</v>
      </c>
    </row>
    <row r="842" spans="6:6" ht="15">
      <c r="F842" s="115">
        <f>+(disponibilidad[[#This Row],[Fecha y hora fin]]-disponibilidad[[#This Row],[Fecha y hora inicio]])*1440</f>
        <v>0</v>
      </c>
    </row>
    <row r="843" spans="6:6" ht="15">
      <c r="F843" s="115">
        <f>+(disponibilidad[[#This Row],[Fecha y hora fin]]-disponibilidad[[#This Row],[Fecha y hora inicio]])*1440</f>
        <v>0</v>
      </c>
    </row>
    <row r="844" spans="6:6" ht="15">
      <c r="F844" s="115">
        <f>+(disponibilidad[[#This Row],[Fecha y hora fin]]-disponibilidad[[#This Row],[Fecha y hora inicio]])*1440</f>
        <v>0</v>
      </c>
    </row>
    <row r="845" spans="6:6" ht="15">
      <c r="F845" s="115">
        <f>+(disponibilidad[[#This Row],[Fecha y hora fin]]-disponibilidad[[#This Row],[Fecha y hora inicio]])*1440</f>
        <v>0</v>
      </c>
    </row>
    <row r="846" spans="6:6" ht="15">
      <c r="F846" s="115">
        <f>+(disponibilidad[[#This Row],[Fecha y hora fin]]-disponibilidad[[#This Row],[Fecha y hora inicio]])*1440</f>
        <v>0</v>
      </c>
    </row>
    <row r="847" spans="6:6" ht="15">
      <c r="F847" s="115">
        <f>+(disponibilidad[[#This Row],[Fecha y hora fin]]-disponibilidad[[#This Row],[Fecha y hora inicio]])*1440</f>
        <v>0</v>
      </c>
    </row>
    <row r="848" spans="6:6" ht="15">
      <c r="F848" s="115">
        <f>+(disponibilidad[[#This Row],[Fecha y hora fin]]-disponibilidad[[#This Row],[Fecha y hora inicio]])*1440</f>
        <v>0</v>
      </c>
    </row>
    <row r="849" spans="6:6" ht="15">
      <c r="F849" s="115">
        <f>+(disponibilidad[[#This Row],[Fecha y hora fin]]-disponibilidad[[#This Row],[Fecha y hora inicio]])*1440</f>
        <v>0</v>
      </c>
    </row>
    <row r="850" spans="6:6" ht="15">
      <c r="F850" s="115">
        <f>+(disponibilidad[[#This Row],[Fecha y hora fin]]-disponibilidad[[#This Row],[Fecha y hora inicio]])*1440</f>
        <v>0</v>
      </c>
    </row>
    <row r="851" spans="6:6" ht="15">
      <c r="F851" s="115">
        <f>+(disponibilidad[[#This Row],[Fecha y hora fin]]-disponibilidad[[#This Row],[Fecha y hora inicio]])*1440</f>
        <v>0</v>
      </c>
    </row>
    <row r="852" spans="6:6" ht="15">
      <c r="F852" s="115">
        <f>+(disponibilidad[[#This Row],[Fecha y hora fin]]-disponibilidad[[#This Row],[Fecha y hora inicio]])*1440</f>
        <v>0</v>
      </c>
    </row>
    <row r="853" spans="6:6" ht="15">
      <c r="F853" s="115">
        <f>+(disponibilidad[[#This Row],[Fecha y hora fin]]-disponibilidad[[#This Row],[Fecha y hora inicio]])*1440</f>
        <v>0</v>
      </c>
    </row>
    <row r="854" spans="6:6" ht="15">
      <c r="F854" s="115">
        <f>+(disponibilidad[[#This Row],[Fecha y hora fin]]-disponibilidad[[#This Row],[Fecha y hora inicio]])*1440</f>
        <v>0</v>
      </c>
    </row>
    <row r="855" spans="6:6" ht="15">
      <c r="F855" s="115">
        <f>+(disponibilidad[[#This Row],[Fecha y hora fin]]-disponibilidad[[#This Row],[Fecha y hora inicio]])*1440</f>
        <v>0</v>
      </c>
    </row>
    <row r="856" spans="6:6" ht="15">
      <c r="F856" s="115">
        <f>+(disponibilidad[[#This Row],[Fecha y hora fin]]-disponibilidad[[#This Row],[Fecha y hora inicio]])*1440</f>
        <v>0</v>
      </c>
    </row>
    <row r="857" spans="6:6" ht="15">
      <c r="F857" s="115">
        <f>+(disponibilidad[[#This Row],[Fecha y hora fin]]-disponibilidad[[#This Row],[Fecha y hora inicio]])*1440</f>
        <v>0</v>
      </c>
    </row>
    <row r="858" spans="6:6" ht="15">
      <c r="F858" s="115">
        <f>+(disponibilidad[[#This Row],[Fecha y hora fin]]-disponibilidad[[#This Row],[Fecha y hora inicio]])*1440</f>
        <v>0</v>
      </c>
    </row>
    <row r="859" spans="6:6" ht="15">
      <c r="F859" s="115">
        <f>+(disponibilidad[[#This Row],[Fecha y hora fin]]-disponibilidad[[#This Row],[Fecha y hora inicio]])*1440</f>
        <v>0</v>
      </c>
    </row>
    <row r="860" spans="6:6" ht="15">
      <c r="F860" s="115">
        <f>+(disponibilidad[[#This Row],[Fecha y hora fin]]-disponibilidad[[#This Row],[Fecha y hora inicio]])*1440</f>
        <v>0</v>
      </c>
    </row>
    <row r="861" spans="6:6" ht="15">
      <c r="F861" s="115">
        <f>+(disponibilidad[[#This Row],[Fecha y hora fin]]-disponibilidad[[#This Row],[Fecha y hora inicio]])*1440</f>
        <v>0</v>
      </c>
    </row>
    <row r="862" spans="6:6" ht="15">
      <c r="F862" s="115">
        <f>+(disponibilidad[[#This Row],[Fecha y hora fin]]-disponibilidad[[#This Row],[Fecha y hora inicio]])*1440</f>
        <v>0</v>
      </c>
    </row>
    <row r="863" spans="6:6" ht="15">
      <c r="F863" s="115">
        <f>+(disponibilidad[[#This Row],[Fecha y hora fin]]-disponibilidad[[#This Row],[Fecha y hora inicio]])*1440</f>
        <v>0</v>
      </c>
    </row>
    <row r="864" spans="6:6" ht="15">
      <c r="F864" s="115">
        <f>+(disponibilidad[[#This Row],[Fecha y hora fin]]-disponibilidad[[#This Row],[Fecha y hora inicio]])*1440</f>
        <v>0</v>
      </c>
    </row>
    <row r="865" spans="6:6" ht="15">
      <c r="F865" s="115">
        <f>+(disponibilidad[[#This Row],[Fecha y hora fin]]-disponibilidad[[#This Row],[Fecha y hora inicio]])*1440</f>
        <v>0</v>
      </c>
    </row>
    <row r="866" spans="6:6" ht="15">
      <c r="F866" s="115">
        <f>+(disponibilidad[[#This Row],[Fecha y hora fin]]-disponibilidad[[#This Row],[Fecha y hora inicio]])*1440</f>
        <v>0</v>
      </c>
    </row>
    <row r="867" spans="6:6" ht="15">
      <c r="F867" s="115">
        <f>+(disponibilidad[[#This Row],[Fecha y hora fin]]-disponibilidad[[#This Row],[Fecha y hora inicio]])*1440</f>
        <v>0</v>
      </c>
    </row>
    <row r="868" spans="6:6" ht="15">
      <c r="F868" s="115">
        <f>+(disponibilidad[[#This Row],[Fecha y hora fin]]-disponibilidad[[#This Row],[Fecha y hora inicio]])*1440</f>
        <v>0</v>
      </c>
    </row>
    <row r="869" spans="6:6" ht="15">
      <c r="F869" s="115">
        <f>+(disponibilidad[[#This Row],[Fecha y hora fin]]-disponibilidad[[#This Row],[Fecha y hora inicio]])*1440</f>
        <v>0</v>
      </c>
    </row>
    <row r="870" spans="6:6" ht="15">
      <c r="F870" s="115">
        <f>+(disponibilidad[[#This Row],[Fecha y hora fin]]-disponibilidad[[#This Row],[Fecha y hora inicio]])*1440</f>
        <v>0</v>
      </c>
    </row>
    <row r="871" spans="6:6" ht="15">
      <c r="F871" s="115">
        <f>+(disponibilidad[[#This Row],[Fecha y hora fin]]-disponibilidad[[#This Row],[Fecha y hora inicio]])*1440</f>
        <v>0</v>
      </c>
    </row>
    <row r="872" spans="6:6" ht="15">
      <c r="F872" s="115">
        <f>+(disponibilidad[[#This Row],[Fecha y hora fin]]-disponibilidad[[#This Row],[Fecha y hora inicio]])*1440</f>
        <v>0</v>
      </c>
    </row>
    <row r="873" spans="6:6" ht="15">
      <c r="F873" s="115">
        <f>+(disponibilidad[[#This Row],[Fecha y hora fin]]-disponibilidad[[#This Row],[Fecha y hora inicio]])*1440</f>
        <v>0</v>
      </c>
    </row>
    <row r="874" spans="6:6" ht="15">
      <c r="F874" s="115">
        <f>+(disponibilidad[[#This Row],[Fecha y hora fin]]-disponibilidad[[#This Row],[Fecha y hora inicio]])*1440</f>
        <v>0</v>
      </c>
    </row>
    <row r="875" spans="6:6" ht="15">
      <c r="F875" s="115">
        <f>+(disponibilidad[[#This Row],[Fecha y hora fin]]-disponibilidad[[#This Row],[Fecha y hora inicio]])*1440</f>
        <v>0</v>
      </c>
    </row>
    <row r="876" spans="6:6" ht="15">
      <c r="F876" s="115">
        <f>+(disponibilidad[[#This Row],[Fecha y hora fin]]-disponibilidad[[#This Row],[Fecha y hora inicio]])*1440</f>
        <v>0</v>
      </c>
    </row>
    <row r="877" spans="6:6" ht="15">
      <c r="F877" s="115">
        <f>+(disponibilidad[[#This Row],[Fecha y hora fin]]-disponibilidad[[#This Row],[Fecha y hora inicio]])*1440</f>
        <v>0</v>
      </c>
    </row>
    <row r="878" spans="6:6" ht="15">
      <c r="F878" s="115">
        <f>+(disponibilidad[[#This Row],[Fecha y hora fin]]-disponibilidad[[#This Row],[Fecha y hora inicio]])*1440</f>
        <v>0</v>
      </c>
    </row>
    <row r="879" spans="6:6" ht="15">
      <c r="F879" s="115">
        <f>+(disponibilidad[[#This Row],[Fecha y hora fin]]-disponibilidad[[#This Row],[Fecha y hora inicio]])*1440</f>
        <v>0</v>
      </c>
    </row>
    <row r="880" spans="6:6" ht="15">
      <c r="F880" s="115">
        <f>+(disponibilidad[[#This Row],[Fecha y hora fin]]-disponibilidad[[#This Row],[Fecha y hora inicio]])*1440</f>
        <v>0</v>
      </c>
    </row>
    <row r="881" spans="6:6" ht="15">
      <c r="F881" s="115">
        <f>+(disponibilidad[[#This Row],[Fecha y hora fin]]-disponibilidad[[#This Row],[Fecha y hora inicio]])*1440</f>
        <v>0</v>
      </c>
    </row>
    <row r="882" spans="6:6" ht="15">
      <c r="F882" s="115">
        <f>+(disponibilidad[[#This Row],[Fecha y hora fin]]-disponibilidad[[#This Row],[Fecha y hora inicio]])*1440</f>
        <v>0</v>
      </c>
    </row>
    <row r="883" spans="6:6" ht="15">
      <c r="F883" s="115">
        <f>+(disponibilidad[[#This Row],[Fecha y hora fin]]-disponibilidad[[#This Row],[Fecha y hora inicio]])*1440</f>
        <v>0</v>
      </c>
    </row>
    <row r="884" spans="6:6" ht="15">
      <c r="F884" s="115">
        <f>+(disponibilidad[[#This Row],[Fecha y hora fin]]-disponibilidad[[#This Row],[Fecha y hora inicio]])*1440</f>
        <v>0</v>
      </c>
    </row>
    <row r="885" spans="6:6" ht="15">
      <c r="F885" s="115">
        <f>+(disponibilidad[[#This Row],[Fecha y hora fin]]-disponibilidad[[#This Row],[Fecha y hora inicio]])*1440</f>
        <v>0</v>
      </c>
    </row>
    <row r="886" spans="6:6" ht="15">
      <c r="F886" s="115">
        <f>+(disponibilidad[[#This Row],[Fecha y hora fin]]-disponibilidad[[#This Row],[Fecha y hora inicio]])*1440</f>
        <v>0</v>
      </c>
    </row>
    <row r="887" spans="6:6" ht="15">
      <c r="F887" s="115">
        <f>+(disponibilidad[[#This Row],[Fecha y hora fin]]-disponibilidad[[#This Row],[Fecha y hora inicio]])*1440</f>
        <v>0</v>
      </c>
    </row>
    <row r="888" spans="6:6" ht="15">
      <c r="F888" s="115">
        <f>+(disponibilidad[[#This Row],[Fecha y hora fin]]-disponibilidad[[#This Row],[Fecha y hora inicio]])*1440</f>
        <v>0</v>
      </c>
    </row>
    <row r="889" spans="6:6" ht="15">
      <c r="F889" s="115">
        <f>+(disponibilidad[[#This Row],[Fecha y hora fin]]-disponibilidad[[#This Row],[Fecha y hora inicio]])*1440</f>
        <v>0</v>
      </c>
    </row>
    <row r="890" spans="6:6" ht="15">
      <c r="F890" s="115">
        <f>+(disponibilidad[[#This Row],[Fecha y hora fin]]-disponibilidad[[#This Row],[Fecha y hora inicio]])*1440</f>
        <v>0</v>
      </c>
    </row>
    <row r="891" spans="6:6" ht="15">
      <c r="F891" s="115">
        <f>+(disponibilidad[[#This Row],[Fecha y hora fin]]-disponibilidad[[#This Row],[Fecha y hora inicio]])*1440</f>
        <v>0</v>
      </c>
    </row>
    <row r="892" spans="6:6" ht="15">
      <c r="F892" s="115">
        <f>+(disponibilidad[[#This Row],[Fecha y hora fin]]-disponibilidad[[#This Row],[Fecha y hora inicio]])*1440</f>
        <v>0</v>
      </c>
    </row>
    <row r="893" spans="6:6" ht="15">
      <c r="F893" s="115">
        <f>+(disponibilidad[[#This Row],[Fecha y hora fin]]-disponibilidad[[#This Row],[Fecha y hora inicio]])*1440</f>
        <v>0</v>
      </c>
    </row>
    <row r="894" spans="6:6" ht="15">
      <c r="F894" s="115">
        <f>+(disponibilidad[[#This Row],[Fecha y hora fin]]-disponibilidad[[#This Row],[Fecha y hora inicio]])*1440</f>
        <v>0</v>
      </c>
    </row>
    <row r="895" spans="6:6" ht="15">
      <c r="F895" s="115">
        <f>+(disponibilidad[[#This Row],[Fecha y hora fin]]-disponibilidad[[#This Row],[Fecha y hora inicio]])*1440</f>
        <v>0</v>
      </c>
    </row>
    <row r="896" spans="6:6" ht="15">
      <c r="F896" s="115">
        <f>+(disponibilidad[[#This Row],[Fecha y hora fin]]-disponibilidad[[#This Row],[Fecha y hora inicio]])*1440</f>
        <v>0</v>
      </c>
    </row>
    <row r="897" spans="6:6" ht="15">
      <c r="F897" s="115">
        <f>+(disponibilidad[[#This Row],[Fecha y hora fin]]-disponibilidad[[#This Row],[Fecha y hora inicio]])*1440</f>
        <v>0</v>
      </c>
    </row>
    <row r="898" spans="6:6" ht="15">
      <c r="F898" s="115">
        <f>+(disponibilidad[[#This Row],[Fecha y hora fin]]-disponibilidad[[#This Row],[Fecha y hora inicio]])*1440</f>
        <v>0</v>
      </c>
    </row>
    <row r="899" spans="6:6" ht="15">
      <c r="F899" s="115">
        <f>+(disponibilidad[[#This Row],[Fecha y hora fin]]-disponibilidad[[#This Row],[Fecha y hora inicio]])*1440</f>
        <v>0</v>
      </c>
    </row>
    <row r="900" spans="6:6" ht="15">
      <c r="F900" s="115">
        <f>+(disponibilidad[[#This Row],[Fecha y hora fin]]-disponibilidad[[#This Row],[Fecha y hora inicio]])*1440</f>
        <v>0</v>
      </c>
    </row>
    <row r="901" spans="6:6" ht="15">
      <c r="F901" s="115">
        <f>+(disponibilidad[[#This Row],[Fecha y hora fin]]-disponibilidad[[#This Row],[Fecha y hora inicio]])*1440</f>
        <v>0</v>
      </c>
    </row>
    <row r="902" spans="6:6" ht="15">
      <c r="F902" s="115">
        <f>+(disponibilidad[[#This Row],[Fecha y hora fin]]-disponibilidad[[#This Row],[Fecha y hora inicio]])*1440</f>
        <v>0</v>
      </c>
    </row>
    <row r="903" spans="6:6" ht="15">
      <c r="F903" s="115">
        <f>+(disponibilidad[[#This Row],[Fecha y hora fin]]-disponibilidad[[#This Row],[Fecha y hora inicio]])*1440</f>
        <v>0</v>
      </c>
    </row>
    <row r="904" spans="6:6" ht="15">
      <c r="F904" s="115">
        <f>+(disponibilidad[[#This Row],[Fecha y hora fin]]-disponibilidad[[#This Row],[Fecha y hora inicio]])*1440</f>
        <v>0</v>
      </c>
    </row>
    <row r="905" spans="6:6" ht="15">
      <c r="F905" s="115">
        <f>+(disponibilidad[[#This Row],[Fecha y hora fin]]-disponibilidad[[#This Row],[Fecha y hora inicio]])*1440</f>
        <v>0</v>
      </c>
    </row>
    <row r="906" spans="6:6" ht="15">
      <c r="F906" s="115">
        <f>+(disponibilidad[[#This Row],[Fecha y hora fin]]-disponibilidad[[#This Row],[Fecha y hora inicio]])*1440</f>
        <v>0</v>
      </c>
    </row>
    <row r="907" spans="6:6" ht="15">
      <c r="F907" s="115">
        <f>+(disponibilidad[[#This Row],[Fecha y hora fin]]-disponibilidad[[#This Row],[Fecha y hora inicio]])*1440</f>
        <v>0</v>
      </c>
    </row>
    <row r="908" spans="6:6" ht="15">
      <c r="F908" s="115">
        <f>+(disponibilidad[[#This Row],[Fecha y hora fin]]-disponibilidad[[#This Row],[Fecha y hora inicio]])*1440</f>
        <v>0</v>
      </c>
    </row>
    <row r="909" spans="6:6" ht="15">
      <c r="F909" s="115">
        <f>+(disponibilidad[[#This Row],[Fecha y hora fin]]-disponibilidad[[#This Row],[Fecha y hora inicio]])*1440</f>
        <v>0</v>
      </c>
    </row>
    <row r="910" spans="6:6" ht="15">
      <c r="F910" s="115">
        <f>+(disponibilidad[[#This Row],[Fecha y hora fin]]-disponibilidad[[#This Row],[Fecha y hora inicio]])*1440</f>
        <v>0</v>
      </c>
    </row>
    <row r="911" spans="6:6" ht="15">
      <c r="F911" s="115">
        <f>+(disponibilidad[[#This Row],[Fecha y hora fin]]-disponibilidad[[#This Row],[Fecha y hora inicio]])*1440</f>
        <v>0</v>
      </c>
    </row>
    <row r="912" spans="6:6" ht="15">
      <c r="F912" s="115">
        <f>+(disponibilidad[[#This Row],[Fecha y hora fin]]-disponibilidad[[#This Row],[Fecha y hora inicio]])*1440</f>
        <v>0</v>
      </c>
    </row>
    <row r="913" spans="6:6" ht="15">
      <c r="F913" s="115">
        <f>+(disponibilidad[[#This Row],[Fecha y hora fin]]-disponibilidad[[#This Row],[Fecha y hora inicio]])*1440</f>
        <v>0</v>
      </c>
    </row>
    <row r="914" spans="6:6" ht="15">
      <c r="F914" s="115">
        <f>+(disponibilidad[[#This Row],[Fecha y hora fin]]-disponibilidad[[#This Row],[Fecha y hora inicio]])*1440</f>
        <v>0</v>
      </c>
    </row>
    <row r="915" spans="6:6" ht="15">
      <c r="F915" s="115">
        <f>+(disponibilidad[[#This Row],[Fecha y hora fin]]-disponibilidad[[#This Row],[Fecha y hora inicio]])*1440</f>
        <v>0</v>
      </c>
    </row>
    <row r="916" spans="6:6" ht="15">
      <c r="F916" s="115">
        <f>+(disponibilidad[[#This Row],[Fecha y hora fin]]-disponibilidad[[#This Row],[Fecha y hora inicio]])*1440</f>
        <v>0</v>
      </c>
    </row>
    <row r="917" spans="6:6" ht="15">
      <c r="F917" s="115">
        <f>+(disponibilidad[[#This Row],[Fecha y hora fin]]-disponibilidad[[#This Row],[Fecha y hora inicio]])*1440</f>
        <v>0</v>
      </c>
    </row>
    <row r="918" spans="6:6" ht="15">
      <c r="F918" s="115">
        <f>+(disponibilidad[[#This Row],[Fecha y hora fin]]-disponibilidad[[#This Row],[Fecha y hora inicio]])*1440</f>
        <v>0</v>
      </c>
    </row>
    <row r="919" spans="6:6" ht="15">
      <c r="F919" s="115">
        <f>+(disponibilidad[[#This Row],[Fecha y hora fin]]-disponibilidad[[#This Row],[Fecha y hora inicio]])*1440</f>
        <v>0</v>
      </c>
    </row>
    <row r="920" spans="6:6" ht="15">
      <c r="F920" s="115">
        <f>+(disponibilidad[[#This Row],[Fecha y hora fin]]-disponibilidad[[#This Row],[Fecha y hora inicio]])*1440</f>
        <v>0</v>
      </c>
    </row>
    <row r="921" spans="6:6" ht="15">
      <c r="F921" s="115">
        <f>+(disponibilidad[[#This Row],[Fecha y hora fin]]-disponibilidad[[#This Row],[Fecha y hora inicio]])*1440</f>
        <v>0</v>
      </c>
    </row>
    <row r="922" spans="6:6" ht="15">
      <c r="F922" s="115">
        <f>+(disponibilidad[[#This Row],[Fecha y hora fin]]-disponibilidad[[#This Row],[Fecha y hora inicio]])*1440</f>
        <v>0</v>
      </c>
    </row>
    <row r="923" spans="6:6" ht="15">
      <c r="F923" s="115">
        <f>+(disponibilidad[[#This Row],[Fecha y hora fin]]-disponibilidad[[#This Row],[Fecha y hora inicio]])*1440</f>
        <v>0</v>
      </c>
    </row>
    <row r="924" spans="6:6" ht="15">
      <c r="F924" s="115">
        <f>+(disponibilidad[[#This Row],[Fecha y hora fin]]-disponibilidad[[#This Row],[Fecha y hora inicio]])*1440</f>
        <v>0</v>
      </c>
    </row>
    <row r="925" spans="6:6" ht="15">
      <c r="F925" s="115">
        <f>+(disponibilidad[[#This Row],[Fecha y hora fin]]-disponibilidad[[#This Row],[Fecha y hora inicio]])*1440</f>
        <v>0</v>
      </c>
    </row>
    <row r="926" spans="6:6" ht="15">
      <c r="F926" s="115">
        <f>+(disponibilidad[[#This Row],[Fecha y hora fin]]-disponibilidad[[#This Row],[Fecha y hora inicio]])*1440</f>
        <v>0</v>
      </c>
    </row>
    <row r="927" spans="6:6" ht="15">
      <c r="F927" s="115">
        <f>+(disponibilidad[[#This Row],[Fecha y hora fin]]-disponibilidad[[#This Row],[Fecha y hora inicio]])*1440</f>
        <v>0</v>
      </c>
    </row>
    <row r="928" spans="6:6" ht="15">
      <c r="F928" s="115">
        <f>+(disponibilidad[[#This Row],[Fecha y hora fin]]-disponibilidad[[#This Row],[Fecha y hora inicio]])*1440</f>
        <v>0</v>
      </c>
    </row>
    <row r="929" spans="6:6" ht="15">
      <c r="F929" s="115">
        <f>+(disponibilidad[[#This Row],[Fecha y hora fin]]-disponibilidad[[#This Row],[Fecha y hora inicio]])*1440</f>
        <v>0</v>
      </c>
    </row>
    <row r="930" spans="6:6" ht="15">
      <c r="F930" s="115">
        <f>+(disponibilidad[[#This Row],[Fecha y hora fin]]-disponibilidad[[#This Row],[Fecha y hora inicio]])*1440</f>
        <v>0</v>
      </c>
    </row>
    <row r="931" spans="6:6" ht="15">
      <c r="F931" s="115">
        <f>+(disponibilidad[[#This Row],[Fecha y hora fin]]-disponibilidad[[#This Row],[Fecha y hora inicio]])*1440</f>
        <v>0</v>
      </c>
    </row>
    <row r="932" spans="6:6" ht="15">
      <c r="F932" s="115">
        <f>+(disponibilidad[[#This Row],[Fecha y hora fin]]-disponibilidad[[#This Row],[Fecha y hora inicio]])*1440</f>
        <v>0</v>
      </c>
    </row>
    <row r="933" spans="6:6" ht="15">
      <c r="F933" s="115">
        <f>+(disponibilidad[[#This Row],[Fecha y hora fin]]-disponibilidad[[#This Row],[Fecha y hora inicio]])*1440</f>
        <v>0</v>
      </c>
    </row>
    <row r="934" spans="6:6" ht="15">
      <c r="F934" s="115">
        <f>+(disponibilidad[[#This Row],[Fecha y hora fin]]-disponibilidad[[#This Row],[Fecha y hora inicio]])*1440</f>
        <v>0</v>
      </c>
    </row>
    <row r="935" spans="6:6" ht="15">
      <c r="F935" s="115">
        <f>+(disponibilidad[[#This Row],[Fecha y hora fin]]-disponibilidad[[#This Row],[Fecha y hora inicio]])*1440</f>
        <v>0</v>
      </c>
    </row>
    <row r="936" spans="6:6" ht="15">
      <c r="F936" s="115">
        <f>+(disponibilidad[[#This Row],[Fecha y hora fin]]-disponibilidad[[#This Row],[Fecha y hora inicio]])*1440</f>
        <v>0</v>
      </c>
    </row>
    <row r="937" spans="6:6" ht="15">
      <c r="F937" s="115">
        <f>+(disponibilidad[[#This Row],[Fecha y hora fin]]-disponibilidad[[#This Row],[Fecha y hora inicio]])*1440</f>
        <v>0</v>
      </c>
    </row>
    <row r="938" spans="6:6" ht="15">
      <c r="F938" s="115">
        <f>+(disponibilidad[[#This Row],[Fecha y hora fin]]-disponibilidad[[#This Row],[Fecha y hora inicio]])*1440</f>
        <v>0</v>
      </c>
    </row>
    <row r="939" spans="6:6" ht="15">
      <c r="F939" s="115">
        <f>+(disponibilidad[[#This Row],[Fecha y hora fin]]-disponibilidad[[#This Row],[Fecha y hora inicio]])*1440</f>
        <v>0</v>
      </c>
    </row>
    <row r="940" spans="6:6" ht="15">
      <c r="F940" s="115">
        <f>+(disponibilidad[[#This Row],[Fecha y hora fin]]-disponibilidad[[#This Row],[Fecha y hora inicio]])*1440</f>
        <v>0</v>
      </c>
    </row>
    <row r="941" spans="6:6" ht="15">
      <c r="F941" s="115">
        <f>+(disponibilidad[[#This Row],[Fecha y hora fin]]-disponibilidad[[#This Row],[Fecha y hora inicio]])*1440</f>
        <v>0</v>
      </c>
    </row>
    <row r="942" spans="6:6" ht="15">
      <c r="F942" s="115">
        <f>+(disponibilidad[[#This Row],[Fecha y hora fin]]-disponibilidad[[#This Row],[Fecha y hora inicio]])*1440</f>
        <v>0</v>
      </c>
    </row>
    <row r="943" spans="6:6" ht="15">
      <c r="F943" s="115">
        <f>+(disponibilidad[[#This Row],[Fecha y hora fin]]-disponibilidad[[#This Row],[Fecha y hora inicio]])*1440</f>
        <v>0</v>
      </c>
    </row>
    <row r="944" spans="6:6" ht="15">
      <c r="F944" s="115">
        <f>+(disponibilidad[[#This Row],[Fecha y hora fin]]-disponibilidad[[#This Row],[Fecha y hora inicio]])*1440</f>
        <v>0</v>
      </c>
    </row>
    <row r="945" spans="6:6" ht="15">
      <c r="F945" s="115">
        <f>+(disponibilidad[[#This Row],[Fecha y hora fin]]-disponibilidad[[#This Row],[Fecha y hora inicio]])*1440</f>
        <v>0</v>
      </c>
    </row>
    <row r="946" spans="6:6" ht="15">
      <c r="F946" s="115">
        <f>+(disponibilidad[[#This Row],[Fecha y hora fin]]-disponibilidad[[#This Row],[Fecha y hora inicio]])*1440</f>
        <v>0</v>
      </c>
    </row>
    <row r="947" spans="6:6" ht="15">
      <c r="F947" s="115">
        <f>+(disponibilidad[[#This Row],[Fecha y hora fin]]-disponibilidad[[#This Row],[Fecha y hora inicio]])*1440</f>
        <v>0</v>
      </c>
    </row>
    <row r="948" spans="6:6" ht="15">
      <c r="F948" s="115">
        <f>+(disponibilidad[[#This Row],[Fecha y hora fin]]-disponibilidad[[#This Row],[Fecha y hora inicio]])*1440</f>
        <v>0</v>
      </c>
    </row>
    <row r="949" spans="6:6" ht="15">
      <c r="F949" s="115">
        <f>+(disponibilidad[[#This Row],[Fecha y hora fin]]-disponibilidad[[#This Row],[Fecha y hora inicio]])*1440</f>
        <v>0</v>
      </c>
    </row>
    <row r="950" spans="6:6" ht="15">
      <c r="F950" s="115">
        <f>+(disponibilidad[[#This Row],[Fecha y hora fin]]-disponibilidad[[#This Row],[Fecha y hora inicio]])*1440</f>
        <v>0</v>
      </c>
    </row>
    <row r="951" spans="6:6" ht="15">
      <c r="F951" s="115">
        <f>+(disponibilidad[[#This Row],[Fecha y hora fin]]-disponibilidad[[#This Row],[Fecha y hora inicio]])*1440</f>
        <v>0</v>
      </c>
    </row>
    <row r="952" spans="6:6" ht="15">
      <c r="F952" s="115">
        <f>+(disponibilidad[[#This Row],[Fecha y hora fin]]-disponibilidad[[#This Row],[Fecha y hora inicio]])*1440</f>
        <v>0</v>
      </c>
    </row>
    <row r="953" spans="6:6" ht="15">
      <c r="F953" s="115">
        <f>+(disponibilidad[[#This Row],[Fecha y hora fin]]-disponibilidad[[#This Row],[Fecha y hora inicio]])*1440</f>
        <v>0</v>
      </c>
    </row>
    <row r="954" spans="6:6" ht="15">
      <c r="F954" s="115">
        <f>+(disponibilidad[[#This Row],[Fecha y hora fin]]-disponibilidad[[#This Row],[Fecha y hora inicio]])*1440</f>
        <v>0</v>
      </c>
    </row>
    <row r="955" spans="6:6" ht="15">
      <c r="F955" s="115">
        <f>+(disponibilidad[[#This Row],[Fecha y hora fin]]-disponibilidad[[#This Row],[Fecha y hora inicio]])*1440</f>
        <v>0</v>
      </c>
    </row>
    <row r="956" spans="6:6" ht="15">
      <c r="F956" s="115">
        <f>+(disponibilidad[[#This Row],[Fecha y hora fin]]-disponibilidad[[#This Row],[Fecha y hora inicio]])*1440</f>
        <v>0</v>
      </c>
    </row>
    <row r="957" spans="6:6" ht="15">
      <c r="F957" s="115">
        <f>+(disponibilidad[[#This Row],[Fecha y hora fin]]-disponibilidad[[#This Row],[Fecha y hora inicio]])*1440</f>
        <v>0</v>
      </c>
    </row>
    <row r="958" spans="6:6" ht="15">
      <c r="F958" s="115">
        <f>+(disponibilidad[[#This Row],[Fecha y hora fin]]-disponibilidad[[#This Row],[Fecha y hora inicio]])*1440</f>
        <v>0</v>
      </c>
    </row>
    <row r="959" spans="6:6" ht="15">
      <c r="F959" s="115">
        <f>+(disponibilidad[[#This Row],[Fecha y hora fin]]-disponibilidad[[#This Row],[Fecha y hora inicio]])*1440</f>
        <v>0</v>
      </c>
    </row>
    <row r="960" spans="6:6" ht="15">
      <c r="F960" s="115">
        <f>+(disponibilidad[[#This Row],[Fecha y hora fin]]-disponibilidad[[#This Row],[Fecha y hora inicio]])*1440</f>
        <v>0</v>
      </c>
    </row>
    <row r="961" spans="6:6" ht="15">
      <c r="F961" s="115">
        <f>+(disponibilidad[[#This Row],[Fecha y hora fin]]-disponibilidad[[#This Row],[Fecha y hora inicio]])*1440</f>
        <v>0</v>
      </c>
    </row>
    <row r="962" spans="6:6" ht="15">
      <c r="F962" s="115">
        <f>+(disponibilidad[[#This Row],[Fecha y hora fin]]-disponibilidad[[#This Row],[Fecha y hora inicio]])*1440</f>
        <v>0</v>
      </c>
    </row>
    <row r="963" spans="6:6" ht="15">
      <c r="F963" s="115">
        <f>+(disponibilidad[[#This Row],[Fecha y hora fin]]-disponibilidad[[#This Row],[Fecha y hora inicio]])*1440</f>
        <v>0</v>
      </c>
    </row>
    <row r="964" spans="6:6" ht="15">
      <c r="F964" s="115">
        <f>+(disponibilidad[[#This Row],[Fecha y hora fin]]-disponibilidad[[#This Row],[Fecha y hora inicio]])*1440</f>
        <v>0</v>
      </c>
    </row>
    <row r="965" spans="6:6" ht="15">
      <c r="F965" s="115">
        <f>+(disponibilidad[[#This Row],[Fecha y hora fin]]-disponibilidad[[#This Row],[Fecha y hora inicio]])*1440</f>
        <v>0</v>
      </c>
    </row>
    <row r="966" spans="6:6" ht="15">
      <c r="F966" s="115">
        <f>+(disponibilidad[[#This Row],[Fecha y hora fin]]-disponibilidad[[#This Row],[Fecha y hora inicio]])*1440</f>
        <v>0</v>
      </c>
    </row>
    <row r="967" spans="6:6" ht="15">
      <c r="F967" s="115">
        <f>+(disponibilidad[[#This Row],[Fecha y hora fin]]-disponibilidad[[#This Row],[Fecha y hora inicio]])*1440</f>
        <v>0</v>
      </c>
    </row>
    <row r="968" spans="6:6" ht="15">
      <c r="F968" s="115">
        <f>+(disponibilidad[[#This Row],[Fecha y hora fin]]-disponibilidad[[#This Row],[Fecha y hora inicio]])*1440</f>
        <v>0</v>
      </c>
    </row>
    <row r="969" spans="6:6" ht="15">
      <c r="F969" s="115">
        <f>+(disponibilidad[[#This Row],[Fecha y hora fin]]-disponibilidad[[#This Row],[Fecha y hora inicio]])*1440</f>
        <v>0</v>
      </c>
    </row>
    <row r="970" spans="6:6" ht="15">
      <c r="F970" s="115">
        <f>+(disponibilidad[[#This Row],[Fecha y hora fin]]-disponibilidad[[#This Row],[Fecha y hora inicio]])*1440</f>
        <v>0</v>
      </c>
    </row>
    <row r="971" spans="6:6" ht="15">
      <c r="F971" s="115">
        <f>+(disponibilidad[[#This Row],[Fecha y hora fin]]-disponibilidad[[#This Row],[Fecha y hora inicio]])*1440</f>
        <v>0</v>
      </c>
    </row>
    <row r="972" spans="6:6" ht="15">
      <c r="F972" s="115">
        <f>+(disponibilidad[[#This Row],[Fecha y hora fin]]-disponibilidad[[#This Row],[Fecha y hora inicio]])*1440</f>
        <v>0</v>
      </c>
    </row>
    <row r="973" spans="6:6" ht="15">
      <c r="F973" s="115">
        <f>+(disponibilidad[[#This Row],[Fecha y hora fin]]-disponibilidad[[#This Row],[Fecha y hora inicio]])*1440</f>
        <v>0</v>
      </c>
    </row>
    <row r="974" spans="6:6" ht="15">
      <c r="F974" s="115">
        <f>+(disponibilidad[[#This Row],[Fecha y hora fin]]-disponibilidad[[#This Row],[Fecha y hora inicio]])*1440</f>
        <v>0</v>
      </c>
    </row>
    <row r="975" spans="6:6" ht="15">
      <c r="F975" s="115">
        <f>+(disponibilidad[[#This Row],[Fecha y hora fin]]-disponibilidad[[#This Row],[Fecha y hora inicio]])*1440</f>
        <v>0</v>
      </c>
    </row>
    <row r="976" spans="6:6" ht="15">
      <c r="F976" s="115">
        <f>+(disponibilidad[[#This Row],[Fecha y hora fin]]-disponibilidad[[#This Row],[Fecha y hora inicio]])*1440</f>
        <v>0</v>
      </c>
    </row>
    <row r="977" spans="6:6" ht="15">
      <c r="F977" s="115">
        <f>+(disponibilidad[[#This Row],[Fecha y hora fin]]-disponibilidad[[#This Row],[Fecha y hora inicio]])*1440</f>
        <v>0</v>
      </c>
    </row>
    <row r="978" spans="6:6" ht="15">
      <c r="F978" s="115">
        <f>+(disponibilidad[[#This Row],[Fecha y hora fin]]-disponibilidad[[#This Row],[Fecha y hora inicio]])*1440</f>
        <v>0</v>
      </c>
    </row>
    <row r="979" spans="6:6" ht="15">
      <c r="F979" s="115">
        <f>+(disponibilidad[[#This Row],[Fecha y hora fin]]-disponibilidad[[#This Row],[Fecha y hora inicio]])*1440</f>
        <v>0</v>
      </c>
    </row>
    <row r="980" spans="6:6" ht="15">
      <c r="F980" s="115">
        <f>+(disponibilidad[[#This Row],[Fecha y hora fin]]-disponibilidad[[#This Row],[Fecha y hora inicio]])*1440</f>
        <v>0</v>
      </c>
    </row>
    <row r="981" spans="6:6" ht="15">
      <c r="F981" s="115">
        <f>+(disponibilidad[[#This Row],[Fecha y hora fin]]-disponibilidad[[#This Row],[Fecha y hora inicio]])*1440</f>
        <v>0</v>
      </c>
    </row>
    <row r="982" spans="6:6" ht="15">
      <c r="F982" s="115">
        <f>+(disponibilidad[[#This Row],[Fecha y hora fin]]-disponibilidad[[#This Row],[Fecha y hora inicio]])*1440</f>
        <v>0</v>
      </c>
    </row>
    <row r="983" spans="6:6" ht="15">
      <c r="F983" s="115">
        <f>+(disponibilidad[[#This Row],[Fecha y hora fin]]-disponibilidad[[#This Row],[Fecha y hora inicio]])*1440</f>
        <v>0</v>
      </c>
    </row>
    <row r="984" spans="6:6" ht="15">
      <c r="F984" s="115">
        <f>+(disponibilidad[[#This Row],[Fecha y hora fin]]-disponibilidad[[#This Row],[Fecha y hora inicio]])*1440</f>
        <v>0</v>
      </c>
    </row>
    <row r="985" spans="6:6" ht="15">
      <c r="F985" s="115">
        <f>+(disponibilidad[[#This Row],[Fecha y hora fin]]-disponibilidad[[#This Row],[Fecha y hora inicio]])*1440</f>
        <v>0</v>
      </c>
    </row>
    <row r="986" spans="6:6" ht="15">
      <c r="F986" s="115">
        <f>+(disponibilidad[[#This Row],[Fecha y hora fin]]-disponibilidad[[#This Row],[Fecha y hora inicio]])*1440</f>
        <v>0</v>
      </c>
    </row>
    <row r="987" spans="6:6" ht="15">
      <c r="F987" s="115">
        <f>+(disponibilidad[[#This Row],[Fecha y hora fin]]-disponibilidad[[#This Row],[Fecha y hora inicio]])*1440</f>
        <v>0</v>
      </c>
    </row>
    <row r="988" spans="6:6" ht="15">
      <c r="F988" s="115">
        <f>+(disponibilidad[[#This Row],[Fecha y hora fin]]-disponibilidad[[#This Row],[Fecha y hora inicio]])*1440</f>
        <v>0</v>
      </c>
    </row>
    <row r="989" spans="6:6" ht="15">
      <c r="F989" s="115">
        <f>+(disponibilidad[[#This Row],[Fecha y hora fin]]-disponibilidad[[#This Row],[Fecha y hora inicio]])*1440</f>
        <v>0</v>
      </c>
    </row>
    <row r="990" spans="6:6" ht="15">
      <c r="F990" s="115">
        <f>+(disponibilidad[[#This Row],[Fecha y hora fin]]-disponibilidad[[#This Row],[Fecha y hora inicio]])*1440</f>
        <v>0</v>
      </c>
    </row>
    <row r="991" spans="6:6" ht="15">
      <c r="F991" s="115">
        <f>+(disponibilidad[[#This Row],[Fecha y hora fin]]-disponibilidad[[#This Row],[Fecha y hora inicio]])*1440</f>
        <v>0</v>
      </c>
    </row>
    <row r="992" spans="6:6" ht="15">
      <c r="F992" s="115">
        <f>+(disponibilidad[[#This Row],[Fecha y hora fin]]-disponibilidad[[#This Row],[Fecha y hora inicio]])*1440</f>
        <v>0</v>
      </c>
    </row>
    <row r="993" spans="6:6" ht="15">
      <c r="F993" s="115">
        <f>+(disponibilidad[[#This Row],[Fecha y hora fin]]-disponibilidad[[#This Row],[Fecha y hora inicio]])*1440</f>
        <v>0</v>
      </c>
    </row>
    <row r="994" spans="6:6" ht="15">
      <c r="F994" s="115">
        <f>+(disponibilidad[[#This Row],[Fecha y hora fin]]-disponibilidad[[#This Row],[Fecha y hora inicio]])*1440</f>
        <v>0</v>
      </c>
    </row>
    <row r="995" spans="6:6" ht="15">
      <c r="F995" s="115">
        <f>+(disponibilidad[[#This Row],[Fecha y hora fin]]-disponibilidad[[#This Row],[Fecha y hora inicio]])*1440</f>
        <v>0</v>
      </c>
    </row>
    <row r="996" spans="6:6" ht="15">
      <c r="F996" s="115">
        <f>+(disponibilidad[[#This Row],[Fecha y hora fin]]-disponibilidad[[#This Row],[Fecha y hora inicio]])*1440</f>
        <v>0</v>
      </c>
    </row>
    <row r="997" spans="6:6" ht="15">
      <c r="F997" s="115">
        <f>+(disponibilidad[[#This Row],[Fecha y hora fin]]-disponibilidad[[#This Row],[Fecha y hora inicio]])*1440</f>
        <v>0</v>
      </c>
    </row>
    <row r="998" spans="6:6" ht="15">
      <c r="F998" s="115">
        <f>+(disponibilidad[[#This Row],[Fecha y hora fin]]-disponibilidad[[#This Row],[Fecha y hora inicio]])*1440</f>
        <v>0</v>
      </c>
    </row>
    <row r="999" spans="6:6" ht="15">
      <c r="F999" s="115">
        <f>+(disponibilidad[[#This Row],[Fecha y hora fin]]-disponibilidad[[#This Row],[Fecha y hora inicio]])*1440</f>
        <v>0</v>
      </c>
    </row>
    <row r="1000" spans="6:6" ht="15">
      <c r="F1000" s="115">
        <f>+(disponibilidad[[#This Row],[Fecha y hora fin]]-disponibilidad[[#This Row],[Fecha y hora inicio]])*1440</f>
        <v>0</v>
      </c>
    </row>
    <row r="1001" spans="6:6" ht="15">
      <c r="F1001" s="115">
        <f>+(disponibilidad[[#This Row],[Fecha y hora fin]]-disponibilidad[[#This Row],[Fecha y hora inicio]])*1440</f>
        <v>0</v>
      </c>
    </row>
    <row r="1002" spans="6:6" ht="15">
      <c r="F1002" s="115">
        <f>+(disponibilidad[[#This Row],[Fecha y hora fin]]-disponibilidad[[#This Row],[Fecha y hora inicio]])*1440</f>
        <v>0</v>
      </c>
    </row>
    <row r="1003" spans="6:6" ht="15">
      <c r="F1003" s="115">
        <f>+(disponibilidad[[#This Row],[Fecha y hora fin]]-disponibilidad[[#This Row],[Fecha y hora inicio]])*1440</f>
        <v>0</v>
      </c>
    </row>
    <row r="1004" spans="6:6" ht="15">
      <c r="F1004" s="115">
        <f>+(disponibilidad[[#This Row],[Fecha y hora fin]]-disponibilidad[[#This Row],[Fecha y hora inicio]])*1440</f>
        <v>0</v>
      </c>
    </row>
    <row r="1005" spans="6:6" ht="15">
      <c r="F1005" s="115">
        <f>+(disponibilidad[[#This Row],[Fecha y hora fin]]-disponibilidad[[#This Row],[Fecha y hora inicio]])*1440</f>
        <v>0</v>
      </c>
    </row>
    <row r="1006" spans="6:6" ht="15">
      <c r="F1006" s="115">
        <f>+(disponibilidad[[#This Row],[Fecha y hora fin]]-disponibilidad[[#This Row],[Fecha y hora inicio]])*1440</f>
        <v>0</v>
      </c>
    </row>
    <row r="1007" spans="6:6" ht="15">
      <c r="F1007" s="115">
        <f>+(disponibilidad[[#This Row],[Fecha y hora fin]]-disponibilidad[[#This Row],[Fecha y hora inicio]])*1440</f>
        <v>0</v>
      </c>
    </row>
    <row r="1008" spans="6:6" ht="15">
      <c r="F1008" s="115">
        <f>+(disponibilidad[[#This Row],[Fecha y hora fin]]-disponibilidad[[#This Row],[Fecha y hora inicio]])*1440</f>
        <v>0</v>
      </c>
    </row>
    <row r="1009" spans="6:6" ht="15">
      <c r="F1009" s="115">
        <f>+(disponibilidad[[#This Row],[Fecha y hora fin]]-disponibilidad[[#This Row],[Fecha y hora inicio]])*1440</f>
        <v>0</v>
      </c>
    </row>
    <row r="1010" spans="6:6" ht="15">
      <c r="F1010" s="115">
        <f>+(disponibilidad[[#This Row],[Fecha y hora fin]]-disponibilidad[[#This Row],[Fecha y hora inicio]])*1440</f>
        <v>0</v>
      </c>
    </row>
    <row r="1011" spans="6:6" ht="15">
      <c r="F1011" s="115">
        <f>+(disponibilidad[[#This Row],[Fecha y hora fin]]-disponibilidad[[#This Row],[Fecha y hora inicio]])*1440</f>
        <v>0</v>
      </c>
    </row>
    <row r="1012" spans="6:6" ht="15">
      <c r="F1012" s="115">
        <f>+(disponibilidad[[#This Row],[Fecha y hora fin]]-disponibilidad[[#This Row],[Fecha y hora inicio]])*1440</f>
        <v>0</v>
      </c>
    </row>
    <row r="1013" spans="6:6" ht="15">
      <c r="F1013" s="115">
        <f>+(disponibilidad[[#This Row],[Fecha y hora fin]]-disponibilidad[[#This Row],[Fecha y hora inicio]])*1440</f>
        <v>0</v>
      </c>
    </row>
    <row r="1014" spans="6:6" ht="15">
      <c r="F1014" s="115">
        <f>+(disponibilidad[[#This Row],[Fecha y hora fin]]-disponibilidad[[#This Row],[Fecha y hora inicio]])*1440</f>
        <v>0</v>
      </c>
    </row>
    <row r="1015" spans="6:6" ht="15">
      <c r="F1015" s="115">
        <f>+(disponibilidad[[#This Row],[Fecha y hora fin]]-disponibilidad[[#This Row],[Fecha y hora inicio]])*1440</f>
        <v>0</v>
      </c>
    </row>
    <row r="1016" spans="6:6" ht="15">
      <c r="F1016" s="115">
        <f>+(disponibilidad[[#This Row],[Fecha y hora fin]]-disponibilidad[[#This Row],[Fecha y hora inicio]])*1440</f>
        <v>0</v>
      </c>
    </row>
    <row r="1017" spans="6:6" ht="15">
      <c r="F1017" s="115">
        <f>+(disponibilidad[[#This Row],[Fecha y hora fin]]-disponibilidad[[#This Row],[Fecha y hora inicio]])*1440</f>
        <v>0</v>
      </c>
    </row>
    <row r="1018" spans="6:6" ht="15">
      <c r="F1018" s="115">
        <f>+(disponibilidad[[#This Row],[Fecha y hora fin]]-disponibilidad[[#This Row],[Fecha y hora inicio]])*1440</f>
        <v>0</v>
      </c>
    </row>
    <row r="1019" spans="6:6" ht="15">
      <c r="F1019" s="115">
        <f>+(disponibilidad[[#This Row],[Fecha y hora fin]]-disponibilidad[[#This Row],[Fecha y hora inicio]])*1440</f>
        <v>0</v>
      </c>
    </row>
    <row r="1020" spans="6:6" ht="15">
      <c r="F1020" s="115">
        <f>+(disponibilidad[[#This Row],[Fecha y hora fin]]-disponibilidad[[#This Row],[Fecha y hora inicio]])*1440</f>
        <v>0</v>
      </c>
    </row>
    <row r="1021" spans="6:6" ht="15">
      <c r="F1021" s="115">
        <f>+(disponibilidad[[#This Row],[Fecha y hora fin]]-disponibilidad[[#This Row],[Fecha y hora inicio]])*1440</f>
        <v>0</v>
      </c>
    </row>
    <row r="1022" spans="6:6" ht="15">
      <c r="F1022" s="115">
        <f>+(disponibilidad[[#This Row],[Fecha y hora fin]]-disponibilidad[[#This Row],[Fecha y hora inicio]])*1440</f>
        <v>0</v>
      </c>
    </row>
    <row r="1023" spans="6:6" ht="15">
      <c r="F1023" s="115">
        <f>+(disponibilidad[[#This Row],[Fecha y hora fin]]-disponibilidad[[#This Row],[Fecha y hora inicio]])*1440</f>
        <v>0</v>
      </c>
    </row>
    <row r="1024" spans="6:6" ht="15">
      <c r="F1024" s="115">
        <f>+(disponibilidad[[#This Row],[Fecha y hora fin]]-disponibilidad[[#This Row],[Fecha y hora inicio]])*1440</f>
        <v>0</v>
      </c>
    </row>
    <row r="1025" spans="6:6" ht="15">
      <c r="F1025" s="115">
        <f>+(disponibilidad[[#This Row],[Fecha y hora fin]]-disponibilidad[[#This Row],[Fecha y hora inicio]])*1440</f>
        <v>0</v>
      </c>
    </row>
    <row r="1026" spans="6:6" ht="15">
      <c r="F1026" s="115">
        <f>+(disponibilidad[[#This Row],[Fecha y hora fin]]-disponibilidad[[#This Row],[Fecha y hora inicio]])*1440</f>
        <v>0</v>
      </c>
    </row>
    <row r="1027" spans="6:6" ht="15">
      <c r="F1027" s="115">
        <f>+(disponibilidad[[#This Row],[Fecha y hora fin]]-disponibilidad[[#This Row],[Fecha y hora inicio]])*1440</f>
        <v>0</v>
      </c>
    </row>
    <row r="1028" spans="6:6" ht="15">
      <c r="F1028" s="115">
        <f>+(disponibilidad[[#This Row],[Fecha y hora fin]]-disponibilidad[[#This Row],[Fecha y hora inicio]])*1440</f>
        <v>0</v>
      </c>
    </row>
    <row r="1029" spans="6:6" ht="15">
      <c r="F1029" s="115">
        <f>+(disponibilidad[[#This Row],[Fecha y hora fin]]-disponibilidad[[#This Row],[Fecha y hora inicio]])*1440</f>
        <v>0</v>
      </c>
    </row>
    <row r="1030" spans="6:6" ht="15">
      <c r="F1030" s="115">
        <f>+(disponibilidad[[#This Row],[Fecha y hora fin]]-disponibilidad[[#This Row],[Fecha y hora inicio]])*1440</f>
        <v>0</v>
      </c>
    </row>
    <row r="1031" spans="6:6" ht="15">
      <c r="F1031" s="115">
        <f>+(disponibilidad[[#This Row],[Fecha y hora fin]]-disponibilidad[[#This Row],[Fecha y hora inicio]])*1440</f>
        <v>0</v>
      </c>
    </row>
    <row r="1032" spans="6:6" ht="15">
      <c r="F1032" s="115">
        <f>+(disponibilidad[[#This Row],[Fecha y hora fin]]-disponibilidad[[#This Row],[Fecha y hora inicio]])*1440</f>
        <v>0</v>
      </c>
    </row>
    <row r="1033" spans="6:6" ht="15">
      <c r="F1033" s="115">
        <f>+(disponibilidad[[#This Row],[Fecha y hora fin]]-disponibilidad[[#This Row],[Fecha y hora inicio]])*1440</f>
        <v>0</v>
      </c>
    </row>
    <row r="1034" spans="6:6" ht="15">
      <c r="F1034" s="115">
        <f>+(disponibilidad[[#This Row],[Fecha y hora fin]]-disponibilidad[[#This Row],[Fecha y hora inicio]])*1440</f>
        <v>0</v>
      </c>
    </row>
    <row r="1035" spans="6:6" ht="15">
      <c r="F1035" s="115">
        <f>+(disponibilidad[[#This Row],[Fecha y hora fin]]-disponibilidad[[#This Row],[Fecha y hora inicio]])*1440</f>
        <v>0</v>
      </c>
    </row>
    <row r="1036" spans="6:6" ht="15">
      <c r="F1036" s="115">
        <f>+(disponibilidad[[#This Row],[Fecha y hora fin]]-disponibilidad[[#This Row],[Fecha y hora inicio]])*1440</f>
        <v>0</v>
      </c>
    </row>
    <row r="1037" spans="6:6" ht="15">
      <c r="F1037" s="115">
        <f>+(disponibilidad[[#This Row],[Fecha y hora fin]]-disponibilidad[[#This Row],[Fecha y hora inicio]])*1440</f>
        <v>0</v>
      </c>
    </row>
    <row r="1038" spans="6:6" ht="15">
      <c r="F1038" s="115">
        <f>+(disponibilidad[[#This Row],[Fecha y hora fin]]-disponibilidad[[#This Row],[Fecha y hora inicio]])*1440</f>
        <v>0</v>
      </c>
    </row>
    <row r="1039" spans="6:6" ht="15">
      <c r="F1039" s="115">
        <f>+(disponibilidad[[#This Row],[Fecha y hora fin]]-disponibilidad[[#This Row],[Fecha y hora inicio]])*1440</f>
        <v>0</v>
      </c>
    </row>
    <row r="1040" spans="6:6" ht="15">
      <c r="F1040" s="115">
        <f>+(disponibilidad[[#This Row],[Fecha y hora fin]]-disponibilidad[[#This Row],[Fecha y hora inicio]])*1440</f>
        <v>0</v>
      </c>
    </row>
    <row r="1041" spans="6:6" ht="15">
      <c r="F1041" s="115">
        <f>+(disponibilidad[[#This Row],[Fecha y hora fin]]-disponibilidad[[#This Row],[Fecha y hora inicio]])*1440</f>
        <v>0</v>
      </c>
    </row>
    <row r="1042" spans="6:6" ht="15">
      <c r="F1042" s="115">
        <f>+(disponibilidad[[#This Row],[Fecha y hora fin]]-disponibilidad[[#This Row],[Fecha y hora inicio]])*1440</f>
        <v>0</v>
      </c>
    </row>
    <row r="1043" spans="6:6" ht="15">
      <c r="F1043" s="115">
        <f>+(disponibilidad[[#This Row],[Fecha y hora fin]]-disponibilidad[[#This Row],[Fecha y hora inicio]])*1440</f>
        <v>0</v>
      </c>
    </row>
    <row r="1044" spans="6:6" ht="15">
      <c r="F1044" s="115">
        <f>+(disponibilidad[[#This Row],[Fecha y hora fin]]-disponibilidad[[#This Row],[Fecha y hora inicio]])*1440</f>
        <v>0</v>
      </c>
    </row>
    <row r="1045" spans="6:6" ht="15">
      <c r="F1045" s="115">
        <f>+(disponibilidad[[#This Row],[Fecha y hora fin]]-disponibilidad[[#This Row],[Fecha y hora inicio]])*1440</f>
        <v>0</v>
      </c>
    </row>
    <row r="1046" spans="6:6" ht="15">
      <c r="F1046" s="115">
        <f>+(disponibilidad[[#This Row],[Fecha y hora fin]]-disponibilidad[[#This Row],[Fecha y hora inicio]])*1440</f>
        <v>0</v>
      </c>
    </row>
    <row r="1047" spans="6:6" ht="15">
      <c r="F1047" s="115">
        <f>+(disponibilidad[[#This Row],[Fecha y hora fin]]-disponibilidad[[#This Row],[Fecha y hora inicio]])*1440</f>
        <v>0</v>
      </c>
    </row>
    <row r="1048" spans="6:6" ht="15">
      <c r="F1048" s="115">
        <f>+(disponibilidad[[#This Row],[Fecha y hora fin]]-disponibilidad[[#This Row],[Fecha y hora inicio]])*1440</f>
        <v>0</v>
      </c>
    </row>
    <row r="1049" spans="6:6" ht="15">
      <c r="F1049" s="115">
        <f>+(disponibilidad[[#This Row],[Fecha y hora fin]]-disponibilidad[[#This Row],[Fecha y hora inicio]])*1440</f>
        <v>0</v>
      </c>
    </row>
    <row r="1050" spans="6:6" ht="15">
      <c r="F1050" s="115">
        <f>+(disponibilidad[[#This Row],[Fecha y hora fin]]-disponibilidad[[#This Row],[Fecha y hora inicio]])*1440</f>
        <v>0</v>
      </c>
    </row>
    <row r="1051" spans="6:6" ht="15">
      <c r="F1051" s="115">
        <f>+(disponibilidad[[#This Row],[Fecha y hora fin]]-disponibilidad[[#This Row],[Fecha y hora inicio]])*1440</f>
        <v>0</v>
      </c>
    </row>
    <row r="1052" spans="6:6" ht="15">
      <c r="F1052" s="115">
        <f>+(disponibilidad[[#This Row],[Fecha y hora fin]]-disponibilidad[[#This Row],[Fecha y hora inicio]])*1440</f>
        <v>0</v>
      </c>
    </row>
    <row r="1053" spans="6:6" ht="15">
      <c r="F1053" s="115">
        <f>+(disponibilidad[[#This Row],[Fecha y hora fin]]-disponibilidad[[#This Row],[Fecha y hora inicio]])*1440</f>
        <v>0</v>
      </c>
    </row>
    <row r="1054" spans="6:6" ht="15">
      <c r="F1054" s="115">
        <f>+(disponibilidad[[#This Row],[Fecha y hora fin]]-disponibilidad[[#This Row],[Fecha y hora inicio]])*1440</f>
        <v>0</v>
      </c>
    </row>
    <row r="1055" spans="6:6" ht="15">
      <c r="F1055" s="115">
        <f>+(disponibilidad[[#This Row],[Fecha y hora fin]]-disponibilidad[[#This Row],[Fecha y hora inicio]])*1440</f>
        <v>0</v>
      </c>
    </row>
    <row r="1056" spans="6:6" ht="15">
      <c r="F1056" s="115">
        <f>+(disponibilidad[[#This Row],[Fecha y hora fin]]-disponibilidad[[#This Row],[Fecha y hora inicio]])*1440</f>
        <v>0</v>
      </c>
    </row>
    <row r="1057" spans="6:6" ht="15">
      <c r="F1057" s="115">
        <f>+(disponibilidad[[#This Row],[Fecha y hora fin]]-disponibilidad[[#This Row],[Fecha y hora inicio]])*1440</f>
        <v>0</v>
      </c>
    </row>
    <row r="1058" spans="6:6" ht="15">
      <c r="F1058" s="115">
        <f>+(disponibilidad[[#This Row],[Fecha y hora fin]]-disponibilidad[[#This Row],[Fecha y hora inicio]])*1440</f>
        <v>0</v>
      </c>
    </row>
    <row r="1059" spans="6:6" ht="15">
      <c r="F1059" s="115">
        <f>+(disponibilidad[[#This Row],[Fecha y hora fin]]-disponibilidad[[#This Row],[Fecha y hora inicio]])*1440</f>
        <v>0</v>
      </c>
    </row>
    <row r="1060" spans="6:6" ht="15">
      <c r="F1060" s="115">
        <f>+(disponibilidad[[#This Row],[Fecha y hora fin]]-disponibilidad[[#This Row],[Fecha y hora inicio]])*1440</f>
        <v>0</v>
      </c>
    </row>
    <row r="1061" spans="6:6" ht="15">
      <c r="F1061" s="115">
        <f>+(disponibilidad[[#This Row],[Fecha y hora fin]]-disponibilidad[[#This Row],[Fecha y hora inicio]])*1440</f>
        <v>0</v>
      </c>
    </row>
    <row r="1062" spans="6:6" ht="15">
      <c r="F1062" s="115">
        <f>+(disponibilidad[[#This Row],[Fecha y hora fin]]-disponibilidad[[#This Row],[Fecha y hora inicio]])*1440</f>
        <v>0</v>
      </c>
    </row>
    <row r="1063" spans="6:6" ht="15">
      <c r="F1063" s="115">
        <f>+(disponibilidad[[#This Row],[Fecha y hora fin]]-disponibilidad[[#This Row],[Fecha y hora inicio]])*1440</f>
        <v>0</v>
      </c>
    </row>
    <row r="1064" spans="6:6" ht="15">
      <c r="F1064" s="115">
        <f>+(disponibilidad[[#This Row],[Fecha y hora fin]]-disponibilidad[[#This Row],[Fecha y hora inicio]])*1440</f>
        <v>0</v>
      </c>
    </row>
    <row r="1065" spans="6:6" ht="15">
      <c r="F1065" s="115">
        <f>+(disponibilidad[[#This Row],[Fecha y hora fin]]-disponibilidad[[#This Row],[Fecha y hora inicio]])*1440</f>
        <v>0</v>
      </c>
    </row>
    <row r="1066" spans="6:6" ht="15">
      <c r="F1066" s="115">
        <f>+(disponibilidad[[#This Row],[Fecha y hora fin]]-disponibilidad[[#This Row],[Fecha y hora inicio]])*1440</f>
        <v>0</v>
      </c>
    </row>
    <row r="1067" spans="6:6" ht="15">
      <c r="F1067" s="115">
        <f>+(disponibilidad[[#This Row],[Fecha y hora fin]]-disponibilidad[[#This Row],[Fecha y hora inicio]])*1440</f>
        <v>0</v>
      </c>
    </row>
    <row r="1068" spans="6:6" ht="15">
      <c r="F1068" s="115">
        <f>+(disponibilidad[[#This Row],[Fecha y hora fin]]-disponibilidad[[#This Row],[Fecha y hora inicio]])*1440</f>
        <v>0</v>
      </c>
    </row>
    <row r="1069" spans="6:6" ht="15">
      <c r="F1069" s="115">
        <f>+(disponibilidad[[#This Row],[Fecha y hora fin]]-disponibilidad[[#This Row],[Fecha y hora inicio]])*1440</f>
        <v>0</v>
      </c>
    </row>
    <row r="1070" spans="6:6" ht="15">
      <c r="F1070" s="115">
        <f>+(disponibilidad[[#This Row],[Fecha y hora fin]]-disponibilidad[[#This Row],[Fecha y hora inicio]])*1440</f>
        <v>0</v>
      </c>
    </row>
    <row r="1071" spans="6:6" ht="15">
      <c r="F1071" s="115">
        <f>+(disponibilidad[[#This Row],[Fecha y hora fin]]-disponibilidad[[#This Row],[Fecha y hora inicio]])*1440</f>
        <v>0</v>
      </c>
    </row>
    <row r="1072" spans="6:6" ht="15">
      <c r="F1072" s="115">
        <f>+(disponibilidad[[#This Row],[Fecha y hora fin]]-disponibilidad[[#This Row],[Fecha y hora inicio]])*1440</f>
        <v>0</v>
      </c>
    </row>
    <row r="1073" spans="6:6" ht="15">
      <c r="F1073" s="115">
        <f>+(disponibilidad[[#This Row],[Fecha y hora fin]]-disponibilidad[[#This Row],[Fecha y hora inicio]])*1440</f>
        <v>0</v>
      </c>
    </row>
    <row r="1074" spans="6:6" ht="15">
      <c r="F1074" s="115">
        <f>+(disponibilidad[[#This Row],[Fecha y hora fin]]-disponibilidad[[#This Row],[Fecha y hora inicio]])*1440</f>
        <v>0</v>
      </c>
    </row>
    <row r="1075" spans="6:6" ht="15">
      <c r="F1075" s="115">
        <f>+(disponibilidad[[#This Row],[Fecha y hora fin]]-disponibilidad[[#This Row],[Fecha y hora inicio]])*1440</f>
        <v>0</v>
      </c>
    </row>
    <row r="1076" spans="6:6" ht="15">
      <c r="F1076" s="115">
        <f>+(disponibilidad[[#This Row],[Fecha y hora fin]]-disponibilidad[[#This Row],[Fecha y hora inicio]])*1440</f>
        <v>0</v>
      </c>
    </row>
    <row r="1077" spans="6:6" ht="15">
      <c r="F1077" s="115">
        <f>+(disponibilidad[[#This Row],[Fecha y hora fin]]-disponibilidad[[#This Row],[Fecha y hora inicio]])*1440</f>
        <v>0</v>
      </c>
    </row>
    <row r="1078" spans="6:6" ht="15">
      <c r="F1078" s="115">
        <f>+(disponibilidad[[#This Row],[Fecha y hora fin]]-disponibilidad[[#This Row],[Fecha y hora inicio]])*1440</f>
        <v>0</v>
      </c>
    </row>
    <row r="1079" spans="6:6" ht="15">
      <c r="F1079" s="115">
        <f>+(disponibilidad[[#This Row],[Fecha y hora fin]]-disponibilidad[[#This Row],[Fecha y hora inicio]])*1440</f>
        <v>0</v>
      </c>
    </row>
    <row r="1080" spans="6:6" ht="15">
      <c r="F1080" s="115">
        <f>+(disponibilidad[[#This Row],[Fecha y hora fin]]-disponibilidad[[#This Row],[Fecha y hora inicio]])*1440</f>
        <v>0</v>
      </c>
    </row>
    <row r="1081" spans="6:6" ht="15">
      <c r="F1081" s="115">
        <f>+(disponibilidad[[#This Row],[Fecha y hora fin]]-disponibilidad[[#This Row],[Fecha y hora inicio]])*1440</f>
        <v>0</v>
      </c>
    </row>
    <row r="1082" spans="6:6" ht="15">
      <c r="F1082" s="115">
        <f>+(disponibilidad[[#This Row],[Fecha y hora fin]]-disponibilidad[[#This Row],[Fecha y hora inicio]])*1440</f>
        <v>0</v>
      </c>
    </row>
    <row r="1083" spans="6:6" ht="15">
      <c r="F1083" s="115">
        <f>+(disponibilidad[[#This Row],[Fecha y hora fin]]-disponibilidad[[#This Row],[Fecha y hora inicio]])*1440</f>
        <v>0</v>
      </c>
    </row>
    <row r="1084" spans="6:6" ht="15">
      <c r="F1084" s="115">
        <f>+(disponibilidad[[#This Row],[Fecha y hora fin]]-disponibilidad[[#This Row],[Fecha y hora inicio]])*1440</f>
        <v>0</v>
      </c>
    </row>
    <row r="1085" spans="6:6" ht="15">
      <c r="F1085" s="115">
        <f>+(disponibilidad[[#This Row],[Fecha y hora fin]]-disponibilidad[[#This Row],[Fecha y hora inicio]])*1440</f>
        <v>0</v>
      </c>
    </row>
    <row r="1086" spans="6:6" ht="15">
      <c r="F1086" s="115">
        <f>+(disponibilidad[[#This Row],[Fecha y hora fin]]-disponibilidad[[#This Row],[Fecha y hora inicio]])*1440</f>
        <v>0</v>
      </c>
    </row>
    <row r="1087" spans="6:6" ht="15">
      <c r="F1087" s="115">
        <f>+(disponibilidad[[#This Row],[Fecha y hora fin]]-disponibilidad[[#This Row],[Fecha y hora inicio]])*1440</f>
        <v>0</v>
      </c>
    </row>
    <row r="1088" spans="6:6" ht="15">
      <c r="F1088" s="115">
        <f>+(disponibilidad[[#This Row],[Fecha y hora fin]]-disponibilidad[[#This Row],[Fecha y hora inicio]])*1440</f>
        <v>0</v>
      </c>
    </row>
    <row r="1089" spans="6:6" ht="15">
      <c r="F1089" s="115">
        <f>+(disponibilidad[[#This Row],[Fecha y hora fin]]-disponibilidad[[#This Row],[Fecha y hora inicio]])*1440</f>
        <v>0</v>
      </c>
    </row>
    <row r="1090" spans="6:6" ht="15">
      <c r="F1090" s="115">
        <f>+(disponibilidad[[#This Row],[Fecha y hora fin]]-disponibilidad[[#This Row],[Fecha y hora inicio]])*1440</f>
        <v>0</v>
      </c>
    </row>
    <row r="1091" spans="6:6" ht="15">
      <c r="F1091" s="115">
        <f>+(disponibilidad[[#This Row],[Fecha y hora fin]]-disponibilidad[[#This Row],[Fecha y hora inicio]])*1440</f>
        <v>0</v>
      </c>
    </row>
    <row r="1092" spans="6:6" ht="15">
      <c r="F1092" s="115">
        <f>+(disponibilidad[[#This Row],[Fecha y hora fin]]-disponibilidad[[#This Row],[Fecha y hora inicio]])*1440</f>
        <v>0</v>
      </c>
    </row>
    <row r="1093" spans="6:6" ht="15">
      <c r="F1093" s="115">
        <f>+(disponibilidad[[#This Row],[Fecha y hora fin]]-disponibilidad[[#This Row],[Fecha y hora inicio]])*1440</f>
        <v>0</v>
      </c>
    </row>
    <row r="1094" spans="6:6" ht="15">
      <c r="F1094" s="115">
        <f>+(disponibilidad[[#This Row],[Fecha y hora fin]]-disponibilidad[[#This Row],[Fecha y hora inicio]])*1440</f>
        <v>0</v>
      </c>
    </row>
    <row r="1095" spans="6:6" ht="15">
      <c r="F1095" s="115">
        <f>+(disponibilidad[[#This Row],[Fecha y hora fin]]-disponibilidad[[#This Row],[Fecha y hora inicio]])*1440</f>
        <v>0</v>
      </c>
    </row>
    <row r="1096" spans="6:6" ht="15">
      <c r="F1096" s="115">
        <f>+(disponibilidad[[#This Row],[Fecha y hora fin]]-disponibilidad[[#This Row],[Fecha y hora inicio]])*1440</f>
        <v>0</v>
      </c>
    </row>
    <row r="1097" spans="6:6" ht="15">
      <c r="F1097" s="115">
        <f>+(disponibilidad[[#This Row],[Fecha y hora fin]]-disponibilidad[[#This Row],[Fecha y hora inicio]])*1440</f>
        <v>0</v>
      </c>
    </row>
    <row r="1098" spans="6:6" ht="15">
      <c r="F1098" s="115">
        <f>+(disponibilidad[[#This Row],[Fecha y hora fin]]-disponibilidad[[#This Row],[Fecha y hora inicio]])*1440</f>
        <v>0</v>
      </c>
    </row>
    <row r="1099" spans="6:6" ht="15">
      <c r="F1099" s="115">
        <f>+(disponibilidad[[#This Row],[Fecha y hora fin]]-disponibilidad[[#This Row],[Fecha y hora inicio]])*1440</f>
        <v>0</v>
      </c>
    </row>
    <row r="1100" spans="6:6" ht="15">
      <c r="F1100" s="115">
        <f>+(disponibilidad[[#This Row],[Fecha y hora fin]]-disponibilidad[[#This Row],[Fecha y hora inicio]])*1440</f>
        <v>0</v>
      </c>
    </row>
    <row r="1101" spans="6:6" ht="15">
      <c r="F1101" s="115">
        <f>+(disponibilidad[[#This Row],[Fecha y hora fin]]-disponibilidad[[#This Row],[Fecha y hora inicio]])*1440</f>
        <v>0</v>
      </c>
    </row>
    <row r="1102" spans="6:6" ht="15">
      <c r="F1102" s="115">
        <f>+(disponibilidad[[#This Row],[Fecha y hora fin]]-disponibilidad[[#This Row],[Fecha y hora inicio]])*1440</f>
        <v>0</v>
      </c>
    </row>
    <row r="1103" spans="6:6" ht="15">
      <c r="F1103" s="115">
        <f>+(disponibilidad[[#This Row],[Fecha y hora fin]]-disponibilidad[[#This Row],[Fecha y hora inicio]])*1440</f>
        <v>0</v>
      </c>
    </row>
    <row r="1104" spans="6:6" ht="15">
      <c r="F1104" s="115">
        <f>+(disponibilidad[[#This Row],[Fecha y hora fin]]-disponibilidad[[#This Row],[Fecha y hora inicio]])*1440</f>
        <v>0</v>
      </c>
    </row>
    <row r="1105" spans="6:6" ht="15">
      <c r="F1105" s="115">
        <f>+(disponibilidad[[#This Row],[Fecha y hora fin]]-disponibilidad[[#This Row],[Fecha y hora inicio]])*1440</f>
        <v>0</v>
      </c>
    </row>
    <row r="1106" spans="6:6" ht="15">
      <c r="F1106" s="115">
        <f>+(disponibilidad[[#This Row],[Fecha y hora fin]]-disponibilidad[[#This Row],[Fecha y hora inicio]])*1440</f>
        <v>0</v>
      </c>
    </row>
    <row r="1107" spans="6:6" ht="15">
      <c r="F1107" s="115">
        <f>+(disponibilidad[[#This Row],[Fecha y hora fin]]-disponibilidad[[#This Row],[Fecha y hora inicio]])*1440</f>
        <v>0</v>
      </c>
    </row>
    <row r="1108" spans="6:6" ht="15">
      <c r="F1108" s="115">
        <f>+(disponibilidad[[#This Row],[Fecha y hora fin]]-disponibilidad[[#This Row],[Fecha y hora inicio]])*1440</f>
        <v>0</v>
      </c>
    </row>
    <row r="1109" spans="6:6" ht="15">
      <c r="F1109" s="115">
        <f>+(disponibilidad[[#This Row],[Fecha y hora fin]]-disponibilidad[[#This Row],[Fecha y hora inicio]])*1440</f>
        <v>0</v>
      </c>
    </row>
    <row r="1110" spans="6:6" ht="15">
      <c r="F1110" s="115">
        <f>+(disponibilidad[[#This Row],[Fecha y hora fin]]-disponibilidad[[#This Row],[Fecha y hora inicio]])*1440</f>
        <v>0</v>
      </c>
    </row>
    <row r="1111" spans="6:6" ht="15">
      <c r="F1111" s="115">
        <f>+(disponibilidad[[#This Row],[Fecha y hora fin]]-disponibilidad[[#This Row],[Fecha y hora inicio]])*1440</f>
        <v>0</v>
      </c>
    </row>
    <row r="1112" spans="6:6" ht="15">
      <c r="F1112" s="115">
        <f>+(disponibilidad[[#This Row],[Fecha y hora fin]]-disponibilidad[[#This Row],[Fecha y hora inicio]])*1440</f>
        <v>0</v>
      </c>
    </row>
    <row r="1113" spans="6:6" ht="15">
      <c r="F1113" s="115">
        <f>+(disponibilidad[[#This Row],[Fecha y hora fin]]-disponibilidad[[#This Row],[Fecha y hora inicio]])*1440</f>
        <v>0</v>
      </c>
    </row>
    <row r="1114" spans="6:6" ht="15">
      <c r="F1114" s="115">
        <f>+(disponibilidad[[#This Row],[Fecha y hora fin]]-disponibilidad[[#This Row],[Fecha y hora inicio]])*1440</f>
        <v>0</v>
      </c>
    </row>
    <row r="1115" spans="6:6" ht="15">
      <c r="F1115" s="115">
        <f>+(disponibilidad[[#This Row],[Fecha y hora fin]]-disponibilidad[[#This Row],[Fecha y hora inicio]])*1440</f>
        <v>0</v>
      </c>
    </row>
    <row r="1116" spans="6:6" ht="15">
      <c r="F1116" s="115">
        <f>+(disponibilidad[[#This Row],[Fecha y hora fin]]-disponibilidad[[#This Row],[Fecha y hora inicio]])*1440</f>
        <v>0</v>
      </c>
    </row>
    <row r="1117" spans="6:6" ht="15">
      <c r="F1117" s="115">
        <f>+(disponibilidad[[#This Row],[Fecha y hora fin]]-disponibilidad[[#This Row],[Fecha y hora inicio]])*1440</f>
        <v>0</v>
      </c>
    </row>
    <row r="1118" spans="6:6" ht="15">
      <c r="F1118" s="115">
        <f>+(disponibilidad[[#This Row],[Fecha y hora fin]]-disponibilidad[[#This Row],[Fecha y hora inicio]])*1440</f>
        <v>0</v>
      </c>
    </row>
    <row r="1119" spans="6:6" ht="15">
      <c r="F1119" s="115">
        <f>+(disponibilidad[[#This Row],[Fecha y hora fin]]-disponibilidad[[#This Row],[Fecha y hora inicio]])*1440</f>
        <v>0</v>
      </c>
    </row>
    <row r="1120" spans="6:6" ht="15">
      <c r="F1120" s="115">
        <f>+(disponibilidad[[#This Row],[Fecha y hora fin]]-disponibilidad[[#This Row],[Fecha y hora inicio]])*1440</f>
        <v>0</v>
      </c>
    </row>
    <row r="1121" spans="6:6" ht="15">
      <c r="F1121" s="115">
        <f>+(disponibilidad[[#This Row],[Fecha y hora fin]]-disponibilidad[[#This Row],[Fecha y hora inicio]])*1440</f>
        <v>0</v>
      </c>
    </row>
    <row r="1122" spans="6:6" ht="15">
      <c r="F1122" s="115">
        <f>+(disponibilidad[[#This Row],[Fecha y hora fin]]-disponibilidad[[#This Row],[Fecha y hora inicio]])*1440</f>
        <v>0</v>
      </c>
    </row>
    <row r="1123" spans="6:6" ht="15">
      <c r="F1123" s="115">
        <f>+(disponibilidad[[#This Row],[Fecha y hora fin]]-disponibilidad[[#This Row],[Fecha y hora inicio]])*1440</f>
        <v>0</v>
      </c>
    </row>
    <row r="1124" spans="6:6" ht="15">
      <c r="F1124" s="115">
        <f>+(disponibilidad[[#This Row],[Fecha y hora fin]]-disponibilidad[[#This Row],[Fecha y hora inicio]])*1440</f>
        <v>0</v>
      </c>
    </row>
    <row r="1125" spans="6:6" ht="15">
      <c r="F1125" s="115">
        <f>+(disponibilidad[[#This Row],[Fecha y hora fin]]-disponibilidad[[#This Row],[Fecha y hora inicio]])*1440</f>
        <v>0</v>
      </c>
    </row>
    <row r="1126" spans="6:6" ht="15">
      <c r="F1126" s="115">
        <f>+(disponibilidad[[#This Row],[Fecha y hora fin]]-disponibilidad[[#This Row],[Fecha y hora inicio]])*1440</f>
        <v>0</v>
      </c>
    </row>
    <row r="1127" spans="6:6" ht="15">
      <c r="F1127" s="115">
        <f>+(disponibilidad[[#This Row],[Fecha y hora fin]]-disponibilidad[[#This Row],[Fecha y hora inicio]])*1440</f>
        <v>0</v>
      </c>
    </row>
    <row r="1128" spans="6:6" ht="15">
      <c r="F1128" s="115">
        <f>+(disponibilidad[[#This Row],[Fecha y hora fin]]-disponibilidad[[#This Row],[Fecha y hora inicio]])*1440</f>
        <v>0</v>
      </c>
    </row>
    <row r="1129" spans="6:6" ht="15">
      <c r="F1129" s="115">
        <f>+(disponibilidad[[#This Row],[Fecha y hora fin]]-disponibilidad[[#This Row],[Fecha y hora inicio]])*1440</f>
        <v>0</v>
      </c>
    </row>
    <row r="1130" spans="6:6" ht="15">
      <c r="F1130" s="115">
        <f>+(disponibilidad[[#This Row],[Fecha y hora fin]]-disponibilidad[[#This Row],[Fecha y hora inicio]])*1440</f>
        <v>0</v>
      </c>
    </row>
    <row r="1131" spans="6:6" ht="15">
      <c r="F1131" s="115">
        <f>+(disponibilidad[[#This Row],[Fecha y hora fin]]-disponibilidad[[#This Row],[Fecha y hora inicio]])*1440</f>
        <v>0</v>
      </c>
    </row>
    <row r="1132" spans="6:6" ht="15">
      <c r="F1132" s="115">
        <f>+(disponibilidad[[#This Row],[Fecha y hora fin]]-disponibilidad[[#This Row],[Fecha y hora inicio]])*1440</f>
        <v>0</v>
      </c>
    </row>
    <row r="1133" spans="6:6" ht="15">
      <c r="F1133" s="115">
        <f>+(disponibilidad[[#This Row],[Fecha y hora fin]]-disponibilidad[[#This Row],[Fecha y hora inicio]])*1440</f>
        <v>0</v>
      </c>
    </row>
    <row r="1134" spans="6:6" ht="15">
      <c r="F1134" s="115">
        <f>+(disponibilidad[[#This Row],[Fecha y hora fin]]-disponibilidad[[#This Row],[Fecha y hora inicio]])*1440</f>
        <v>0</v>
      </c>
    </row>
    <row r="1135" spans="6:6" ht="15">
      <c r="F1135" s="115">
        <f>+(disponibilidad[[#This Row],[Fecha y hora fin]]-disponibilidad[[#This Row],[Fecha y hora inicio]])*1440</f>
        <v>0</v>
      </c>
    </row>
    <row r="1136" spans="6:6" ht="15">
      <c r="F1136" s="115">
        <f>+(disponibilidad[[#This Row],[Fecha y hora fin]]-disponibilidad[[#This Row],[Fecha y hora inicio]])*1440</f>
        <v>0</v>
      </c>
    </row>
    <row r="1137" spans="6:6" ht="15">
      <c r="F1137" s="115">
        <f>+(disponibilidad[[#This Row],[Fecha y hora fin]]-disponibilidad[[#This Row],[Fecha y hora inicio]])*1440</f>
        <v>0</v>
      </c>
    </row>
    <row r="1138" spans="6:6" ht="15">
      <c r="F1138" s="115">
        <f>+(disponibilidad[[#This Row],[Fecha y hora fin]]-disponibilidad[[#This Row],[Fecha y hora inicio]])*1440</f>
        <v>0</v>
      </c>
    </row>
    <row r="1139" spans="6:6" ht="15">
      <c r="F1139" s="115">
        <f>+(disponibilidad[[#This Row],[Fecha y hora fin]]-disponibilidad[[#This Row],[Fecha y hora inicio]])*1440</f>
        <v>0</v>
      </c>
    </row>
    <row r="1140" spans="6:6" ht="15">
      <c r="F1140" s="115">
        <f>+(disponibilidad[[#This Row],[Fecha y hora fin]]-disponibilidad[[#This Row],[Fecha y hora inicio]])*1440</f>
        <v>0</v>
      </c>
    </row>
    <row r="1141" spans="6:6" ht="15">
      <c r="F1141" s="115">
        <f>+(disponibilidad[[#This Row],[Fecha y hora fin]]-disponibilidad[[#This Row],[Fecha y hora inicio]])*1440</f>
        <v>0</v>
      </c>
    </row>
    <row r="1142" spans="6:6" ht="15">
      <c r="F1142" s="115">
        <f>+(disponibilidad[[#This Row],[Fecha y hora fin]]-disponibilidad[[#This Row],[Fecha y hora inicio]])*1440</f>
        <v>0</v>
      </c>
    </row>
    <row r="1143" spans="6:6" ht="15">
      <c r="F1143" s="115">
        <f>+(disponibilidad[[#This Row],[Fecha y hora fin]]-disponibilidad[[#This Row],[Fecha y hora inicio]])*1440</f>
        <v>0</v>
      </c>
    </row>
    <row r="1144" spans="6:6" ht="15">
      <c r="F1144" s="115">
        <f>+(disponibilidad[[#This Row],[Fecha y hora fin]]-disponibilidad[[#This Row],[Fecha y hora inicio]])*1440</f>
        <v>0</v>
      </c>
    </row>
    <row r="1145" spans="6:6" ht="15">
      <c r="F1145" s="115">
        <f>+(disponibilidad[[#This Row],[Fecha y hora fin]]-disponibilidad[[#This Row],[Fecha y hora inicio]])*1440</f>
        <v>0</v>
      </c>
    </row>
    <row r="1146" spans="6:6" ht="15">
      <c r="F1146" s="115">
        <f>+(disponibilidad[[#This Row],[Fecha y hora fin]]-disponibilidad[[#This Row],[Fecha y hora inicio]])*1440</f>
        <v>0</v>
      </c>
    </row>
    <row r="1147" spans="6:6" ht="15">
      <c r="F1147" s="115">
        <f>+(disponibilidad[[#This Row],[Fecha y hora fin]]-disponibilidad[[#This Row],[Fecha y hora inicio]])*1440</f>
        <v>0</v>
      </c>
    </row>
    <row r="1148" spans="6:6" ht="15">
      <c r="F1148" s="115">
        <f>+(disponibilidad[[#This Row],[Fecha y hora fin]]-disponibilidad[[#This Row],[Fecha y hora inicio]])*1440</f>
        <v>0</v>
      </c>
    </row>
    <row r="1149" spans="6:6" ht="15">
      <c r="F1149" s="115">
        <f>+(disponibilidad[[#This Row],[Fecha y hora fin]]-disponibilidad[[#This Row],[Fecha y hora inicio]])*1440</f>
        <v>0</v>
      </c>
    </row>
    <row r="1150" spans="6:6" ht="15">
      <c r="F1150" s="115">
        <f>+(disponibilidad[[#This Row],[Fecha y hora fin]]-disponibilidad[[#This Row],[Fecha y hora inicio]])*1440</f>
        <v>0</v>
      </c>
    </row>
    <row r="1151" spans="6:6" ht="15">
      <c r="F1151" s="115">
        <f>+(disponibilidad[[#This Row],[Fecha y hora fin]]-disponibilidad[[#This Row],[Fecha y hora inicio]])*1440</f>
        <v>0</v>
      </c>
    </row>
    <row r="1152" spans="6:6" ht="15">
      <c r="F1152" s="115">
        <f>+(disponibilidad[[#This Row],[Fecha y hora fin]]-disponibilidad[[#This Row],[Fecha y hora inicio]])*1440</f>
        <v>0</v>
      </c>
    </row>
    <row r="1153" spans="6:6" ht="15">
      <c r="F1153" s="115">
        <f>+(disponibilidad[[#This Row],[Fecha y hora fin]]-disponibilidad[[#This Row],[Fecha y hora inicio]])*1440</f>
        <v>0</v>
      </c>
    </row>
    <row r="1154" spans="6:6" ht="15">
      <c r="F1154" s="115">
        <f>+(disponibilidad[[#This Row],[Fecha y hora fin]]-disponibilidad[[#This Row],[Fecha y hora inicio]])*1440</f>
        <v>0</v>
      </c>
    </row>
    <row r="1155" spans="6:6" ht="15">
      <c r="F1155" s="115">
        <f>+(disponibilidad[[#This Row],[Fecha y hora fin]]-disponibilidad[[#This Row],[Fecha y hora inicio]])*1440</f>
        <v>0</v>
      </c>
    </row>
    <row r="1156" spans="6:6" ht="15">
      <c r="F1156" s="115">
        <f>+(disponibilidad[[#This Row],[Fecha y hora fin]]-disponibilidad[[#This Row],[Fecha y hora inicio]])*1440</f>
        <v>0</v>
      </c>
    </row>
    <row r="1157" spans="6:6" ht="15">
      <c r="F1157" s="115">
        <f>+(disponibilidad[[#This Row],[Fecha y hora fin]]-disponibilidad[[#This Row],[Fecha y hora inicio]])*1440</f>
        <v>0</v>
      </c>
    </row>
    <row r="1158" spans="6:6" ht="15">
      <c r="F1158" s="115">
        <f>+(disponibilidad[[#This Row],[Fecha y hora fin]]-disponibilidad[[#This Row],[Fecha y hora inicio]])*1440</f>
        <v>0</v>
      </c>
    </row>
    <row r="1159" spans="6:6" ht="15">
      <c r="F1159" s="115">
        <f>+(disponibilidad[[#This Row],[Fecha y hora fin]]-disponibilidad[[#This Row],[Fecha y hora inicio]])*1440</f>
        <v>0</v>
      </c>
    </row>
    <row r="1160" spans="6:6" ht="15">
      <c r="F1160" s="115">
        <f>+(disponibilidad[[#This Row],[Fecha y hora fin]]-disponibilidad[[#This Row],[Fecha y hora inicio]])*1440</f>
        <v>0</v>
      </c>
    </row>
    <row r="1161" spans="6:6" ht="15">
      <c r="F1161" s="115">
        <f>+(disponibilidad[[#This Row],[Fecha y hora fin]]-disponibilidad[[#This Row],[Fecha y hora inicio]])*1440</f>
        <v>0</v>
      </c>
    </row>
    <row r="1162" spans="6:6" ht="15">
      <c r="F1162" s="115">
        <f>+(disponibilidad[[#This Row],[Fecha y hora fin]]-disponibilidad[[#This Row],[Fecha y hora inicio]])*1440</f>
        <v>0</v>
      </c>
    </row>
    <row r="1163" spans="6:6" ht="15">
      <c r="F1163" s="115">
        <f>+(disponibilidad[[#This Row],[Fecha y hora fin]]-disponibilidad[[#This Row],[Fecha y hora inicio]])*1440</f>
        <v>0</v>
      </c>
    </row>
    <row r="1164" spans="6:6" ht="15">
      <c r="F1164" s="115">
        <f>+(disponibilidad[[#This Row],[Fecha y hora fin]]-disponibilidad[[#This Row],[Fecha y hora inicio]])*1440</f>
        <v>0</v>
      </c>
    </row>
    <row r="1165" spans="6:6" ht="15">
      <c r="F1165" s="115">
        <f>+(disponibilidad[[#This Row],[Fecha y hora fin]]-disponibilidad[[#This Row],[Fecha y hora inicio]])*1440</f>
        <v>0</v>
      </c>
    </row>
    <row r="1166" spans="6:6" ht="15">
      <c r="F1166" s="115">
        <f>+(disponibilidad[[#This Row],[Fecha y hora fin]]-disponibilidad[[#This Row],[Fecha y hora inicio]])*1440</f>
        <v>0</v>
      </c>
    </row>
    <row r="1167" spans="6:6" ht="15">
      <c r="F1167" s="115">
        <f>+(disponibilidad[[#This Row],[Fecha y hora fin]]-disponibilidad[[#This Row],[Fecha y hora inicio]])*1440</f>
        <v>0</v>
      </c>
    </row>
    <row r="1168" spans="6:6" ht="15">
      <c r="F1168" s="115">
        <f>+(disponibilidad[[#This Row],[Fecha y hora fin]]-disponibilidad[[#This Row],[Fecha y hora inicio]])*1440</f>
        <v>0</v>
      </c>
    </row>
    <row r="1169" spans="6:6" ht="15">
      <c r="F1169" s="115">
        <f>+(disponibilidad[[#This Row],[Fecha y hora fin]]-disponibilidad[[#This Row],[Fecha y hora inicio]])*1440</f>
        <v>0</v>
      </c>
    </row>
    <row r="1170" spans="6:6" ht="15">
      <c r="F1170" s="115">
        <f>+(disponibilidad[[#This Row],[Fecha y hora fin]]-disponibilidad[[#This Row],[Fecha y hora inicio]])*1440</f>
        <v>0</v>
      </c>
    </row>
    <row r="1171" spans="6:6" ht="15">
      <c r="F1171" s="115">
        <f>+(disponibilidad[[#This Row],[Fecha y hora fin]]-disponibilidad[[#This Row],[Fecha y hora inicio]])*1440</f>
        <v>0</v>
      </c>
    </row>
    <row r="1172" spans="6:6" ht="15">
      <c r="F1172" s="115">
        <f>+(disponibilidad[[#This Row],[Fecha y hora fin]]-disponibilidad[[#This Row],[Fecha y hora inicio]])*1440</f>
        <v>0</v>
      </c>
    </row>
    <row r="1173" spans="6:6" ht="15">
      <c r="F1173" s="115">
        <f>+(disponibilidad[[#This Row],[Fecha y hora fin]]-disponibilidad[[#This Row],[Fecha y hora inicio]])*1440</f>
        <v>0</v>
      </c>
    </row>
    <row r="1174" spans="6:6" ht="15">
      <c r="F1174" s="115">
        <f>+(disponibilidad[[#This Row],[Fecha y hora fin]]-disponibilidad[[#This Row],[Fecha y hora inicio]])*1440</f>
        <v>0</v>
      </c>
    </row>
    <row r="1175" spans="6:6" ht="15">
      <c r="F1175" s="115">
        <f>+(disponibilidad[[#This Row],[Fecha y hora fin]]-disponibilidad[[#This Row],[Fecha y hora inicio]])*1440</f>
        <v>0</v>
      </c>
    </row>
    <row r="1176" spans="6:6" ht="15">
      <c r="F1176" s="115">
        <f>+(disponibilidad[[#This Row],[Fecha y hora fin]]-disponibilidad[[#This Row],[Fecha y hora inicio]])*1440</f>
        <v>0</v>
      </c>
    </row>
    <row r="1177" spans="6:6" ht="15">
      <c r="F1177" s="115">
        <f>+(disponibilidad[[#This Row],[Fecha y hora fin]]-disponibilidad[[#This Row],[Fecha y hora inicio]])*1440</f>
        <v>0</v>
      </c>
    </row>
    <row r="1178" spans="6:6" ht="15">
      <c r="F1178" s="115">
        <f>+(disponibilidad[[#This Row],[Fecha y hora fin]]-disponibilidad[[#This Row],[Fecha y hora inicio]])*1440</f>
        <v>0</v>
      </c>
    </row>
    <row r="1179" spans="6:6" ht="15">
      <c r="F1179" s="115">
        <f>+(disponibilidad[[#This Row],[Fecha y hora fin]]-disponibilidad[[#This Row],[Fecha y hora inicio]])*1440</f>
        <v>0</v>
      </c>
    </row>
    <row r="1180" spans="6:6" ht="15">
      <c r="F1180" s="115">
        <f>+(disponibilidad[[#This Row],[Fecha y hora fin]]-disponibilidad[[#This Row],[Fecha y hora inicio]])*1440</f>
        <v>0</v>
      </c>
    </row>
    <row r="1181" spans="6:6" ht="15">
      <c r="F1181" s="115">
        <f>+(disponibilidad[[#This Row],[Fecha y hora fin]]-disponibilidad[[#This Row],[Fecha y hora inicio]])*1440</f>
        <v>0</v>
      </c>
    </row>
    <row r="1182" spans="6:6" ht="15">
      <c r="F1182" s="115">
        <f>+(disponibilidad[[#This Row],[Fecha y hora fin]]-disponibilidad[[#This Row],[Fecha y hora inicio]])*1440</f>
        <v>0</v>
      </c>
    </row>
    <row r="1183" spans="6:6" ht="15">
      <c r="F1183" s="115">
        <f>+(disponibilidad[[#This Row],[Fecha y hora fin]]-disponibilidad[[#This Row],[Fecha y hora inicio]])*1440</f>
        <v>0</v>
      </c>
    </row>
    <row r="1184" spans="6:6" ht="15">
      <c r="F1184" s="115">
        <f>+(disponibilidad[[#This Row],[Fecha y hora fin]]-disponibilidad[[#This Row],[Fecha y hora inicio]])*1440</f>
        <v>0</v>
      </c>
    </row>
    <row r="1185" spans="6:6" ht="15">
      <c r="F1185" s="115">
        <f>+(disponibilidad[[#This Row],[Fecha y hora fin]]-disponibilidad[[#This Row],[Fecha y hora inicio]])*1440</f>
        <v>0</v>
      </c>
    </row>
    <row r="1186" spans="6:6" ht="15">
      <c r="F1186" s="115">
        <f>+(disponibilidad[[#This Row],[Fecha y hora fin]]-disponibilidad[[#This Row],[Fecha y hora inicio]])*1440</f>
        <v>0</v>
      </c>
    </row>
    <row r="1187" spans="6:6" ht="15">
      <c r="F1187" s="115">
        <f>+(disponibilidad[[#This Row],[Fecha y hora fin]]-disponibilidad[[#This Row],[Fecha y hora inicio]])*1440</f>
        <v>0</v>
      </c>
    </row>
    <row r="1188" spans="6:6" ht="15">
      <c r="F1188" s="115">
        <f>+(disponibilidad[[#This Row],[Fecha y hora fin]]-disponibilidad[[#This Row],[Fecha y hora inicio]])*1440</f>
        <v>0</v>
      </c>
    </row>
    <row r="1189" spans="6:6" ht="15">
      <c r="F1189" s="115">
        <f>+(disponibilidad[[#This Row],[Fecha y hora fin]]-disponibilidad[[#This Row],[Fecha y hora inicio]])*1440</f>
        <v>0</v>
      </c>
    </row>
    <row r="1190" spans="6:6" ht="15">
      <c r="F1190" s="115">
        <f>+(disponibilidad[[#This Row],[Fecha y hora fin]]-disponibilidad[[#This Row],[Fecha y hora inicio]])*1440</f>
        <v>0</v>
      </c>
    </row>
    <row r="1191" spans="6:6" ht="15">
      <c r="F1191" s="115">
        <f>+(disponibilidad[[#This Row],[Fecha y hora fin]]-disponibilidad[[#This Row],[Fecha y hora inicio]])*1440</f>
        <v>0</v>
      </c>
    </row>
    <row r="1192" spans="6:6" ht="15">
      <c r="F1192" s="115">
        <f>+(disponibilidad[[#This Row],[Fecha y hora fin]]-disponibilidad[[#This Row],[Fecha y hora inicio]])*1440</f>
        <v>0</v>
      </c>
    </row>
    <row r="1193" spans="6:6" ht="15">
      <c r="F1193" s="115">
        <f>+(disponibilidad[[#This Row],[Fecha y hora fin]]-disponibilidad[[#This Row],[Fecha y hora inicio]])*1440</f>
        <v>0</v>
      </c>
    </row>
    <row r="1194" spans="6:6" ht="15">
      <c r="F1194" s="115">
        <f>+(disponibilidad[[#This Row],[Fecha y hora fin]]-disponibilidad[[#This Row],[Fecha y hora inicio]])*1440</f>
        <v>0</v>
      </c>
    </row>
    <row r="1195" spans="6:6" ht="15">
      <c r="F1195" s="115">
        <f>+(disponibilidad[[#This Row],[Fecha y hora fin]]-disponibilidad[[#This Row],[Fecha y hora inicio]])*1440</f>
        <v>0</v>
      </c>
    </row>
    <row r="1196" spans="6:6" ht="15">
      <c r="F1196" s="115">
        <f>+(disponibilidad[[#This Row],[Fecha y hora fin]]-disponibilidad[[#This Row],[Fecha y hora inicio]])*1440</f>
        <v>0</v>
      </c>
    </row>
    <row r="1197" spans="6:6" ht="15">
      <c r="F1197" s="115">
        <f>+(disponibilidad[[#This Row],[Fecha y hora fin]]-disponibilidad[[#This Row],[Fecha y hora inicio]])*1440</f>
        <v>0</v>
      </c>
    </row>
    <row r="1198" spans="6:6" ht="15">
      <c r="F1198" s="115">
        <f>+(disponibilidad[[#This Row],[Fecha y hora fin]]-disponibilidad[[#This Row],[Fecha y hora inicio]])*1440</f>
        <v>0</v>
      </c>
    </row>
    <row r="1199" spans="6:6" ht="15">
      <c r="F1199" s="115">
        <f>+(disponibilidad[[#This Row],[Fecha y hora fin]]-disponibilidad[[#This Row],[Fecha y hora inicio]])*1440</f>
        <v>0</v>
      </c>
    </row>
    <row r="1200" spans="6:6" ht="15">
      <c r="F1200" s="115">
        <f>+(disponibilidad[[#This Row],[Fecha y hora fin]]-disponibilidad[[#This Row],[Fecha y hora inicio]])*1440</f>
        <v>0</v>
      </c>
    </row>
    <row r="1201" spans="6:6" ht="15">
      <c r="F1201" s="115">
        <f>+(disponibilidad[[#This Row],[Fecha y hora fin]]-disponibilidad[[#This Row],[Fecha y hora inicio]])*1440</f>
        <v>0</v>
      </c>
    </row>
    <row r="1202" spans="6:6" ht="15">
      <c r="F1202" s="115">
        <f>+(disponibilidad[[#This Row],[Fecha y hora fin]]-disponibilidad[[#This Row],[Fecha y hora inicio]])*1440</f>
        <v>0</v>
      </c>
    </row>
    <row r="1203" spans="6:6" ht="15">
      <c r="F1203" s="115">
        <f>+(disponibilidad[[#This Row],[Fecha y hora fin]]-disponibilidad[[#This Row],[Fecha y hora inicio]])*1440</f>
        <v>0</v>
      </c>
    </row>
    <row r="1204" spans="6:6" ht="15">
      <c r="F1204" s="115">
        <f>+(disponibilidad[[#This Row],[Fecha y hora fin]]-disponibilidad[[#This Row],[Fecha y hora inicio]])*1440</f>
        <v>0</v>
      </c>
    </row>
    <row r="1205" spans="6:6" ht="15">
      <c r="F1205" s="115">
        <f>+(disponibilidad[[#This Row],[Fecha y hora fin]]-disponibilidad[[#This Row],[Fecha y hora inicio]])*1440</f>
        <v>0</v>
      </c>
    </row>
    <row r="1206" spans="6:6" ht="15">
      <c r="F1206" s="115">
        <f>+(disponibilidad[[#This Row],[Fecha y hora fin]]-disponibilidad[[#This Row],[Fecha y hora inicio]])*1440</f>
        <v>0</v>
      </c>
    </row>
    <row r="1207" spans="6:6" ht="15">
      <c r="F1207" s="115">
        <f>+(disponibilidad[[#This Row],[Fecha y hora fin]]-disponibilidad[[#This Row],[Fecha y hora inicio]])*1440</f>
        <v>0</v>
      </c>
    </row>
    <row r="1208" spans="6:6" ht="15">
      <c r="F1208" s="115">
        <f>+(disponibilidad[[#This Row],[Fecha y hora fin]]-disponibilidad[[#This Row],[Fecha y hora inicio]])*1440</f>
        <v>0</v>
      </c>
    </row>
    <row r="1209" spans="6:6" ht="15">
      <c r="F1209" s="115">
        <f>+(disponibilidad[[#This Row],[Fecha y hora fin]]-disponibilidad[[#This Row],[Fecha y hora inicio]])*1440</f>
        <v>0</v>
      </c>
    </row>
    <row r="1210" spans="6:6" ht="15">
      <c r="F1210" s="115">
        <f>+(disponibilidad[[#This Row],[Fecha y hora fin]]-disponibilidad[[#This Row],[Fecha y hora inicio]])*1440</f>
        <v>0</v>
      </c>
    </row>
    <row r="1211" spans="6:6" ht="15">
      <c r="F1211" s="115">
        <f>+(disponibilidad[[#This Row],[Fecha y hora fin]]-disponibilidad[[#This Row],[Fecha y hora inicio]])*1440</f>
        <v>0</v>
      </c>
    </row>
    <row r="1212" spans="6:6" ht="15">
      <c r="F1212" s="115">
        <f>+(disponibilidad[[#This Row],[Fecha y hora fin]]-disponibilidad[[#This Row],[Fecha y hora inicio]])*1440</f>
        <v>0</v>
      </c>
    </row>
    <row r="1213" spans="6:6" ht="15">
      <c r="F1213" s="115">
        <f>+(disponibilidad[[#This Row],[Fecha y hora fin]]-disponibilidad[[#This Row],[Fecha y hora inicio]])*1440</f>
        <v>0</v>
      </c>
    </row>
    <row r="1214" spans="6:6" ht="15">
      <c r="F1214" s="115">
        <f>+(disponibilidad[[#This Row],[Fecha y hora fin]]-disponibilidad[[#This Row],[Fecha y hora inicio]])*1440</f>
        <v>0</v>
      </c>
    </row>
    <row r="1215" spans="6:6" ht="15">
      <c r="F1215" s="115">
        <f>+(disponibilidad[[#This Row],[Fecha y hora fin]]-disponibilidad[[#This Row],[Fecha y hora inicio]])*1440</f>
        <v>0</v>
      </c>
    </row>
    <row r="1216" spans="6:6" ht="15">
      <c r="F1216" s="115">
        <f>+(disponibilidad[[#This Row],[Fecha y hora fin]]-disponibilidad[[#This Row],[Fecha y hora inicio]])*1440</f>
        <v>0</v>
      </c>
    </row>
    <row r="1217" spans="6:6" ht="15">
      <c r="F1217" s="115">
        <f>+(disponibilidad[[#This Row],[Fecha y hora fin]]-disponibilidad[[#This Row],[Fecha y hora inicio]])*1440</f>
        <v>0</v>
      </c>
    </row>
    <row r="1218" spans="6:6" ht="15">
      <c r="F1218" s="115">
        <f>+(disponibilidad[[#This Row],[Fecha y hora fin]]-disponibilidad[[#This Row],[Fecha y hora inicio]])*1440</f>
        <v>0</v>
      </c>
    </row>
    <row r="1219" spans="6:6" ht="15">
      <c r="F1219" s="115">
        <f>+(disponibilidad[[#This Row],[Fecha y hora fin]]-disponibilidad[[#This Row],[Fecha y hora inicio]])*1440</f>
        <v>0</v>
      </c>
    </row>
    <row r="1220" spans="6:6" ht="15">
      <c r="F1220" s="115">
        <f>+(disponibilidad[[#This Row],[Fecha y hora fin]]-disponibilidad[[#This Row],[Fecha y hora inicio]])*1440</f>
        <v>0</v>
      </c>
    </row>
    <row r="1221" spans="6:6" ht="15">
      <c r="F1221" s="115">
        <f>+(disponibilidad[[#This Row],[Fecha y hora fin]]-disponibilidad[[#This Row],[Fecha y hora inicio]])*1440</f>
        <v>0</v>
      </c>
    </row>
    <row r="1222" spans="6:6" ht="15">
      <c r="F1222" s="115">
        <f>+(disponibilidad[[#This Row],[Fecha y hora fin]]-disponibilidad[[#This Row],[Fecha y hora inicio]])*1440</f>
        <v>0</v>
      </c>
    </row>
    <row r="1223" spans="6:6" ht="15">
      <c r="F1223" s="115">
        <f>+(disponibilidad[[#This Row],[Fecha y hora fin]]-disponibilidad[[#This Row],[Fecha y hora inicio]])*1440</f>
        <v>0</v>
      </c>
    </row>
    <row r="1224" spans="6:6" ht="15">
      <c r="F1224" s="115">
        <f>+(disponibilidad[[#This Row],[Fecha y hora fin]]-disponibilidad[[#This Row],[Fecha y hora inicio]])*1440</f>
        <v>0</v>
      </c>
    </row>
    <row r="1225" spans="6:6" ht="15">
      <c r="F1225" s="115">
        <f>+(disponibilidad[[#This Row],[Fecha y hora fin]]-disponibilidad[[#This Row],[Fecha y hora inicio]])*1440</f>
        <v>0</v>
      </c>
    </row>
    <row r="1226" spans="6:6" ht="15">
      <c r="F1226" s="115">
        <f>+(disponibilidad[[#This Row],[Fecha y hora fin]]-disponibilidad[[#This Row],[Fecha y hora inicio]])*1440</f>
        <v>0</v>
      </c>
    </row>
    <row r="1227" spans="6:6" ht="15">
      <c r="F1227" s="115">
        <f>+(disponibilidad[[#This Row],[Fecha y hora fin]]-disponibilidad[[#This Row],[Fecha y hora inicio]])*1440</f>
        <v>0</v>
      </c>
    </row>
    <row r="1228" spans="6:6" ht="15">
      <c r="F1228" s="115">
        <f>+(disponibilidad[[#This Row],[Fecha y hora fin]]-disponibilidad[[#This Row],[Fecha y hora inicio]])*1440</f>
        <v>0</v>
      </c>
    </row>
    <row r="1229" spans="6:6" ht="15">
      <c r="F1229" s="115">
        <f>+(disponibilidad[[#This Row],[Fecha y hora fin]]-disponibilidad[[#This Row],[Fecha y hora inicio]])*1440</f>
        <v>0</v>
      </c>
    </row>
    <row r="1230" spans="6:6" ht="15">
      <c r="F1230" s="115">
        <f>+(disponibilidad[[#This Row],[Fecha y hora fin]]-disponibilidad[[#This Row],[Fecha y hora inicio]])*1440</f>
        <v>0</v>
      </c>
    </row>
    <row r="1231" spans="6:6" ht="15">
      <c r="F1231" s="115">
        <f>+(disponibilidad[[#This Row],[Fecha y hora fin]]-disponibilidad[[#This Row],[Fecha y hora inicio]])*1440</f>
        <v>0</v>
      </c>
    </row>
    <row r="1232" spans="6:6" ht="15">
      <c r="F1232" s="115">
        <f>+(disponibilidad[[#This Row],[Fecha y hora fin]]-disponibilidad[[#This Row],[Fecha y hora inicio]])*1440</f>
        <v>0</v>
      </c>
    </row>
    <row r="1233" spans="6:6" ht="15">
      <c r="F1233" s="115">
        <f>+(disponibilidad[[#This Row],[Fecha y hora fin]]-disponibilidad[[#This Row],[Fecha y hora inicio]])*1440</f>
        <v>0</v>
      </c>
    </row>
    <row r="1234" spans="6:6" ht="15">
      <c r="F1234" s="115">
        <f>+(disponibilidad[[#This Row],[Fecha y hora fin]]-disponibilidad[[#This Row],[Fecha y hora inicio]])*1440</f>
        <v>0</v>
      </c>
    </row>
    <row r="1235" spans="6:6" ht="15">
      <c r="F1235" s="115">
        <f>+(disponibilidad[[#This Row],[Fecha y hora fin]]-disponibilidad[[#This Row],[Fecha y hora inicio]])*1440</f>
        <v>0</v>
      </c>
    </row>
    <row r="1236" spans="6:6" ht="15">
      <c r="F1236" s="115">
        <f>+(disponibilidad[[#This Row],[Fecha y hora fin]]-disponibilidad[[#This Row],[Fecha y hora inicio]])*1440</f>
        <v>0</v>
      </c>
    </row>
    <row r="1237" spans="6:6" ht="15">
      <c r="F1237" s="115">
        <f>+(disponibilidad[[#This Row],[Fecha y hora fin]]-disponibilidad[[#This Row],[Fecha y hora inicio]])*1440</f>
        <v>0</v>
      </c>
    </row>
    <row r="1238" spans="6:6" ht="15">
      <c r="F1238" s="115">
        <f>+(disponibilidad[[#This Row],[Fecha y hora fin]]-disponibilidad[[#This Row],[Fecha y hora inicio]])*1440</f>
        <v>0</v>
      </c>
    </row>
    <row r="1239" spans="6:6" ht="15">
      <c r="F1239" s="115">
        <f>+(disponibilidad[[#This Row],[Fecha y hora fin]]-disponibilidad[[#This Row],[Fecha y hora inicio]])*1440</f>
        <v>0</v>
      </c>
    </row>
    <row r="1240" spans="6:6" ht="15">
      <c r="F1240" s="115">
        <f>+(disponibilidad[[#This Row],[Fecha y hora fin]]-disponibilidad[[#This Row],[Fecha y hora inicio]])*1440</f>
        <v>0</v>
      </c>
    </row>
    <row r="1241" spans="6:6" ht="15">
      <c r="F1241" s="115">
        <f>+(disponibilidad[[#This Row],[Fecha y hora fin]]-disponibilidad[[#This Row],[Fecha y hora inicio]])*1440</f>
        <v>0</v>
      </c>
    </row>
    <row r="1242" spans="6:6" ht="15">
      <c r="F1242" s="115">
        <f>+(disponibilidad[[#This Row],[Fecha y hora fin]]-disponibilidad[[#This Row],[Fecha y hora inicio]])*1440</f>
        <v>0</v>
      </c>
    </row>
    <row r="1243" spans="6:6" ht="15">
      <c r="F1243" s="115">
        <f>+(disponibilidad[[#This Row],[Fecha y hora fin]]-disponibilidad[[#This Row],[Fecha y hora inicio]])*1440</f>
        <v>0</v>
      </c>
    </row>
    <row r="1244" spans="6:6" ht="15">
      <c r="F1244" s="115">
        <f>+(disponibilidad[[#This Row],[Fecha y hora fin]]-disponibilidad[[#This Row],[Fecha y hora inicio]])*1440</f>
        <v>0</v>
      </c>
    </row>
    <row r="1245" spans="6:6" ht="15">
      <c r="F1245" s="115">
        <f>+(disponibilidad[[#This Row],[Fecha y hora fin]]-disponibilidad[[#This Row],[Fecha y hora inicio]])*1440</f>
        <v>0</v>
      </c>
    </row>
    <row r="1246" spans="6:6" ht="15">
      <c r="F1246" s="115">
        <f>+(disponibilidad[[#This Row],[Fecha y hora fin]]-disponibilidad[[#This Row],[Fecha y hora inicio]])*1440</f>
        <v>0</v>
      </c>
    </row>
    <row r="1247" spans="6:6" ht="15">
      <c r="F1247" s="115">
        <f>+(disponibilidad[[#This Row],[Fecha y hora fin]]-disponibilidad[[#This Row],[Fecha y hora inicio]])*1440</f>
        <v>0</v>
      </c>
    </row>
    <row r="1248" spans="6:6" ht="15">
      <c r="F1248" s="115">
        <f>+(disponibilidad[[#This Row],[Fecha y hora fin]]-disponibilidad[[#This Row],[Fecha y hora inicio]])*1440</f>
        <v>0</v>
      </c>
    </row>
    <row r="1249" spans="6:6" ht="15">
      <c r="F1249" s="115">
        <f>+(disponibilidad[[#This Row],[Fecha y hora fin]]-disponibilidad[[#This Row],[Fecha y hora inicio]])*1440</f>
        <v>0</v>
      </c>
    </row>
    <row r="1250" spans="6:6" ht="15">
      <c r="F1250" s="115">
        <f>+(disponibilidad[[#This Row],[Fecha y hora fin]]-disponibilidad[[#This Row],[Fecha y hora inicio]])*1440</f>
        <v>0</v>
      </c>
    </row>
    <row r="1251" spans="6:6" ht="15">
      <c r="F1251" s="115">
        <f>+(disponibilidad[[#This Row],[Fecha y hora fin]]-disponibilidad[[#This Row],[Fecha y hora inicio]])*1440</f>
        <v>0</v>
      </c>
    </row>
    <row r="1252" spans="6:6" ht="15">
      <c r="F1252" s="115">
        <f>+(disponibilidad[[#This Row],[Fecha y hora fin]]-disponibilidad[[#This Row],[Fecha y hora inicio]])*1440</f>
        <v>0</v>
      </c>
    </row>
    <row r="1253" spans="6:6" ht="15">
      <c r="F1253" s="115">
        <f>+(disponibilidad[[#This Row],[Fecha y hora fin]]-disponibilidad[[#This Row],[Fecha y hora inicio]])*1440</f>
        <v>0</v>
      </c>
    </row>
    <row r="1254" spans="6:6" ht="15">
      <c r="F1254" s="115">
        <f>+(disponibilidad[[#This Row],[Fecha y hora fin]]-disponibilidad[[#This Row],[Fecha y hora inicio]])*1440</f>
        <v>0</v>
      </c>
    </row>
    <row r="1255" spans="6:6" ht="15">
      <c r="F1255" s="115">
        <f>+(disponibilidad[[#This Row],[Fecha y hora fin]]-disponibilidad[[#This Row],[Fecha y hora inicio]])*1440</f>
        <v>0</v>
      </c>
    </row>
    <row r="1256" spans="6:6" ht="15">
      <c r="F1256" s="115">
        <f>+(disponibilidad[[#This Row],[Fecha y hora fin]]-disponibilidad[[#This Row],[Fecha y hora inicio]])*1440</f>
        <v>0</v>
      </c>
    </row>
    <row r="1257" spans="6:6" ht="15">
      <c r="F1257" s="115">
        <f>+(disponibilidad[[#This Row],[Fecha y hora fin]]-disponibilidad[[#This Row],[Fecha y hora inicio]])*1440</f>
        <v>0</v>
      </c>
    </row>
    <row r="1258" spans="6:6" ht="15">
      <c r="F1258" s="115">
        <f>+(disponibilidad[[#This Row],[Fecha y hora fin]]-disponibilidad[[#This Row],[Fecha y hora inicio]])*1440</f>
        <v>0</v>
      </c>
    </row>
    <row r="1259" spans="6:6" ht="15">
      <c r="F1259" s="115">
        <f>+(disponibilidad[[#This Row],[Fecha y hora fin]]-disponibilidad[[#This Row],[Fecha y hora inicio]])*1440</f>
        <v>0</v>
      </c>
    </row>
    <row r="1260" spans="6:6" ht="15">
      <c r="F1260" s="115">
        <f>+(disponibilidad[[#This Row],[Fecha y hora fin]]-disponibilidad[[#This Row],[Fecha y hora inicio]])*1440</f>
        <v>0</v>
      </c>
    </row>
    <row r="1261" spans="6:6" ht="15">
      <c r="F1261" s="115">
        <f>+(disponibilidad[[#This Row],[Fecha y hora fin]]-disponibilidad[[#This Row],[Fecha y hora inicio]])*1440</f>
        <v>0</v>
      </c>
    </row>
    <row r="1262" spans="6:6" ht="15">
      <c r="F1262" s="115">
        <f>+(disponibilidad[[#This Row],[Fecha y hora fin]]-disponibilidad[[#This Row],[Fecha y hora inicio]])*1440</f>
        <v>0</v>
      </c>
    </row>
    <row r="1263" spans="6:6" ht="15">
      <c r="F1263" s="115">
        <f>+(disponibilidad[[#This Row],[Fecha y hora fin]]-disponibilidad[[#This Row],[Fecha y hora inicio]])*1440</f>
        <v>0</v>
      </c>
    </row>
    <row r="1264" spans="6:6" ht="15">
      <c r="F1264" s="115">
        <f>+(disponibilidad[[#This Row],[Fecha y hora fin]]-disponibilidad[[#This Row],[Fecha y hora inicio]])*1440</f>
        <v>0</v>
      </c>
    </row>
    <row r="1265" spans="6:6" ht="15">
      <c r="F1265" s="115">
        <f>+(disponibilidad[[#This Row],[Fecha y hora fin]]-disponibilidad[[#This Row],[Fecha y hora inicio]])*1440</f>
        <v>0</v>
      </c>
    </row>
    <row r="1266" spans="6:6" ht="15">
      <c r="F1266" s="115">
        <f>+(disponibilidad[[#This Row],[Fecha y hora fin]]-disponibilidad[[#This Row],[Fecha y hora inicio]])*1440</f>
        <v>0</v>
      </c>
    </row>
    <row r="1267" spans="6:6" ht="15">
      <c r="F1267" s="115">
        <f>+(disponibilidad[[#This Row],[Fecha y hora fin]]-disponibilidad[[#This Row],[Fecha y hora inicio]])*1440</f>
        <v>0</v>
      </c>
    </row>
    <row r="1268" spans="6:6" ht="15">
      <c r="F1268" s="115">
        <f>+(disponibilidad[[#This Row],[Fecha y hora fin]]-disponibilidad[[#This Row],[Fecha y hora inicio]])*1440</f>
        <v>0</v>
      </c>
    </row>
    <row r="1269" spans="6:6" ht="15">
      <c r="F1269" s="115">
        <f>+(disponibilidad[[#This Row],[Fecha y hora fin]]-disponibilidad[[#This Row],[Fecha y hora inicio]])*1440</f>
        <v>0</v>
      </c>
    </row>
    <row r="1270" spans="6:6" ht="15">
      <c r="F1270" s="115">
        <f>+(disponibilidad[[#This Row],[Fecha y hora fin]]-disponibilidad[[#This Row],[Fecha y hora inicio]])*1440</f>
        <v>0</v>
      </c>
    </row>
    <row r="1271" spans="6:6" ht="15">
      <c r="F1271" s="115">
        <f>+(disponibilidad[[#This Row],[Fecha y hora fin]]-disponibilidad[[#This Row],[Fecha y hora inicio]])*1440</f>
        <v>0</v>
      </c>
    </row>
    <row r="1272" spans="6:6" ht="15">
      <c r="F1272" s="115">
        <f>+(disponibilidad[[#This Row],[Fecha y hora fin]]-disponibilidad[[#This Row],[Fecha y hora inicio]])*1440</f>
        <v>0</v>
      </c>
    </row>
    <row r="1273" spans="6:6" ht="15">
      <c r="F1273" s="115">
        <f>+(disponibilidad[[#This Row],[Fecha y hora fin]]-disponibilidad[[#This Row],[Fecha y hora inicio]])*1440</f>
        <v>0</v>
      </c>
    </row>
    <row r="1274" spans="6:6" ht="15">
      <c r="F1274" s="115">
        <f>+(disponibilidad[[#This Row],[Fecha y hora fin]]-disponibilidad[[#This Row],[Fecha y hora inicio]])*1440</f>
        <v>0</v>
      </c>
    </row>
    <row r="1275" spans="6:6" ht="15">
      <c r="F1275" s="115">
        <f>+(disponibilidad[[#This Row],[Fecha y hora fin]]-disponibilidad[[#This Row],[Fecha y hora inicio]])*1440</f>
        <v>0</v>
      </c>
    </row>
    <row r="1276" spans="6:6" ht="15">
      <c r="F1276" s="115">
        <f>+(disponibilidad[[#This Row],[Fecha y hora fin]]-disponibilidad[[#This Row],[Fecha y hora inicio]])*1440</f>
        <v>0</v>
      </c>
    </row>
    <row r="1277" spans="6:6" ht="15">
      <c r="F1277" s="115">
        <f>+(disponibilidad[[#This Row],[Fecha y hora fin]]-disponibilidad[[#This Row],[Fecha y hora inicio]])*1440</f>
        <v>0</v>
      </c>
    </row>
    <row r="1278" spans="6:6" ht="15">
      <c r="F1278" s="115">
        <f>+(disponibilidad[[#This Row],[Fecha y hora fin]]-disponibilidad[[#This Row],[Fecha y hora inicio]])*1440</f>
        <v>0</v>
      </c>
    </row>
    <row r="1279" spans="6:6" ht="15">
      <c r="F1279" s="115">
        <f>+(disponibilidad[[#This Row],[Fecha y hora fin]]-disponibilidad[[#This Row],[Fecha y hora inicio]])*1440</f>
        <v>0</v>
      </c>
    </row>
    <row r="1280" spans="6:6" ht="15">
      <c r="F1280" s="115">
        <f>+(disponibilidad[[#This Row],[Fecha y hora fin]]-disponibilidad[[#This Row],[Fecha y hora inicio]])*1440</f>
        <v>0</v>
      </c>
    </row>
    <row r="1281" spans="6:6" ht="15">
      <c r="F1281" s="115">
        <f>+(disponibilidad[[#This Row],[Fecha y hora fin]]-disponibilidad[[#This Row],[Fecha y hora inicio]])*1440</f>
        <v>0</v>
      </c>
    </row>
    <row r="1282" spans="6:6" ht="15">
      <c r="F1282" s="115">
        <f>+(disponibilidad[[#This Row],[Fecha y hora fin]]-disponibilidad[[#This Row],[Fecha y hora inicio]])*1440</f>
        <v>0</v>
      </c>
    </row>
    <row r="1283" spans="6:6" ht="15">
      <c r="F1283" s="115">
        <f>+(disponibilidad[[#This Row],[Fecha y hora fin]]-disponibilidad[[#This Row],[Fecha y hora inicio]])*1440</f>
        <v>0</v>
      </c>
    </row>
    <row r="1284" spans="6:6" ht="15">
      <c r="F1284" s="115">
        <f>+(disponibilidad[[#This Row],[Fecha y hora fin]]-disponibilidad[[#This Row],[Fecha y hora inicio]])*1440</f>
        <v>0</v>
      </c>
    </row>
    <row r="1285" spans="6:6" ht="15">
      <c r="F1285" s="115">
        <f>+(disponibilidad[[#This Row],[Fecha y hora fin]]-disponibilidad[[#This Row],[Fecha y hora inicio]])*1440</f>
        <v>0</v>
      </c>
    </row>
    <row r="1286" spans="6:6" ht="15">
      <c r="F1286" s="115">
        <f>+(disponibilidad[[#This Row],[Fecha y hora fin]]-disponibilidad[[#This Row],[Fecha y hora inicio]])*1440</f>
        <v>0</v>
      </c>
    </row>
    <row r="1287" spans="6:6" ht="15">
      <c r="F1287" s="115">
        <f>+(disponibilidad[[#This Row],[Fecha y hora fin]]-disponibilidad[[#This Row],[Fecha y hora inicio]])*1440</f>
        <v>0</v>
      </c>
    </row>
    <row r="1288" spans="6:6" ht="15">
      <c r="F1288" s="115">
        <f>+(disponibilidad[[#This Row],[Fecha y hora fin]]-disponibilidad[[#This Row],[Fecha y hora inicio]])*1440</f>
        <v>0</v>
      </c>
    </row>
    <row r="1289" spans="6:6" ht="15">
      <c r="F1289" s="115">
        <f>+(disponibilidad[[#This Row],[Fecha y hora fin]]-disponibilidad[[#This Row],[Fecha y hora inicio]])*1440</f>
        <v>0</v>
      </c>
    </row>
    <row r="1290" spans="6:6" ht="15">
      <c r="F1290" s="115">
        <f>+(disponibilidad[[#This Row],[Fecha y hora fin]]-disponibilidad[[#This Row],[Fecha y hora inicio]])*1440</f>
        <v>0</v>
      </c>
    </row>
    <row r="1291" spans="6:6" ht="15">
      <c r="F1291" s="115">
        <f>+(disponibilidad[[#This Row],[Fecha y hora fin]]-disponibilidad[[#This Row],[Fecha y hora inicio]])*1440</f>
        <v>0</v>
      </c>
    </row>
    <row r="1292" spans="6:6" ht="15">
      <c r="F1292" s="115">
        <f>+(disponibilidad[[#This Row],[Fecha y hora fin]]-disponibilidad[[#This Row],[Fecha y hora inicio]])*1440</f>
        <v>0</v>
      </c>
    </row>
    <row r="1293" spans="6:6" ht="15">
      <c r="F1293" s="115">
        <f>+(disponibilidad[[#This Row],[Fecha y hora fin]]-disponibilidad[[#This Row],[Fecha y hora inicio]])*1440</f>
        <v>0</v>
      </c>
    </row>
    <row r="1294" spans="6:6" ht="15">
      <c r="F1294" s="115">
        <f>+(disponibilidad[[#This Row],[Fecha y hora fin]]-disponibilidad[[#This Row],[Fecha y hora inicio]])*1440</f>
        <v>0</v>
      </c>
    </row>
    <row r="1295" spans="6:6" ht="15">
      <c r="F1295" s="115">
        <f>+(disponibilidad[[#This Row],[Fecha y hora fin]]-disponibilidad[[#This Row],[Fecha y hora inicio]])*1440</f>
        <v>0</v>
      </c>
    </row>
    <row r="1296" spans="6:6" ht="15">
      <c r="F1296" s="115">
        <f>+(disponibilidad[[#This Row],[Fecha y hora fin]]-disponibilidad[[#This Row],[Fecha y hora inicio]])*1440</f>
        <v>0</v>
      </c>
    </row>
    <row r="1297" spans="6:6" ht="15">
      <c r="F1297" s="115">
        <f>+(disponibilidad[[#This Row],[Fecha y hora fin]]-disponibilidad[[#This Row],[Fecha y hora inicio]])*1440</f>
        <v>0</v>
      </c>
    </row>
    <row r="1298" spans="6:6" ht="15">
      <c r="F1298" s="115">
        <f>+(disponibilidad[[#This Row],[Fecha y hora fin]]-disponibilidad[[#This Row],[Fecha y hora inicio]])*1440</f>
        <v>0</v>
      </c>
    </row>
    <row r="1299" spans="6:6" ht="15">
      <c r="F1299" s="115">
        <f>+(disponibilidad[[#This Row],[Fecha y hora fin]]-disponibilidad[[#This Row],[Fecha y hora inicio]])*1440</f>
        <v>0</v>
      </c>
    </row>
    <row r="1300" spans="6:6" ht="15">
      <c r="F1300" s="115">
        <f>+(disponibilidad[[#This Row],[Fecha y hora fin]]-disponibilidad[[#This Row],[Fecha y hora inicio]])*1440</f>
        <v>0</v>
      </c>
    </row>
    <row r="1301" spans="6:6" ht="15">
      <c r="F1301" s="115">
        <f>+(disponibilidad[[#This Row],[Fecha y hora fin]]-disponibilidad[[#This Row],[Fecha y hora inicio]])*1440</f>
        <v>0</v>
      </c>
    </row>
    <row r="1302" spans="6:6" ht="15">
      <c r="F1302" s="115">
        <f>+(disponibilidad[[#This Row],[Fecha y hora fin]]-disponibilidad[[#This Row],[Fecha y hora inicio]])*1440</f>
        <v>0</v>
      </c>
    </row>
    <row r="1303" spans="6:6" ht="15">
      <c r="F1303" s="115">
        <f>+(disponibilidad[[#This Row],[Fecha y hora fin]]-disponibilidad[[#This Row],[Fecha y hora inicio]])*1440</f>
        <v>0</v>
      </c>
    </row>
    <row r="1304" spans="6:6" ht="15">
      <c r="F1304" s="115">
        <f>+(disponibilidad[[#This Row],[Fecha y hora fin]]-disponibilidad[[#This Row],[Fecha y hora inicio]])*1440</f>
        <v>0</v>
      </c>
    </row>
    <row r="1305" spans="6:6" ht="15">
      <c r="F1305" s="115">
        <f>+(disponibilidad[[#This Row],[Fecha y hora fin]]-disponibilidad[[#This Row],[Fecha y hora inicio]])*1440</f>
        <v>0</v>
      </c>
    </row>
    <row r="1306" spans="6:6" ht="15">
      <c r="F1306" s="115">
        <f>+(disponibilidad[[#This Row],[Fecha y hora fin]]-disponibilidad[[#This Row],[Fecha y hora inicio]])*1440</f>
        <v>0</v>
      </c>
    </row>
    <row r="1307" spans="6:6" ht="15">
      <c r="F1307" s="115">
        <f>+(disponibilidad[[#This Row],[Fecha y hora fin]]-disponibilidad[[#This Row],[Fecha y hora inicio]])*1440</f>
        <v>0</v>
      </c>
    </row>
    <row r="1308" spans="6:6" ht="15">
      <c r="F1308" s="115">
        <f>+(disponibilidad[[#This Row],[Fecha y hora fin]]-disponibilidad[[#This Row],[Fecha y hora inicio]])*1440</f>
        <v>0</v>
      </c>
    </row>
    <row r="1309" spans="6:6" ht="15">
      <c r="F1309" s="115">
        <f>+(disponibilidad[[#This Row],[Fecha y hora fin]]-disponibilidad[[#This Row],[Fecha y hora inicio]])*1440</f>
        <v>0</v>
      </c>
    </row>
    <row r="1310" spans="6:6" ht="15">
      <c r="F1310" s="115">
        <f>+(disponibilidad[[#This Row],[Fecha y hora fin]]-disponibilidad[[#This Row],[Fecha y hora inicio]])*1440</f>
        <v>0</v>
      </c>
    </row>
    <row r="1311" spans="6:6" ht="15">
      <c r="F1311" s="115">
        <f>+(disponibilidad[[#This Row],[Fecha y hora fin]]-disponibilidad[[#This Row],[Fecha y hora inicio]])*1440</f>
        <v>0</v>
      </c>
    </row>
    <row r="1312" spans="6:6" ht="15">
      <c r="F1312" s="115">
        <f>+(disponibilidad[[#This Row],[Fecha y hora fin]]-disponibilidad[[#This Row],[Fecha y hora inicio]])*1440</f>
        <v>0</v>
      </c>
    </row>
    <row r="1313" spans="6:6" ht="15">
      <c r="F1313" s="115">
        <f>+(disponibilidad[[#This Row],[Fecha y hora fin]]-disponibilidad[[#This Row],[Fecha y hora inicio]])*1440</f>
        <v>0</v>
      </c>
    </row>
    <row r="1314" spans="6:6" ht="15">
      <c r="F1314" s="115">
        <f>+(disponibilidad[[#This Row],[Fecha y hora fin]]-disponibilidad[[#This Row],[Fecha y hora inicio]])*1440</f>
        <v>0</v>
      </c>
    </row>
    <row r="1315" spans="6:6" ht="15">
      <c r="F1315" s="115">
        <f>+(disponibilidad[[#This Row],[Fecha y hora fin]]-disponibilidad[[#This Row],[Fecha y hora inicio]])*1440</f>
        <v>0</v>
      </c>
    </row>
    <row r="1316" spans="6:6" ht="15">
      <c r="F1316" s="115">
        <f>+(disponibilidad[[#This Row],[Fecha y hora fin]]-disponibilidad[[#This Row],[Fecha y hora inicio]])*1440</f>
        <v>0</v>
      </c>
    </row>
    <row r="1317" spans="6:6" ht="15">
      <c r="F1317" s="115">
        <f>+(disponibilidad[[#This Row],[Fecha y hora fin]]-disponibilidad[[#This Row],[Fecha y hora inicio]])*1440</f>
        <v>0</v>
      </c>
    </row>
    <row r="1318" spans="6:6" ht="15">
      <c r="F1318" s="115">
        <f>+(disponibilidad[[#This Row],[Fecha y hora fin]]-disponibilidad[[#This Row],[Fecha y hora inicio]])*1440</f>
        <v>0</v>
      </c>
    </row>
    <row r="1319" spans="6:6" ht="15">
      <c r="F1319" s="115">
        <f>+(disponibilidad[[#This Row],[Fecha y hora fin]]-disponibilidad[[#This Row],[Fecha y hora inicio]])*1440</f>
        <v>0</v>
      </c>
    </row>
    <row r="1320" spans="6:6" ht="15">
      <c r="F1320" s="115">
        <f>+(disponibilidad[[#This Row],[Fecha y hora fin]]-disponibilidad[[#This Row],[Fecha y hora inicio]])*1440</f>
        <v>0</v>
      </c>
    </row>
    <row r="1321" spans="6:6" ht="15">
      <c r="F1321" s="115">
        <f>+(disponibilidad[[#This Row],[Fecha y hora fin]]-disponibilidad[[#This Row],[Fecha y hora inicio]])*1440</f>
        <v>0</v>
      </c>
    </row>
    <row r="1322" spans="6:6" ht="15">
      <c r="F1322" s="115">
        <f>+(disponibilidad[[#This Row],[Fecha y hora fin]]-disponibilidad[[#This Row],[Fecha y hora inicio]])*1440</f>
        <v>0</v>
      </c>
    </row>
    <row r="1323" spans="6:6" ht="15">
      <c r="F1323" s="115">
        <f>+(disponibilidad[[#This Row],[Fecha y hora fin]]-disponibilidad[[#This Row],[Fecha y hora inicio]])*1440</f>
        <v>0</v>
      </c>
    </row>
    <row r="1324" spans="6:6" ht="15">
      <c r="F1324" s="115">
        <f>+(disponibilidad[[#This Row],[Fecha y hora fin]]-disponibilidad[[#This Row],[Fecha y hora inicio]])*1440</f>
        <v>0</v>
      </c>
    </row>
    <row r="1325" spans="6:6" ht="15">
      <c r="F1325" s="115">
        <f>+(disponibilidad[[#This Row],[Fecha y hora fin]]-disponibilidad[[#This Row],[Fecha y hora inicio]])*1440</f>
        <v>0</v>
      </c>
    </row>
    <row r="1326" spans="6:6" ht="15">
      <c r="F1326" s="115">
        <f>+(disponibilidad[[#This Row],[Fecha y hora fin]]-disponibilidad[[#This Row],[Fecha y hora inicio]])*1440</f>
        <v>0</v>
      </c>
    </row>
    <row r="1327" spans="6:6" ht="15">
      <c r="F1327" s="115">
        <f>+(disponibilidad[[#This Row],[Fecha y hora fin]]-disponibilidad[[#This Row],[Fecha y hora inicio]])*1440</f>
        <v>0</v>
      </c>
    </row>
    <row r="1328" spans="6:6" ht="15">
      <c r="F1328" s="115">
        <f>+(disponibilidad[[#This Row],[Fecha y hora fin]]-disponibilidad[[#This Row],[Fecha y hora inicio]])*1440</f>
        <v>0</v>
      </c>
    </row>
    <row r="1329" spans="6:6" ht="15">
      <c r="F1329" s="115">
        <f>+(disponibilidad[[#This Row],[Fecha y hora fin]]-disponibilidad[[#This Row],[Fecha y hora inicio]])*1440</f>
        <v>0</v>
      </c>
    </row>
    <row r="1330" spans="6:6" ht="15">
      <c r="F1330" s="115">
        <f>+(disponibilidad[[#This Row],[Fecha y hora fin]]-disponibilidad[[#This Row],[Fecha y hora inicio]])*1440</f>
        <v>0</v>
      </c>
    </row>
    <row r="1331" spans="6:6" ht="15">
      <c r="F1331" s="115">
        <f>+(disponibilidad[[#This Row],[Fecha y hora fin]]-disponibilidad[[#This Row],[Fecha y hora inicio]])*1440</f>
        <v>0</v>
      </c>
    </row>
    <row r="1332" spans="6:6" ht="15">
      <c r="F1332" s="115">
        <f>+(disponibilidad[[#This Row],[Fecha y hora fin]]-disponibilidad[[#This Row],[Fecha y hora inicio]])*1440</f>
        <v>0</v>
      </c>
    </row>
    <row r="1333" spans="6:6" ht="15">
      <c r="F1333" s="115">
        <f>+(disponibilidad[[#This Row],[Fecha y hora fin]]-disponibilidad[[#This Row],[Fecha y hora inicio]])*1440</f>
        <v>0</v>
      </c>
    </row>
    <row r="1334" spans="6:6" ht="15">
      <c r="F1334" s="115">
        <f>+(disponibilidad[[#This Row],[Fecha y hora fin]]-disponibilidad[[#This Row],[Fecha y hora inicio]])*1440</f>
        <v>0</v>
      </c>
    </row>
    <row r="1335" spans="6:6" ht="15">
      <c r="F1335" s="115">
        <f>+(disponibilidad[[#This Row],[Fecha y hora fin]]-disponibilidad[[#This Row],[Fecha y hora inicio]])*1440</f>
        <v>0</v>
      </c>
    </row>
    <row r="1336" spans="6:6" ht="15">
      <c r="F1336" s="115">
        <f>+(disponibilidad[[#This Row],[Fecha y hora fin]]-disponibilidad[[#This Row],[Fecha y hora inicio]])*1440</f>
        <v>0</v>
      </c>
    </row>
    <row r="1337" spans="6:6" ht="15">
      <c r="F1337" s="115">
        <f>+(disponibilidad[[#This Row],[Fecha y hora fin]]-disponibilidad[[#This Row],[Fecha y hora inicio]])*1440</f>
        <v>0</v>
      </c>
    </row>
    <row r="1338" spans="6:6" ht="15">
      <c r="F1338" s="115">
        <f>+(disponibilidad[[#This Row],[Fecha y hora fin]]-disponibilidad[[#This Row],[Fecha y hora inicio]])*1440</f>
        <v>0</v>
      </c>
    </row>
    <row r="1339" spans="6:6" ht="15">
      <c r="F1339" s="115">
        <f>+(disponibilidad[[#This Row],[Fecha y hora fin]]-disponibilidad[[#This Row],[Fecha y hora inicio]])*1440</f>
        <v>0</v>
      </c>
    </row>
    <row r="1340" spans="6:6" ht="15">
      <c r="F1340" s="115">
        <f>+(disponibilidad[[#This Row],[Fecha y hora fin]]-disponibilidad[[#This Row],[Fecha y hora inicio]])*1440</f>
        <v>0</v>
      </c>
    </row>
    <row r="1341" spans="6:6" ht="15">
      <c r="F1341" s="115">
        <f>+(disponibilidad[[#This Row],[Fecha y hora fin]]-disponibilidad[[#This Row],[Fecha y hora inicio]])*1440</f>
        <v>0</v>
      </c>
    </row>
    <row r="1342" spans="6:6" ht="15">
      <c r="F1342" s="115">
        <f>+(disponibilidad[[#This Row],[Fecha y hora fin]]-disponibilidad[[#This Row],[Fecha y hora inicio]])*1440</f>
        <v>0</v>
      </c>
    </row>
    <row r="1343" spans="6:6" ht="15">
      <c r="F1343" s="115">
        <f>+(disponibilidad[[#This Row],[Fecha y hora fin]]-disponibilidad[[#This Row],[Fecha y hora inicio]])*1440</f>
        <v>0</v>
      </c>
    </row>
    <row r="1344" spans="6:6" ht="15">
      <c r="F1344" s="115">
        <f>+(disponibilidad[[#This Row],[Fecha y hora fin]]-disponibilidad[[#This Row],[Fecha y hora inicio]])*1440</f>
        <v>0</v>
      </c>
    </row>
    <row r="1345" spans="6:6" ht="15">
      <c r="F1345" s="115">
        <f>+(disponibilidad[[#This Row],[Fecha y hora fin]]-disponibilidad[[#This Row],[Fecha y hora inicio]])*1440</f>
        <v>0</v>
      </c>
    </row>
    <row r="1346" spans="6:6" ht="15">
      <c r="F1346" s="115">
        <f>+(disponibilidad[[#This Row],[Fecha y hora fin]]-disponibilidad[[#This Row],[Fecha y hora inicio]])*1440</f>
        <v>0</v>
      </c>
    </row>
    <row r="1347" spans="6:6" ht="15">
      <c r="F1347" s="115">
        <f>+(disponibilidad[[#This Row],[Fecha y hora fin]]-disponibilidad[[#This Row],[Fecha y hora inicio]])*1440</f>
        <v>0</v>
      </c>
    </row>
    <row r="1348" spans="6:6" ht="15">
      <c r="F1348" s="115">
        <f>+(disponibilidad[[#This Row],[Fecha y hora fin]]-disponibilidad[[#This Row],[Fecha y hora inicio]])*1440</f>
        <v>0</v>
      </c>
    </row>
    <row r="1349" spans="6:6" ht="15">
      <c r="F1349" s="115">
        <f>+(disponibilidad[[#This Row],[Fecha y hora fin]]-disponibilidad[[#This Row],[Fecha y hora inicio]])*1440</f>
        <v>0</v>
      </c>
    </row>
    <row r="1350" spans="6:6" ht="15">
      <c r="F1350" s="115">
        <f>+(disponibilidad[[#This Row],[Fecha y hora fin]]-disponibilidad[[#This Row],[Fecha y hora inicio]])*1440</f>
        <v>0</v>
      </c>
    </row>
    <row r="1351" spans="6:6" ht="15">
      <c r="F1351" s="115">
        <f>+(disponibilidad[[#This Row],[Fecha y hora fin]]-disponibilidad[[#This Row],[Fecha y hora inicio]])*1440</f>
        <v>0</v>
      </c>
    </row>
    <row r="1352" spans="6:6" ht="15">
      <c r="F1352" s="115">
        <f>+(disponibilidad[[#This Row],[Fecha y hora fin]]-disponibilidad[[#This Row],[Fecha y hora inicio]])*1440</f>
        <v>0</v>
      </c>
    </row>
    <row r="1353" spans="6:6" ht="15">
      <c r="F1353" s="115">
        <f>+(disponibilidad[[#This Row],[Fecha y hora fin]]-disponibilidad[[#This Row],[Fecha y hora inicio]])*1440</f>
        <v>0</v>
      </c>
    </row>
    <row r="1354" spans="6:6" ht="15">
      <c r="F1354" s="115">
        <f>+(disponibilidad[[#This Row],[Fecha y hora fin]]-disponibilidad[[#This Row],[Fecha y hora inicio]])*1440</f>
        <v>0</v>
      </c>
    </row>
    <row r="1355" spans="6:6" ht="15">
      <c r="F1355" s="115">
        <f>+(disponibilidad[[#This Row],[Fecha y hora fin]]-disponibilidad[[#This Row],[Fecha y hora inicio]])*1440</f>
        <v>0</v>
      </c>
    </row>
    <row r="1356" spans="6:6" ht="15">
      <c r="F1356" s="115">
        <f>+(disponibilidad[[#This Row],[Fecha y hora fin]]-disponibilidad[[#This Row],[Fecha y hora inicio]])*1440</f>
        <v>0</v>
      </c>
    </row>
    <row r="1357" spans="6:6" ht="15">
      <c r="F1357" s="115">
        <f>+(disponibilidad[[#This Row],[Fecha y hora fin]]-disponibilidad[[#This Row],[Fecha y hora inicio]])*1440</f>
        <v>0</v>
      </c>
    </row>
    <row r="1358" spans="6:6" ht="15">
      <c r="F1358" s="115">
        <f>+(disponibilidad[[#This Row],[Fecha y hora fin]]-disponibilidad[[#This Row],[Fecha y hora inicio]])*1440</f>
        <v>0</v>
      </c>
    </row>
    <row r="1359" spans="6:6" ht="15">
      <c r="F1359" s="115">
        <f>+(disponibilidad[[#This Row],[Fecha y hora fin]]-disponibilidad[[#This Row],[Fecha y hora inicio]])*1440</f>
        <v>0</v>
      </c>
    </row>
    <row r="1360" spans="6:6" ht="15">
      <c r="F1360" s="115">
        <f>+(disponibilidad[[#This Row],[Fecha y hora fin]]-disponibilidad[[#This Row],[Fecha y hora inicio]])*1440</f>
        <v>0</v>
      </c>
    </row>
    <row r="1361" spans="6:6" ht="15">
      <c r="F1361" s="115">
        <f>+(disponibilidad[[#This Row],[Fecha y hora fin]]-disponibilidad[[#This Row],[Fecha y hora inicio]])*1440</f>
        <v>0</v>
      </c>
    </row>
    <row r="1362" spans="6:6" ht="15">
      <c r="F1362" s="115">
        <f>+(disponibilidad[[#This Row],[Fecha y hora fin]]-disponibilidad[[#This Row],[Fecha y hora inicio]])*1440</f>
        <v>0</v>
      </c>
    </row>
    <row r="1363" spans="6:6" ht="15">
      <c r="F1363" s="115">
        <f>+(disponibilidad[[#This Row],[Fecha y hora fin]]-disponibilidad[[#This Row],[Fecha y hora inicio]])*1440</f>
        <v>0</v>
      </c>
    </row>
    <row r="1364" spans="6:6" ht="15">
      <c r="F1364" s="115">
        <f>+(disponibilidad[[#This Row],[Fecha y hora fin]]-disponibilidad[[#This Row],[Fecha y hora inicio]])*1440</f>
        <v>0</v>
      </c>
    </row>
    <row r="1365" spans="6:6" ht="15">
      <c r="F1365" s="115">
        <f>+(disponibilidad[[#This Row],[Fecha y hora fin]]-disponibilidad[[#This Row],[Fecha y hora inicio]])*1440</f>
        <v>0</v>
      </c>
    </row>
    <row r="1366" spans="6:6" ht="15">
      <c r="F1366" s="115">
        <f>+(disponibilidad[[#This Row],[Fecha y hora fin]]-disponibilidad[[#This Row],[Fecha y hora inicio]])*1440</f>
        <v>0</v>
      </c>
    </row>
    <row r="1367" spans="6:6" ht="15">
      <c r="F1367" s="115">
        <f>+(disponibilidad[[#This Row],[Fecha y hora fin]]-disponibilidad[[#This Row],[Fecha y hora inicio]])*1440</f>
        <v>0</v>
      </c>
    </row>
    <row r="1368" spans="6:6" ht="15">
      <c r="F1368" s="115">
        <f>+(disponibilidad[[#This Row],[Fecha y hora fin]]-disponibilidad[[#This Row],[Fecha y hora inicio]])*1440</f>
        <v>0</v>
      </c>
    </row>
    <row r="1369" spans="6:6" ht="15">
      <c r="F1369" s="115">
        <f>+(disponibilidad[[#This Row],[Fecha y hora fin]]-disponibilidad[[#This Row],[Fecha y hora inicio]])*1440</f>
        <v>0</v>
      </c>
    </row>
    <row r="1370" spans="6:6" ht="15">
      <c r="F1370" s="115">
        <f>+(disponibilidad[[#This Row],[Fecha y hora fin]]-disponibilidad[[#This Row],[Fecha y hora inicio]])*1440</f>
        <v>0</v>
      </c>
    </row>
    <row r="1371" spans="6:6" ht="15">
      <c r="F1371" s="115">
        <f>+(disponibilidad[[#This Row],[Fecha y hora fin]]-disponibilidad[[#This Row],[Fecha y hora inicio]])*1440</f>
        <v>0</v>
      </c>
    </row>
    <row r="1372" spans="6:6" ht="15">
      <c r="F1372" s="115">
        <f>+(disponibilidad[[#This Row],[Fecha y hora fin]]-disponibilidad[[#This Row],[Fecha y hora inicio]])*1440</f>
        <v>0</v>
      </c>
    </row>
    <row r="1373" spans="6:6" ht="15">
      <c r="F1373" s="115">
        <f>+(disponibilidad[[#This Row],[Fecha y hora fin]]-disponibilidad[[#This Row],[Fecha y hora inicio]])*1440</f>
        <v>0</v>
      </c>
    </row>
    <row r="1374" spans="6:6" ht="15">
      <c r="F1374" s="115">
        <f>+(disponibilidad[[#This Row],[Fecha y hora fin]]-disponibilidad[[#This Row],[Fecha y hora inicio]])*1440</f>
        <v>0</v>
      </c>
    </row>
    <row r="1375" spans="6:6" ht="15">
      <c r="F1375" s="115">
        <f>+(disponibilidad[[#This Row],[Fecha y hora fin]]-disponibilidad[[#This Row],[Fecha y hora inicio]])*1440</f>
        <v>0</v>
      </c>
    </row>
    <row r="1376" spans="6:6" ht="15">
      <c r="F1376" s="115">
        <f>+(disponibilidad[[#This Row],[Fecha y hora fin]]-disponibilidad[[#This Row],[Fecha y hora inicio]])*1440</f>
        <v>0</v>
      </c>
    </row>
    <row r="1377" spans="6:6" ht="15">
      <c r="F1377" s="115">
        <f>+(disponibilidad[[#This Row],[Fecha y hora fin]]-disponibilidad[[#This Row],[Fecha y hora inicio]])*1440</f>
        <v>0</v>
      </c>
    </row>
    <row r="1378" spans="6:6" ht="15">
      <c r="F1378" s="115">
        <f>+(disponibilidad[[#This Row],[Fecha y hora fin]]-disponibilidad[[#This Row],[Fecha y hora inicio]])*1440</f>
        <v>0</v>
      </c>
    </row>
    <row r="1379" spans="6:6" ht="15">
      <c r="F1379" s="115">
        <f>+(disponibilidad[[#This Row],[Fecha y hora fin]]-disponibilidad[[#This Row],[Fecha y hora inicio]])*1440</f>
        <v>0</v>
      </c>
    </row>
    <row r="1380" spans="6:6" ht="15">
      <c r="F1380" s="115">
        <f>+(disponibilidad[[#This Row],[Fecha y hora fin]]-disponibilidad[[#This Row],[Fecha y hora inicio]])*1440</f>
        <v>0</v>
      </c>
    </row>
    <row r="1381" spans="6:6" ht="15">
      <c r="F1381" s="115">
        <f>+(disponibilidad[[#This Row],[Fecha y hora fin]]-disponibilidad[[#This Row],[Fecha y hora inicio]])*1440</f>
        <v>0</v>
      </c>
    </row>
    <row r="1382" spans="6:6" ht="15">
      <c r="F1382" s="115">
        <f>+(disponibilidad[[#This Row],[Fecha y hora fin]]-disponibilidad[[#This Row],[Fecha y hora inicio]])*1440</f>
        <v>0</v>
      </c>
    </row>
    <row r="1383" spans="6:6" ht="15">
      <c r="F1383" s="115">
        <f>+(disponibilidad[[#This Row],[Fecha y hora fin]]-disponibilidad[[#This Row],[Fecha y hora inicio]])*1440</f>
        <v>0</v>
      </c>
    </row>
    <row r="1384" spans="6:6" ht="15">
      <c r="F1384" s="115">
        <f>+(disponibilidad[[#This Row],[Fecha y hora fin]]-disponibilidad[[#This Row],[Fecha y hora inicio]])*1440</f>
        <v>0</v>
      </c>
    </row>
    <row r="1385" spans="6:6" ht="15">
      <c r="F1385" s="115">
        <f>+(disponibilidad[[#This Row],[Fecha y hora fin]]-disponibilidad[[#This Row],[Fecha y hora inicio]])*1440</f>
        <v>0</v>
      </c>
    </row>
    <row r="1386" spans="6:6" ht="15">
      <c r="F1386" s="115">
        <f>+(disponibilidad[[#This Row],[Fecha y hora fin]]-disponibilidad[[#This Row],[Fecha y hora inicio]])*1440</f>
        <v>0</v>
      </c>
    </row>
    <row r="1387" spans="6:6" ht="15">
      <c r="F1387" s="115">
        <f>+(disponibilidad[[#This Row],[Fecha y hora fin]]-disponibilidad[[#This Row],[Fecha y hora inicio]])*1440</f>
        <v>0</v>
      </c>
    </row>
    <row r="1388" spans="6:6" ht="15">
      <c r="F1388" s="115">
        <f>+(disponibilidad[[#This Row],[Fecha y hora fin]]-disponibilidad[[#This Row],[Fecha y hora inicio]])*1440</f>
        <v>0</v>
      </c>
    </row>
    <row r="1389" spans="6:6" ht="15">
      <c r="F1389" s="115">
        <f>+(disponibilidad[[#This Row],[Fecha y hora fin]]-disponibilidad[[#This Row],[Fecha y hora inicio]])*1440</f>
        <v>0</v>
      </c>
    </row>
    <row r="1390" spans="6:6" ht="15">
      <c r="F1390" s="115">
        <f>+(disponibilidad[[#This Row],[Fecha y hora fin]]-disponibilidad[[#This Row],[Fecha y hora inicio]])*1440</f>
        <v>0</v>
      </c>
    </row>
    <row r="1391" spans="6:6" ht="15">
      <c r="F1391" s="115">
        <f>+(disponibilidad[[#This Row],[Fecha y hora fin]]-disponibilidad[[#This Row],[Fecha y hora inicio]])*1440</f>
        <v>0</v>
      </c>
    </row>
    <row r="1392" spans="6:6" ht="15">
      <c r="F1392" s="115">
        <f>+(disponibilidad[[#This Row],[Fecha y hora fin]]-disponibilidad[[#This Row],[Fecha y hora inicio]])*1440</f>
        <v>0</v>
      </c>
    </row>
    <row r="1393" spans="6:6" ht="15">
      <c r="F1393" s="115">
        <f>+(disponibilidad[[#This Row],[Fecha y hora fin]]-disponibilidad[[#This Row],[Fecha y hora inicio]])*1440</f>
        <v>0</v>
      </c>
    </row>
    <row r="1394" spans="6:6" ht="15">
      <c r="F1394" s="115">
        <f>+(disponibilidad[[#This Row],[Fecha y hora fin]]-disponibilidad[[#This Row],[Fecha y hora inicio]])*1440</f>
        <v>0</v>
      </c>
    </row>
    <row r="1395" spans="6:6" ht="15">
      <c r="F1395" s="115">
        <f>+(disponibilidad[[#This Row],[Fecha y hora fin]]-disponibilidad[[#This Row],[Fecha y hora inicio]])*1440</f>
        <v>0</v>
      </c>
    </row>
    <row r="1396" spans="6:6" ht="15">
      <c r="F1396" s="115">
        <f>+(disponibilidad[[#This Row],[Fecha y hora fin]]-disponibilidad[[#This Row],[Fecha y hora inicio]])*1440</f>
        <v>0</v>
      </c>
    </row>
    <row r="1397" spans="6:6" ht="15">
      <c r="F1397" s="115">
        <f>+(disponibilidad[[#This Row],[Fecha y hora fin]]-disponibilidad[[#This Row],[Fecha y hora inicio]])*1440</f>
        <v>0</v>
      </c>
    </row>
    <row r="1398" spans="6:6" ht="15">
      <c r="F1398" s="115">
        <f>+(disponibilidad[[#This Row],[Fecha y hora fin]]-disponibilidad[[#This Row],[Fecha y hora inicio]])*1440</f>
        <v>0</v>
      </c>
    </row>
    <row r="1399" spans="6:6" ht="15">
      <c r="F1399" s="115">
        <f>+(disponibilidad[[#This Row],[Fecha y hora fin]]-disponibilidad[[#This Row],[Fecha y hora inicio]])*1440</f>
        <v>0</v>
      </c>
    </row>
    <row r="1400" spans="6:6" ht="15">
      <c r="F1400" s="115">
        <f>+(disponibilidad[[#This Row],[Fecha y hora fin]]-disponibilidad[[#This Row],[Fecha y hora inicio]])*1440</f>
        <v>0</v>
      </c>
    </row>
    <row r="1401" spans="6:6" ht="15">
      <c r="F1401" s="115">
        <f>+(disponibilidad[[#This Row],[Fecha y hora fin]]-disponibilidad[[#This Row],[Fecha y hora inicio]])*1440</f>
        <v>0</v>
      </c>
    </row>
    <row r="1402" spans="6:6" ht="15">
      <c r="F1402" s="115">
        <f>+(disponibilidad[[#This Row],[Fecha y hora fin]]-disponibilidad[[#This Row],[Fecha y hora inicio]])*1440</f>
        <v>0</v>
      </c>
    </row>
    <row r="1403" spans="6:6" ht="15">
      <c r="F1403" s="115">
        <f>+(disponibilidad[[#This Row],[Fecha y hora fin]]-disponibilidad[[#This Row],[Fecha y hora inicio]])*1440</f>
        <v>0</v>
      </c>
    </row>
    <row r="1404" spans="6:6" ht="15">
      <c r="F1404" s="115">
        <f>+(disponibilidad[[#This Row],[Fecha y hora fin]]-disponibilidad[[#This Row],[Fecha y hora inicio]])*1440</f>
        <v>0</v>
      </c>
    </row>
    <row r="1405" spans="6:6" ht="15">
      <c r="F1405" s="115">
        <f>+(disponibilidad[[#This Row],[Fecha y hora fin]]-disponibilidad[[#This Row],[Fecha y hora inicio]])*1440</f>
        <v>0</v>
      </c>
    </row>
    <row r="1406" spans="6:6" ht="15">
      <c r="F1406" s="115">
        <f>+(disponibilidad[[#This Row],[Fecha y hora fin]]-disponibilidad[[#This Row],[Fecha y hora inicio]])*1440</f>
        <v>0</v>
      </c>
    </row>
    <row r="1407" spans="6:6" ht="15">
      <c r="F1407" s="115">
        <f>+(disponibilidad[[#This Row],[Fecha y hora fin]]-disponibilidad[[#This Row],[Fecha y hora inicio]])*1440</f>
        <v>0</v>
      </c>
    </row>
    <row r="1408" spans="6:6" ht="15">
      <c r="F1408" s="115">
        <f>+(disponibilidad[[#This Row],[Fecha y hora fin]]-disponibilidad[[#This Row],[Fecha y hora inicio]])*1440</f>
        <v>0</v>
      </c>
    </row>
    <row r="1409" spans="6:6" ht="15">
      <c r="F1409" s="115">
        <f>+(disponibilidad[[#This Row],[Fecha y hora fin]]-disponibilidad[[#This Row],[Fecha y hora inicio]])*1440</f>
        <v>0</v>
      </c>
    </row>
    <row r="1410" spans="6:6" ht="15">
      <c r="F1410" s="115">
        <f>+(disponibilidad[[#This Row],[Fecha y hora fin]]-disponibilidad[[#This Row],[Fecha y hora inicio]])*1440</f>
        <v>0</v>
      </c>
    </row>
    <row r="1411" spans="6:6" ht="15">
      <c r="F1411" s="115">
        <f>+(disponibilidad[[#This Row],[Fecha y hora fin]]-disponibilidad[[#This Row],[Fecha y hora inicio]])*1440</f>
        <v>0</v>
      </c>
    </row>
    <row r="1412" spans="6:6" ht="15">
      <c r="F1412" s="115">
        <f>+(disponibilidad[[#This Row],[Fecha y hora fin]]-disponibilidad[[#This Row],[Fecha y hora inicio]])*1440</f>
        <v>0</v>
      </c>
    </row>
    <row r="1413" spans="6:6" ht="15">
      <c r="F1413" s="115">
        <f>+(disponibilidad[[#This Row],[Fecha y hora fin]]-disponibilidad[[#This Row],[Fecha y hora inicio]])*1440</f>
        <v>0</v>
      </c>
    </row>
    <row r="1414" spans="6:6" ht="15">
      <c r="F1414" s="115">
        <f>+(disponibilidad[[#This Row],[Fecha y hora fin]]-disponibilidad[[#This Row],[Fecha y hora inicio]])*1440</f>
        <v>0</v>
      </c>
    </row>
    <row r="1415" spans="6:6" ht="15">
      <c r="F1415" s="115">
        <f>+(disponibilidad[[#This Row],[Fecha y hora fin]]-disponibilidad[[#This Row],[Fecha y hora inicio]])*1440</f>
        <v>0</v>
      </c>
    </row>
    <row r="1416" spans="6:6" ht="15">
      <c r="F1416" s="115">
        <f>+(disponibilidad[[#This Row],[Fecha y hora fin]]-disponibilidad[[#This Row],[Fecha y hora inicio]])*1440</f>
        <v>0</v>
      </c>
    </row>
    <row r="1417" spans="6:6" ht="15">
      <c r="F1417" s="115">
        <f>+(disponibilidad[[#This Row],[Fecha y hora fin]]-disponibilidad[[#This Row],[Fecha y hora inicio]])*1440</f>
        <v>0</v>
      </c>
    </row>
    <row r="1418" spans="6:6" ht="15">
      <c r="F1418" s="115">
        <f>+(disponibilidad[[#This Row],[Fecha y hora fin]]-disponibilidad[[#This Row],[Fecha y hora inicio]])*1440</f>
        <v>0</v>
      </c>
    </row>
    <row r="1419" spans="6:6" ht="15">
      <c r="F1419" s="115">
        <f>+(disponibilidad[[#This Row],[Fecha y hora fin]]-disponibilidad[[#This Row],[Fecha y hora inicio]])*1440</f>
        <v>0</v>
      </c>
    </row>
    <row r="1420" spans="6:6" ht="15">
      <c r="F1420" s="115">
        <f>+(disponibilidad[[#This Row],[Fecha y hora fin]]-disponibilidad[[#This Row],[Fecha y hora inicio]])*1440</f>
        <v>0</v>
      </c>
    </row>
    <row r="1421" spans="6:6" ht="15">
      <c r="F1421" s="115">
        <f>+(disponibilidad[[#This Row],[Fecha y hora fin]]-disponibilidad[[#This Row],[Fecha y hora inicio]])*1440</f>
        <v>0</v>
      </c>
    </row>
    <row r="1422" spans="6:6" ht="15">
      <c r="F1422" s="115">
        <f>+(disponibilidad[[#This Row],[Fecha y hora fin]]-disponibilidad[[#This Row],[Fecha y hora inicio]])*1440</f>
        <v>0</v>
      </c>
    </row>
    <row r="1423" spans="6:6" ht="15">
      <c r="F1423" s="115">
        <f>+(disponibilidad[[#This Row],[Fecha y hora fin]]-disponibilidad[[#This Row],[Fecha y hora inicio]])*1440</f>
        <v>0</v>
      </c>
    </row>
    <row r="1424" spans="6:6" ht="15">
      <c r="F1424" s="115">
        <f>+(disponibilidad[[#This Row],[Fecha y hora fin]]-disponibilidad[[#This Row],[Fecha y hora inicio]])*1440</f>
        <v>0</v>
      </c>
    </row>
    <row r="1425" spans="6:6" ht="15">
      <c r="F1425" s="115">
        <f>+(disponibilidad[[#This Row],[Fecha y hora fin]]-disponibilidad[[#This Row],[Fecha y hora inicio]])*1440</f>
        <v>0</v>
      </c>
    </row>
    <row r="1426" spans="6:6" ht="15">
      <c r="F1426" s="115">
        <f>+(disponibilidad[[#This Row],[Fecha y hora fin]]-disponibilidad[[#This Row],[Fecha y hora inicio]])*1440</f>
        <v>0</v>
      </c>
    </row>
    <row r="1427" spans="6:6" ht="15">
      <c r="F1427" s="115">
        <f>+(disponibilidad[[#This Row],[Fecha y hora fin]]-disponibilidad[[#This Row],[Fecha y hora inicio]])*1440</f>
        <v>0</v>
      </c>
    </row>
    <row r="1428" spans="6:6" ht="15">
      <c r="F1428" s="115">
        <f>+(disponibilidad[[#This Row],[Fecha y hora fin]]-disponibilidad[[#This Row],[Fecha y hora inicio]])*1440</f>
        <v>0</v>
      </c>
    </row>
    <row r="1429" spans="6:6" ht="15">
      <c r="F1429" s="115">
        <f>+(disponibilidad[[#This Row],[Fecha y hora fin]]-disponibilidad[[#This Row],[Fecha y hora inicio]])*1440</f>
        <v>0</v>
      </c>
    </row>
    <row r="1430" spans="6:6" ht="15">
      <c r="F1430" s="115">
        <f>+(disponibilidad[[#This Row],[Fecha y hora fin]]-disponibilidad[[#This Row],[Fecha y hora inicio]])*1440</f>
        <v>0</v>
      </c>
    </row>
    <row r="1431" spans="6:6" ht="15">
      <c r="F1431" s="115">
        <f>+(disponibilidad[[#This Row],[Fecha y hora fin]]-disponibilidad[[#This Row],[Fecha y hora inicio]])*1440</f>
        <v>0</v>
      </c>
    </row>
    <row r="1432" spans="6:6" ht="15">
      <c r="F1432" s="115">
        <f>+(disponibilidad[[#This Row],[Fecha y hora fin]]-disponibilidad[[#This Row],[Fecha y hora inicio]])*1440</f>
        <v>0</v>
      </c>
    </row>
    <row r="1433" spans="6:6" ht="15">
      <c r="F1433" s="115">
        <f>+(disponibilidad[[#This Row],[Fecha y hora fin]]-disponibilidad[[#This Row],[Fecha y hora inicio]])*1440</f>
        <v>0</v>
      </c>
    </row>
    <row r="1434" spans="6:6" ht="15">
      <c r="F1434" s="115">
        <f>+(disponibilidad[[#This Row],[Fecha y hora fin]]-disponibilidad[[#This Row],[Fecha y hora inicio]])*1440</f>
        <v>0</v>
      </c>
    </row>
    <row r="1435" spans="6:6" ht="15">
      <c r="F1435" s="115">
        <f>+(disponibilidad[[#This Row],[Fecha y hora fin]]-disponibilidad[[#This Row],[Fecha y hora inicio]])*1440</f>
        <v>0</v>
      </c>
    </row>
    <row r="1436" spans="6:6" ht="15">
      <c r="F1436" s="115">
        <f>+(disponibilidad[[#This Row],[Fecha y hora fin]]-disponibilidad[[#This Row],[Fecha y hora inicio]])*1440</f>
        <v>0</v>
      </c>
    </row>
    <row r="1437" spans="6:6" ht="15">
      <c r="F1437" s="115">
        <f>+(disponibilidad[[#This Row],[Fecha y hora fin]]-disponibilidad[[#This Row],[Fecha y hora inicio]])*1440</f>
        <v>0</v>
      </c>
    </row>
    <row r="1438" spans="6:6" ht="15">
      <c r="F1438" s="115">
        <f>+(disponibilidad[[#This Row],[Fecha y hora fin]]-disponibilidad[[#This Row],[Fecha y hora inicio]])*1440</f>
        <v>0</v>
      </c>
    </row>
    <row r="1439" spans="6:6" ht="15">
      <c r="F1439" s="115">
        <f>+(disponibilidad[[#This Row],[Fecha y hora fin]]-disponibilidad[[#This Row],[Fecha y hora inicio]])*1440</f>
        <v>0</v>
      </c>
    </row>
    <row r="1440" spans="6:6" ht="15">
      <c r="F1440" s="115">
        <f>+(disponibilidad[[#This Row],[Fecha y hora fin]]-disponibilidad[[#This Row],[Fecha y hora inicio]])*1440</f>
        <v>0</v>
      </c>
    </row>
    <row r="1441" spans="6:6" ht="15">
      <c r="F1441" s="115">
        <f>+(disponibilidad[[#This Row],[Fecha y hora fin]]-disponibilidad[[#This Row],[Fecha y hora inicio]])*1440</f>
        <v>0</v>
      </c>
    </row>
    <row r="1442" spans="6:6" ht="15">
      <c r="F1442" s="115">
        <f>+(disponibilidad[[#This Row],[Fecha y hora fin]]-disponibilidad[[#This Row],[Fecha y hora inicio]])*1440</f>
        <v>0</v>
      </c>
    </row>
    <row r="1443" spans="6:6" ht="15">
      <c r="F1443" s="115">
        <f>+(disponibilidad[[#This Row],[Fecha y hora fin]]-disponibilidad[[#This Row],[Fecha y hora inicio]])*1440</f>
        <v>0</v>
      </c>
    </row>
    <row r="1444" spans="6:6" ht="15">
      <c r="F1444" s="115">
        <f>+(disponibilidad[[#This Row],[Fecha y hora fin]]-disponibilidad[[#This Row],[Fecha y hora inicio]])*1440</f>
        <v>0</v>
      </c>
    </row>
    <row r="1445" spans="6:6" ht="15">
      <c r="F1445" s="115">
        <f>+(disponibilidad[[#This Row],[Fecha y hora fin]]-disponibilidad[[#This Row],[Fecha y hora inicio]])*1440</f>
        <v>0</v>
      </c>
    </row>
    <row r="1446" spans="6:6" ht="15">
      <c r="F1446" s="115">
        <f>+(disponibilidad[[#This Row],[Fecha y hora fin]]-disponibilidad[[#This Row],[Fecha y hora inicio]])*1440</f>
        <v>0</v>
      </c>
    </row>
    <row r="1447" spans="6:6" ht="15">
      <c r="F1447" s="115">
        <f>+(disponibilidad[[#This Row],[Fecha y hora fin]]-disponibilidad[[#This Row],[Fecha y hora inicio]])*1440</f>
        <v>0</v>
      </c>
    </row>
    <row r="1448" spans="6:6" ht="15">
      <c r="F1448" s="115">
        <f>+(disponibilidad[[#This Row],[Fecha y hora fin]]-disponibilidad[[#This Row],[Fecha y hora inicio]])*1440</f>
        <v>0</v>
      </c>
    </row>
    <row r="1449" spans="6:6" ht="15">
      <c r="F1449" s="115">
        <f>+(disponibilidad[[#This Row],[Fecha y hora fin]]-disponibilidad[[#This Row],[Fecha y hora inicio]])*1440</f>
        <v>0</v>
      </c>
    </row>
    <row r="1450" spans="6:6" ht="15">
      <c r="F1450" s="115">
        <f>+(disponibilidad[[#This Row],[Fecha y hora fin]]-disponibilidad[[#This Row],[Fecha y hora inicio]])*1440</f>
        <v>0</v>
      </c>
    </row>
    <row r="1451" spans="6:6" ht="15">
      <c r="F1451" s="115">
        <f>+(disponibilidad[[#This Row],[Fecha y hora fin]]-disponibilidad[[#This Row],[Fecha y hora inicio]])*1440</f>
        <v>0</v>
      </c>
    </row>
    <row r="1452" spans="6:6" ht="15">
      <c r="F1452" s="115">
        <f>+(disponibilidad[[#This Row],[Fecha y hora fin]]-disponibilidad[[#This Row],[Fecha y hora inicio]])*1440</f>
        <v>0</v>
      </c>
    </row>
    <row r="1453" spans="6:6" ht="15">
      <c r="F1453" s="115">
        <f>+(disponibilidad[[#This Row],[Fecha y hora fin]]-disponibilidad[[#This Row],[Fecha y hora inicio]])*1440</f>
        <v>0</v>
      </c>
    </row>
    <row r="1454" spans="6:6" ht="15">
      <c r="F1454" s="115">
        <f>+(disponibilidad[[#This Row],[Fecha y hora fin]]-disponibilidad[[#This Row],[Fecha y hora inicio]])*1440</f>
        <v>0</v>
      </c>
    </row>
    <row r="1455" spans="6:6" ht="15">
      <c r="F1455" s="115">
        <f>+(disponibilidad[[#This Row],[Fecha y hora fin]]-disponibilidad[[#This Row],[Fecha y hora inicio]])*1440</f>
        <v>0</v>
      </c>
    </row>
    <row r="1456" spans="6:6" ht="15">
      <c r="F1456" s="115">
        <f>+(disponibilidad[[#This Row],[Fecha y hora fin]]-disponibilidad[[#This Row],[Fecha y hora inicio]])*1440</f>
        <v>0</v>
      </c>
    </row>
    <row r="1457" spans="6:6" ht="15">
      <c r="F1457" s="115">
        <f>+(disponibilidad[[#This Row],[Fecha y hora fin]]-disponibilidad[[#This Row],[Fecha y hora inicio]])*1440</f>
        <v>0</v>
      </c>
    </row>
    <row r="1458" spans="6:6" ht="15">
      <c r="F1458" s="115">
        <f>+(disponibilidad[[#This Row],[Fecha y hora fin]]-disponibilidad[[#This Row],[Fecha y hora inicio]])*1440</f>
        <v>0</v>
      </c>
    </row>
    <row r="1459" spans="6:6" ht="15">
      <c r="F1459" s="115">
        <f>+(disponibilidad[[#This Row],[Fecha y hora fin]]-disponibilidad[[#This Row],[Fecha y hora inicio]])*1440</f>
        <v>0</v>
      </c>
    </row>
    <row r="1460" spans="6:6" ht="15">
      <c r="F1460" s="115">
        <f>+(disponibilidad[[#This Row],[Fecha y hora fin]]-disponibilidad[[#This Row],[Fecha y hora inicio]])*1440</f>
        <v>0</v>
      </c>
    </row>
    <row r="1461" spans="6:6" ht="15">
      <c r="F1461" s="115">
        <f>+(disponibilidad[[#This Row],[Fecha y hora fin]]-disponibilidad[[#This Row],[Fecha y hora inicio]])*1440</f>
        <v>0</v>
      </c>
    </row>
    <row r="1462" spans="6:6" ht="15">
      <c r="F1462" s="115">
        <f>+(disponibilidad[[#This Row],[Fecha y hora fin]]-disponibilidad[[#This Row],[Fecha y hora inicio]])*1440</f>
        <v>0</v>
      </c>
    </row>
    <row r="1463" spans="6:6" ht="15">
      <c r="F1463" s="115">
        <f>+(disponibilidad[[#This Row],[Fecha y hora fin]]-disponibilidad[[#This Row],[Fecha y hora inicio]])*1440</f>
        <v>0</v>
      </c>
    </row>
    <row r="1464" spans="6:6" ht="15">
      <c r="F1464" s="115">
        <f>+(disponibilidad[[#This Row],[Fecha y hora fin]]-disponibilidad[[#This Row],[Fecha y hora inicio]])*1440</f>
        <v>0</v>
      </c>
    </row>
    <row r="1465" spans="6:6" ht="15">
      <c r="F1465" s="115">
        <f>+(disponibilidad[[#This Row],[Fecha y hora fin]]-disponibilidad[[#This Row],[Fecha y hora inicio]])*1440</f>
        <v>0</v>
      </c>
    </row>
    <row r="1466" spans="6:6" ht="15">
      <c r="F1466" s="115">
        <f>+(disponibilidad[[#This Row],[Fecha y hora fin]]-disponibilidad[[#This Row],[Fecha y hora inicio]])*1440</f>
        <v>0</v>
      </c>
    </row>
    <row r="1467" spans="6:6" ht="15">
      <c r="F1467" s="115">
        <f>+(disponibilidad[[#This Row],[Fecha y hora fin]]-disponibilidad[[#This Row],[Fecha y hora inicio]])*1440</f>
        <v>0</v>
      </c>
    </row>
    <row r="1468" spans="6:6" ht="15">
      <c r="F1468" s="115">
        <f>+(disponibilidad[[#This Row],[Fecha y hora fin]]-disponibilidad[[#This Row],[Fecha y hora inicio]])*1440</f>
        <v>0</v>
      </c>
    </row>
    <row r="1469" spans="6:6" ht="15">
      <c r="F1469" s="115">
        <f>+(disponibilidad[[#This Row],[Fecha y hora fin]]-disponibilidad[[#This Row],[Fecha y hora inicio]])*1440</f>
        <v>0</v>
      </c>
    </row>
    <row r="1470" spans="6:6" ht="15">
      <c r="F1470" s="115">
        <f>+(disponibilidad[[#This Row],[Fecha y hora fin]]-disponibilidad[[#This Row],[Fecha y hora inicio]])*1440</f>
        <v>0</v>
      </c>
    </row>
    <row r="1471" spans="6:6" ht="15">
      <c r="F1471" s="115">
        <f>+(disponibilidad[[#This Row],[Fecha y hora fin]]-disponibilidad[[#This Row],[Fecha y hora inicio]])*1440</f>
        <v>0</v>
      </c>
    </row>
    <row r="1472" spans="6:6" ht="15">
      <c r="F1472" s="115">
        <f>+(disponibilidad[[#This Row],[Fecha y hora fin]]-disponibilidad[[#This Row],[Fecha y hora inicio]])*1440</f>
        <v>0</v>
      </c>
    </row>
    <row r="1473" spans="6:6" ht="15">
      <c r="F1473" s="115">
        <f>+(disponibilidad[[#This Row],[Fecha y hora fin]]-disponibilidad[[#This Row],[Fecha y hora inicio]])*1440</f>
        <v>0</v>
      </c>
    </row>
    <row r="1474" spans="6:6" ht="15">
      <c r="F1474" s="115">
        <f>+(disponibilidad[[#This Row],[Fecha y hora fin]]-disponibilidad[[#This Row],[Fecha y hora inicio]])*1440</f>
        <v>0</v>
      </c>
    </row>
    <row r="1475" spans="6:6" ht="15">
      <c r="F1475" s="115">
        <f>+(disponibilidad[[#This Row],[Fecha y hora fin]]-disponibilidad[[#This Row],[Fecha y hora inicio]])*1440</f>
        <v>0</v>
      </c>
    </row>
    <row r="1476" spans="6:6" ht="15">
      <c r="F1476" s="115">
        <f>+(disponibilidad[[#This Row],[Fecha y hora fin]]-disponibilidad[[#This Row],[Fecha y hora inicio]])*1440</f>
        <v>0</v>
      </c>
    </row>
    <row r="1477" spans="6:6" ht="15">
      <c r="F1477" s="115">
        <f>+(disponibilidad[[#This Row],[Fecha y hora fin]]-disponibilidad[[#This Row],[Fecha y hora inicio]])*1440</f>
        <v>0</v>
      </c>
    </row>
    <row r="1478" spans="6:6" ht="15">
      <c r="F1478" s="115">
        <f>+(disponibilidad[[#This Row],[Fecha y hora fin]]-disponibilidad[[#This Row],[Fecha y hora inicio]])*1440</f>
        <v>0</v>
      </c>
    </row>
    <row r="1479" spans="6:6" ht="15">
      <c r="F1479" s="115">
        <f>+(disponibilidad[[#This Row],[Fecha y hora fin]]-disponibilidad[[#This Row],[Fecha y hora inicio]])*1440</f>
        <v>0</v>
      </c>
    </row>
    <row r="1480" spans="6:6" ht="15">
      <c r="F1480" s="115">
        <f>+(disponibilidad[[#This Row],[Fecha y hora fin]]-disponibilidad[[#This Row],[Fecha y hora inicio]])*1440</f>
        <v>0</v>
      </c>
    </row>
    <row r="1481" spans="6:6" ht="15">
      <c r="F1481" s="115">
        <f>+(disponibilidad[[#This Row],[Fecha y hora fin]]-disponibilidad[[#This Row],[Fecha y hora inicio]])*1440</f>
        <v>0</v>
      </c>
    </row>
    <row r="1482" spans="6:6" ht="15">
      <c r="F1482" s="115">
        <f>+(disponibilidad[[#This Row],[Fecha y hora fin]]-disponibilidad[[#This Row],[Fecha y hora inicio]])*1440</f>
        <v>0</v>
      </c>
    </row>
    <row r="1483" spans="6:6" ht="15">
      <c r="F1483" s="115">
        <f>+(disponibilidad[[#This Row],[Fecha y hora fin]]-disponibilidad[[#This Row],[Fecha y hora inicio]])*1440</f>
        <v>0</v>
      </c>
    </row>
    <row r="1484" spans="6:6" ht="15">
      <c r="F1484" s="115">
        <f>+(disponibilidad[[#This Row],[Fecha y hora fin]]-disponibilidad[[#This Row],[Fecha y hora inicio]])*1440</f>
        <v>0</v>
      </c>
    </row>
    <row r="1485" spans="6:6" ht="15">
      <c r="F1485" s="115">
        <f>+(disponibilidad[[#This Row],[Fecha y hora fin]]-disponibilidad[[#This Row],[Fecha y hora inicio]])*1440</f>
        <v>0</v>
      </c>
    </row>
    <row r="1486" spans="6:6" ht="15">
      <c r="F1486" s="115">
        <f>+(disponibilidad[[#This Row],[Fecha y hora fin]]-disponibilidad[[#This Row],[Fecha y hora inicio]])*1440</f>
        <v>0</v>
      </c>
    </row>
    <row r="1487" spans="6:6" ht="15">
      <c r="F1487" s="115">
        <f>+(disponibilidad[[#This Row],[Fecha y hora fin]]-disponibilidad[[#This Row],[Fecha y hora inicio]])*1440</f>
        <v>0</v>
      </c>
    </row>
    <row r="1488" spans="6:6" ht="15">
      <c r="F1488" s="115">
        <f>+(disponibilidad[[#This Row],[Fecha y hora fin]]-disponibilidad[[#This Row],[Fecha y hora inicio]])*1440</f>
        <v>0</v>
      </c>
    </row>
    <row r="1489" spans="6:6" ht="15">
      <c r="F1489" s="115">
        <f>+(disponibilidad[[#This Row],[Fecha y hora fin]]-disponibilidad[[#This Row],[Fecha y hora inicio]])*1440</f>
        <v>0</v>
      </c>
    </row>
    <row r="1490" spans="6:6" ht="15">
      <c r="F1490" s="115">
        <f>+(disponibilidad[[#This Row],[Fecha y hora fin]]-disponibilidad[[#This Row],[Fecha y hora inicio]])*1440</f>
        <v>0</v>
      </c>
    </row>
    <row r="1491" spans="6:6" ht="15">
      <c r="F1491" s="115">
        <f>+(disponibilidad[[#This Row],[Fecha y hora fin]]-disponibilidad[[#This Row],[Fecha y hora inicio]])*1440</f>
        <v>0</v>
      </c>
    </row>
    <row r="1492" spans="6:6" ht="15">
      <c r="F1492" s="115">
        <f>+(disponibilidad[[#This Row],[Fecha y hora fin]]-disponibilidad[[#This Row],[Fecha y hora inicio]])*1440</f>
        <v>0</v>
      </c>
    </row>
    <row r="1493" spans="6:6" ht="15">
      <c r="F1493" s="115">
        <f>+(disponibilidad[[#This Row],[Fecha y hora fin]]-disponibilidad[[#This Row],[Fecha y hora inicio]])*1440</f>
        <v>0</v>
      </c>
    </row>
    <row r="1494" spans="6:6" ht="15">
      <c r="F1494" s="115">
        <f>+(disponibilidad[[#This Row],[Fecha y hora fin]]-disponibilidad[[#This Row],[Fecha y hora inicio]])*1440</f>
        <v>0</v>
      </c>
    </row>
    <row r="1495" spans="6:6" ht="15">
      <c r="F1495" s="115">
        <f>+(disponibilidad[[#This Row],[Fecha y hora fin]]-disponibilidad[[#This Row],[Fecha y hora inicio]])*1440</f>
        <v>0</v>
      </c>
    </row>
    <row r="1496" spans="6:6" ht="15">
      <c r="F1496" s="115">
        <f>+(disponibilidad[[#This Row],[Fecha y hora fin]]-disponibilidad[[#This Row],[Fecha y hora inicio]])*1440</f>
        <v>0</v>
      </c>
    </row>
    <row r="1497" spans="6:6" ht="15">
      <c r="F1497" s="115">
        <f>+(disponibilidad[[#This Row],[Fecha y hora fin]]-disponibilidad[[#This Row],[Fecha y hora inicio]])*1440</f>
        <v>0</v>
      </c>
    </row>
    <row r="1498" spans="6:6" ht="15">
      <c r="F1498" s="115">
        <f>+(disponibilidad[[#This Row],[Fecha y hora fin]]-disponibilidad[[#This Row],[Fecha y hora inicio]])*1440</f>
        <v>0</v>
      </c>
    </row>
    <row r="1499" spans="6:6" ht="15">
      <c r="F1499" s="115">
        <f>+(disponibilidad[[#This Row],[Fecha y hora fin]]-disponibilidad[[#This Row],[Fecha y hora inicio]])*1440</f>
        <v>0</v>
      </c>
    </row>
    <row r="1500" spans="6:6" ht="15">
      <c r="F1500" s="115">
        <f>+(disponibilidad[[#This Row],[Fecha y hora fin]]-disponibilidad[[#This Row],[Fecha y hora inicio]])*1440</f>
        <v>0</v>
      </c>
    </row>
    <row r="1501" spans="6:6" ht="15">
      <c r="F1501" s="115">
        <f>+(disponibilidad[[#This Row],[Fecha y hora fin]]-disponibilidad[[#This Row],[Fecha y hora inicio]])*1440</f>
        <v>0</v>
      </c>
    </row>
    <row r="1502" spans="6:6" ht="15">
      <c r="F1502" s="115">
        <f>+(disponibilidad[[#This Row],[Fecha y hora fin]]-disponibilidad[[#This Row],[Fecha y hora inicio]])*1440</f>
        <v>0</v>
      </c>
    </row>
    <row r="1503" spans="6:6" ht="15">
      <c r="F1503" s="115">
        <f>+(disponibilidad[[#This Row],[Fecha y hora fin]]-disponibilidad[[#This Row],[Fecha y hora inicio]])*1440</f>
        <v>0</v>
      </c>
    </row>
    <row r="1504" spans="6:6" ht="15">
      <c r="F1504" s="115">
        <f>+(disponibilidad[[#This Row],[Fecha y hora fin]]-disponibilidad[[#This Row],[Fecha y hora inicio]])*1440</f>
        <v>0</v>
      </c>
    </row>
    <row r="1505" spans="6:6" ht="15">
      <c r="F1505" s="115">
        <f>+(disponibilidad[[#This Row],[Fecha y hora fin]]-disponibilidad[[#This Row],[Fecha y hora inicio]])*1440</f>
        <v>0</v>
      </c>
    </row>
    <row r="1506" spans="6:6" ht="15">
      <c r="F1506" s="115">
        <f>+(disponibilidad[[#This Row],[Fecha y hora fin]]-disponibilidad[[#This Row],[Fecha y hora inicio]])*1440</f>
        <v>0</v>
      </c>
    </row>
    <row r="1507" spans="6:6" ht="15">
      <c r="F1507" s="115">
        <f>+(disponibilidad[[#This Row],[Fecha y hora fin]]-disponibilidad[[#This Row],[Fecha y hora inicio]])*1440</f>
        <v>0</v>
      </c>
    </row>
    <row r="1508" spans="6:6" ht="15">
      <c r="F1508" s="115">
        <f>+(disponibilidad[[#This Row],[Fecha y hora fin]]-disponibilidad[[#This Row],[Fecha y hora inicio]])*1440</f>
        <v>0</v>
      </c>
    </row>
    <row r="1509" spans="6:6" ht="15">
      <c r="F1509" s="115">
        <f>+(disponibilidad[[#This Row],[Fecha y hora fin]]-disponibilidad[[#This Row],[Fecha y hora inicio]])*1440</f>
        <v>0</v>
      </c>
    </row>
    <row r="1510" spans="6:6" ht="15">
      <c r="F1510" s="115">
        <f>+(disponibilidad[[#This Row],[Fecha y hora fin]]-disponibilidad[[#This Row],[Fecha y hora inicio]])*1440</f>
        <v>0</v>
      </c>
    </row>
    <row r="1511" spans="6:6" ht="15">
      <c r="F1511" s="115">
        <f>+(disponibilidad[[#This Row],[Fecha y hora fin]]-disponibilidad[[#This Row],[Fecha y hora inicio]])*1440</f>
        <v>0</v>
      </c>
    </row>
    <row r="1512" spans="6:6" ht="15">
      <c r="F1512" s="115">
        <f>+(disponibilidad[[#This Row],[Fecha y hora fin]]-disponibilidad[[#This Row],[Fecha y hora inicio]])*1440</f>
        <v>0</v>
      </c>
    </row>
    <row r="1513" spans="6:6" ht="15">
      <c r="F1513" s="115">
        <f>+(disponibilidad[[#This Row],[Fecha y hora fin]]-disponibilidad[[#This Row],[Fecha y hora inicio]])*1440</f>
        <v>0</v>
      </c>
    </row>
    <row r="1514" spans="6:6" ht="15">
      <c r="F1514" s="115">
        <f>+(disponibilidad[[#This Row],[Fecha y hora fin]]-disponibilidad[[#This Row],[Fecha y hora inicio]])*1440</f>
        <v>0</v>
      </c>
    </row>
    <row r="1515" spans="6:6" ht="15">
      <c r="F1515" s="115">
        <f>+(disponibilidad[[#This Row],[Fecha y hora fin]]-disponibilidad[[#This Row],[Fecha y hora inicio]])*1440</f>
        <v>0</v>
      </c>
    </row>
    <row r="1516" spans="6:6" ht="15">
      <c r="F1516" s="115">
        <f>+(disponibilidad[[#This Row],[Fecha y hora fin]]-disponibilidad[[#This Row],[Fecha y hora inicio]])*1440</f>
        <v>0</v>
      </c>
    </row>
    <row r="1517" spans="6:6" ht="15">
      <c r="F1517" s="115">
        <f>+(disponibilidad[[#This Row],[Fecha y hora fin]]-disponibilidad[[#This Row],[Fecha y hora inicio]])*1440</f>
        <v>0</v>
      </c>
    </row>
    <row r="1518" spans="6:6" ht="15">
      <c r="F1518" s="115">
        <f>+(disponibilidad[[#This Row],[Fecha y hora fin]]-disponibilidad[[#This Row],[Fecha y hora inicio]])*1440</f>
        <v>0</v>
      </c>
    </row>
    <row r="1519" spans="6:6" ht="15">
      <c r="F1519" s="115">
        <f>+(disponibilidad[[#This Row],[Fecha y hora fin]]-disponibilidad[[#This Row],[Fecha y hora inicio]])*1440</f>
        <v>0</v>
      </c>
    </row>
    <row r="1520" spans="6:6" ht="15">
      <c r="F1520" s="115">
        <f>+(disponibilidad[[#This Row],[Fecha y hora fin]]-disponibilidad[[#This Row],[Fecha y hora inicio]])*1440</f>
        <v>0</v>
      </c>
    </row>
    <row r="1521" spans="6:6" ht="15">
      <c r="F1521" s="115">
        <f>+(disponibilidad[[#This Row],[Fecha y hora fin]]-disponibilidad[[#This Row],[Fecha y hora inicio]])*1440</f>
        <v>0</v>
      </c>
    </row>
    <row r="1522" spans="6:6" ht="15">
      <c r="F1522" s="115">
        <f>+(disponibilidad[[#This Row],[Fecha y hora fin]]-disponibilidad[[#This Row],[Fecha y hora inicio]])*1440</f>
        <v>0</v>
      </c>
    </row>
    <row r="1523" spans="6:6" ht="15">
      <c r="F1523" s="115">
        <f>+(disponibilidad[[#This Row],[Fecha y hora fin]]-disponibilidad[[#This Row],[Fecha y hora inicio]])*1440</f>
        <v>0</v>
      </c>
    </row>
    <row r="1524" spans="6:6" ht="15">
      <c r="F1524" s="115">
        <f>+(disponibilidad[[#This Row],[Fecha y hora fin]]-disponibilidad[[#This Row],[Fecha y hora inicio]])*1440</f>
        <v>0</v>
      </c>
    </row>
    <row r="1525" spans="6:6" ht="15">
      <c r="F1525" s="115">
        <f>+(disponibilidad[[#This Row],[Fecha y hora fin]]-disponibilidad[[#This Row],[Fecha y hora inicio]])*1440</f>
        <v>0</v>
      </c>
    </row>
    <row r="1526" spans="6:6" ht="15">
      <c r="F1526" s="115">
        <f>+(disponibilidad[[#This Row],[Fecha y hora fin]]-disponibilidad[[#This Row],[Fecha y hora inicio]])*1440</f>
        <v>0</v>
      </c>
    </row>
    <row r="1527" spans="6:6" ht="15">
      <c r="F1527" s="115">
        <f>+(disponibilidad[[#This Row],[Fecha y hora fin]]-disponibilidad[[#This Row],[Fecha y hora inicio]])*1440</f>
        <v>0</v>
      </c>
    </row>
    <row r="1528" spans="6:6" ht="15">
      <c r="F1528" s="115">
        <f>+(disponibilidad[[#This Row],[Fecha y hora fin]]-disponibilidad[[#This Row],[Fecha y hora inicio]])*1440</f>
        <v>0</v>
      </c>
    </row>
    <row r="1529" spans="6:6" ht="15">
      <c r="F1529" s="115">
        <f>+(disponibilidad[[#This Row],[Fecha y hora fin]]-disponibilidad[[#This Row],[Fecha y hora inicio]])*1440</f>
        <v>0</v>
      </c>
    </row>
    <row r="1530" spans="6:6" ht="15">
      <c r="F1530" s="115">
        <f>+(disponibilidad[[#This Row],[Fecha y hora fin]]-disponibilidad[[#This Row],[Fecha y hora inicio]])*1440</f>
        <v>0</v>
      </c>
    </row>
    <row r="1531" spans="6:6" ht="15">
      <c r="F1531" s="115">
        <f>+(disponibilidad[[#This Row],[Fecha y hora fin]]-disponibilidad[[#This Row],[Fecha y hora inicio]])*1440</f>
        <v>0</v>
      </c>
    </row>
    <row r="1532" spans="6:6" ht="15">
      <c r="F1532" s="115">
        <f>+(disponibilidad[[#This Row],[Fecha y hora fin]]-disponibilidad[[#This Row],[Fecha y hora inicio]])*1440</f>
        <v>0</v>
      </c>
    </row>
    <row r="1533" spans="6:6" ht="15">
      <c r="F1533" s="115">
        <f>+(disponibilidad[[#This Row],[Fecha y hora fin]]-disponibilidad[[#This Row],[Fecha y hora inicio]])*1440</f>
        <v>0</v>
      </c>
    </row>
    <row r="1534" spans="6:6" ht="15">
      <c r="F1534" s="115">
        <f>+(disponibilidad[[#This Row],[Fecha y hora fin]]-disponibilidad[[#This Row],[Fecha y hora inicio]])*1440</f>
        <v>0</v>
      </c>
    </row>
    <row r="1535" spans="6:6" ht="15">
      <c r="F1535" s="115">
        <f>+(disponibilidad[[#This Row],[Fecha y hora fin]]-disponibilidad[[#This Row],[Fecha y hora inicio]])*1440</f>
        <v>0</v>
      </c>
    </row>
    <row r="1536" spans="6:6" ht="15">
      <c r="F1536" s="115">
        <f>+(disponibilidad[[#This Row],[Fecha y hora fin]]-disponibilidad[[#This Row],[Fecha y hora inicio]])*1440</f>
        <v>0</v>
      </c>
    </row>
    <row r="1537" spans="6:6" ht="15">
      <c r="F1537" s="115">
        <f>+(disponibilidad[[#This Row],[Fecha y hora fin]]-disponibilidad[[#This Row],[Fecha y hora inicio]])*1440</f>
        <v>0</v>
      </c>
    </row>
    <row r="1538" spans="6:6" ht="15">
      <c r="F1538" s="115">
        <f>+(disponibilidad[[#This Row],[Fecha y hora fin]]-disponibilidad[[#This Row],[Fecha y hora inicio]])*1440</f>
        <v>0</v>
      </c>
    </row>
    <row r="1539" spans="6:6" ht="15">
      <c r="F1539" s="115">
        <f>+(disponibilidad[[#This Row],[Fecha y hora fin]]-disponibilidad[[#This Row],[Fecha y hora inicio]])*1440</f>
        <v>0</v>
      </c>
    </row>
    <row r="1540" spans="6:6" ht="15">
      <c r="F1540" s="115">
        <f>+(disponibilidad[[#This Row],[Fecha y hora fin]]-disponibilidad[[#This Row],[Fecha y hora inicio]])*1440</f>
        <v>0</v>
      </c>
    </row>
    <row r="1541" spans="6:6" ht="15">
      <c r="F1541" s="115">
        <f>+(disponibilidad[[#This Row],[Fecha y hora fin]]-disponibilidad[[#This Row],[Fecha y hora inicio]])*1440</f>
        <v>0</v>
      </c>
    </row>
    <row r="1542" spans="6:6" ht="15">
      <c r="F1542" s="115">
        <f>+(disponibilidad[[#This Row],[Fecha y hora fin]]-disponibilidad[[#This Row],[Fecha y hora inicio]])*1440</f>
        <v>0</v>
      </c>
    </row>
    <row r="1543" spans="6:6" ht="15">
      <c r="F1543" s="115">
        <f>+(disponibilidad[[#This Row],[Fecha y hora fin]]-disponibilidad[[#This Row],[Fecha y hora inicio]])*1440</f>
        <v>0</v>
      </c>
    </row>
    <row r="1544" spans="6:6" ht="15">
      <c r="F1544" s="115">
        <f>+(disponibilidad[[#This Row],[Fecha y hora fin]]-disponibilidad[[#This Row],[Fecha y hora inicio]])*1440</f>
        <v>0</v>
      </c>
    </row>
    <row r="1545" spans="6:6" ht="15">
      <c r="F1545" s="115">
        <f>+(disponibilidad[[#This Row],[Fecha y hora fin]]-disponibilidad[[#This Row],[Fecha y hora inicio]])*1440</f>
        <v>0</v>
      </c>
    </row>
    <row r="1546" spans="6:6" ht="15">
      <c r="F1546" s="115">
        <f>+(disponibilidad[[#This Row],[Fecha y hora fin]]-disponibilidad[[#This Row],[Fecha y hora inicio]])*1440</f>
        <v>0</v>
      </c>
    </row>
    <row r="1547" spans="6:6" ht="15">
      <c r="F1547" s="115">
        <f>+(disponibilidad[[#This Row],[Fecha y hora fin]]-disponibilidad[[#This Row],[Fecha y hora inicio]])*1440</f>
        <v>0</v>
      </c>
    </row>
    <row r="1548" spans="6:6" ht="15">
      <c r="F1548" s="115">
        <f>+(disponibilidad[[#This Row],[Fecha y hora fin]]-disponibilidad[[#This Row],[Fecha y hora inicio]])*1440</f>
        <v>0</v>
      </c>
    </row>
    <row r="1549" spans="6:6" ht="15">
      <c r="F1549" s="115">
        <f>+(disponibilidad[[#This Row],[Fecha y hora fin]]-disponibilidad[[#This Row],[Fecha y hora inicio]])*1440</f>
        <v>0</v>
      </c>
    </row>
    <row r="1550" spans="6:6" ht="15">
      <c r="F1550" s="115">
        <f>+(disponibilidad[[#This Row],[Fecha y hora fin]]-disponibilidad[[#This Row],[Fecha y hora inicio]])*1440</f>
        <v>0</v>
      </c>
    </row>
    <row r="1551" spans="6:6" ht="15">
      <c r="F1551" s="115">
        <f>+(disponibilidad[[#This Row],[Fecha y hora fin]]-disponibilidad[[#This Row],[Fecha y hora inicio]])*1440</f>
        <v>0</v>
      </c>
    </row>
    <row r="1552" spans="6:6" ht="15">
      <c r="F1552" s="115">
        <f>+(disponibilidad[[#This Row],[Fecha y hora fin]]-disponibilidad[[#This Row],[Fecha y hora inicio]])*1440</f>
        <v>0</v>
      </c>
    </row>
    <row r="1553" spans="6:6" ht="15">
      <c r="F1553" s="115">
        <f>+(disponibilidad[[#This Row],[Fecha y hora fin]]-disponibilidad[[#This Row],[Fecha y hora inicio]])*1440</f>
        <v>0</v>
      </c>
    </row>
    <row r="1554" spans="6:6" ht="15">
      <c r="F1554" s="115">
        <f>+(disponibilidad[[#This Row],[Fecha y hora fin]]-disponibilidad[[#This Row],[Fecha y hora inicio]])*1440</f>
        <v>0</v>
      </c>
    </row>
    <row r="1555" spans="6:6" ht="15">
      <c r="F1555" s="115">
        <f>+(disponibilidad[[#This Row],[Fecha y hora fin]]-disponibilidad[[#This Row],[Fecha y hora inicio]])*1440</f>
        <v>0</v>
      </c>
    </row>
    <row r="1556" spans="6:6" ht="15">
      <c r="F1556" s="115">
        <f>+(disponibilidad[[#This Row],[Fecha y hora fin]]-disponibilidad[[#This Row],[Fecha y hora inicio]])*1440</f>
        <v>0</v>
      </c>
    </row>
    <row r="1557" spans="6:6" ht="15">
      <c r="F1557" s="115">
        <f>+(disponibilidad[[#This Row],[Fecha y hora fin]]-disponibilidad[[#This Row],[Fecha y hora inicio]])*1440</f>
        <v>0</v>
      </c>
    </row>
    <row r="1558" spans="6:6" ht="15">
      <c r="F1558" s="115">
        <f>+(disponibilidad[[#This Row],[Fecha y hora fin]]-disponibilidad[[#This Row],[Fecha y hora inicio]])*1440</f>
        <v>0</v>
      </c>
    </row>
    <row r="1559" spans="6:6" ht="15">
      <c r="F1559" s="115">
        <f>+(disponibilidad[[#This Row],[Fecha y hora fin]]-disponibilidad[[#This Row],[Fecha y hora inicio]])*1440</f>
        <v>0</v>
      </c>
    </row>
    <row r="1560" spans="6:6" ht="15">
      <c r="F1560" s="115">
        <f>+(disponibilidad[[#This Row],[Fecha y hora fin]]-disponibilidad[[#This Row],[Fecha y hora inicio]])*1440</f>
        <v>0</v>
      </c>
    </row>
    <row r="1561" spans="6:6" ht="15">
      <c r="F1561" s="115">
        <f>+(disponibilidad[[#This Row],[Fecha y hora fin]]-disponibilidad[[#This Row],[Fecha y hora inicio]])*1440</f>
        <v>0</v>
      </c>
    </row>
    <row r="1562" spans="6:6" ht="15">
      <c r="F1562" s="115">
        <f>+(disponibilidad[[#This Row],[Fecha y hora fin]]-disponibilidad[[#This Row],[Fecha y hora inicio]])*1440</f>
        <v>0</v>
      </c>
    </row>
    <row r="1563" spans="6:6" ht="15">
      <c r="F1563" s="115">
        <f>+(disponibilidad[[#This Row],[Fecha y hora fin]]-disponibilidad[[#This Row],[Fecha y hora inicio]])*1440</f>
        <v>0</v>
      </c>
    </row>
    <row r="1564" spans="6:6" ht="15">
      <c r="F1564" s="115">
        <f>+(disponibilidad[[#This Row],[Fecha y hora fin]]-disponibilidad[[#This Row],[Fecha y hora inicio]])*1440</f>
        <v>0</v>
      </c>
    </row>
    <row r="1565" spans="6:6" ht="15">
      <c r="F1565" s="115">
        <f>+(disponibilidad[[#This Row],[Fecha y hora fin]]-disponibilidad[[#This Row],[Fecha y hora inicio]])*1440</f>
        <v>0</v>
      </c>
    </row>
    <row r="1566" spans="6:6" ht="15">
      <c r="F1566" s="115">
        <f>+(disponibilidad[[#This Row],[Fecha y hora fin]]-disponibilidad[[#This Row],[Fecha y hora inicio]])*1440</f>
        <v>0</v>
      </c>
    </row>
    <row r="1567" spans="6:6" ht="15">
      <c r="F1567" s="115">
        <f>+(disponibilidad[[#This Row],[Fecha y hora fin]]-disponibilidad[[#This Row],[Fecha y hora inicio]])*1440</f>
        <v>0</v>
      </c>
    </row>
    <row r="1568" spans="6:6" ht="15">
      <c r="F1568" s="115">
        <f>+(disponibilidad[[#This Row],[Fecha y hora fin]]-disponibilidad[[#This Row],[Fecha y hora inicio]])*1440</f>
        <v>0</v>
      </c>
    </row>
    <row r="1569" spans="6:6" ht="15">
      <c r="F1569" s="115">
        <f>+(disponibilidad[[#This Row],[Fecha y hora fin]]-disponibilidad[[#This Row],[Fecha y hora inicio]])*1440</f>
        <v>0</v>
      </c>
    </row>
    <row r="1570" spans="6:6" ht="15">
      <c r="F1570" s="115">
        <f>+(disponibilidad[[#This Row],[Fecha y hora fin]]-disponibilidad[[#This Row],[Fecha y hora inicio]])*1440</f>
        <v>0</v>
      </c>
    </row>
    <row r="1571" spans="6:6" ht="15">
      <c r="F1571" s="115">
        <f>+(disponibilidad[[#This Row],[Fecha y hora fin]]-disponibilidad[[#This Row],[Fecha y hora inicio]])*1440</f>
        <v>0</v>
      </c>
    </row>
    <row r="1572" spans="6:6" ht="15">
      <c r="F1572" s="115">
        <f>+(disponibilidad[[#This Row],[Fecha y hora fin]]-disponibilidad[[#This Row],[Fecha y hora inicio]])*1440</f>
        <v>0</v>
      </c>
    </row>
    <row r="1573" spans="6:6" ht="15">
      <c r="F1573" s="115">
        <f>+(disponibilidad[[#This Row],[Fecha y hora fin]]-disponibilidad[[#This Row],[Fecha y hora inicio]])*1440</f>
        <v>0</v>
      </c>
    </row>
    <row r="1574" spans="6:6" ht="15">
      <c r="F1574" s="115">
        <f>+(disponibilidad[[#This Row],[Fecha y hora fin]]-disponibilidad[[#This Row],[Fecha y hora inicio]])*1440</f>
        <v>0</v>
      </c>
    </row>
    <row r="1575" spans="6:6" ht="15">
      <c r="F1575" s="115">
        <f>+(disponibilidad[[#This Row],[Fecha y hora fin]]-disponibilidad[[#This Row],[Fecha y hora inicio]])*1440</f>
        <v>0</v>
      </c>
    </row>
    <row r="1576" spans="6:6" ht="15">
      <c r="F1576" s="115">
        <f>+(disponibilidad[[#This Row],[Fecha y hora fin]]-disponibilidad[[#This Row],[Fecha y hora inicio]])*1440</f>
        <v>0</v>
      </c>
    </row>
    <row r="1577" spans="6:6" ht="15">
      <c r="F1577" s="115">
        <f>+(disponibilidad[[#This Row],[Fecha y hora fin]]-disponibilidad[[#This Row],[Fecha y hora inicio]])*1440</f>
        <v>0</v>
      </c>
    </row>
    <row r="1578" spans="6:6" ht="15">
      <c r="F1578" s="115">
        <f>+(disponibilidad[[#This Row],[Fecha y hora fin]]-disponibilidad[[#This Row],[Fecha y hora inicio]])*1440</f>
        <v>0</v>
      </c>
    </row>
    <row r="1579" spans="6:6" ht="15">
      <c r="F1579" s="115">
        <f>+(disponibilidad[[#This Row],[Fecha y hora fin]]-disponibilidad[[#This Row],[Fecha y hora inicio]])*1440</f>
        <v>0</v>
      </c>
    </row>
    <row r="1580" spans="6:6" ht="15">
      <c r="F1580" s="115">
        <f>+(disponibilidad[[#This Row],[Fecha y hora fin]]-disponibilidad[[#This Row],[Fecha y hora inicio]])*1440</f>
        <v>0</v>
      </c>
    </row>
    <row r="1581" spans="6:6" ht="15">
      <c r="F1581" s="115">
        <f>+(disponibilidad[[#This Row],[Fecha y hora fin]]-disponibilidad[[#This Row],[Fecha y hora inicio]])*1440</f>
        <v>0</v>
      </c>
    </row>
    <row r="1582" spans="6:6" ht="15">
      <c r="F1582" s="115">
        <f>+(disponibilidad[[#This Row],[Fecha y hora fin]]-disponibilidad[[#This Row],[Fecha y hora inicio]])*1440</f>
        <v>0</v>
      </c>
    </row>
    <row r="1583" spans="6:6" ht="15">
      <c r="F1583" s="115">
        <f>+(disponibilidad[[#This Row],[Fecha y hora fin]]-disponibilidad[[#This Row],[Fecha y hora inicio]])*1440</f>
        <v>0</v>
      </c>
    </row>
    <row r="1584" spans="6:6" ht="15">
      <c r="F1584" s="115">
        <f>+(disponibilidad[[#This Row],[Fecha y hora fin]]-disponibilidad[[#This Row],[Fecha y hora inicio]])*1440</f>
        <v>0</v>
      </c>
    </row>
    <row r="1585" spans="6:6" ht="15">
      <c r="F1585" s="115">
        <f>+(disponibilidad[[#This Row],[Fecha y hora fin]]-disponibilidad[[#This Row],[Fecha y hora inicio]])*1440</f>
        <v>0</v>
      </c>
    </row>
    <row r="1586" spans="6:6" ht="15">
      <c r="F1586" s="115">
        <f>+(disponibilidad[[#This Row],[Fecha y hora fin]]-disponibilidad[[#This Row],[Fecha y hora inicio]])*1440</f>
        <v>0</v>
      </c>
    </row>
    <row r="1587" spans="6:6" ht="15">
      <c r="F1587" s="115">
        <f>+(disponibilidad[[#This Row],[Fecha y hora fin]]-disponibilidad[[#This Row],[Fecha y hora inicio]])*1440</f>
        <v>0</v>
      </c>
    </row>
    <row r="1588" spans="6:6" ht="15">
      <c r="F1588" s="115">
        <f>+(disponibilidad[[#This Row],[Fecha y hora fin]]-disponibilidad[[#This Row],[Fecha y hora inicio]])*1440</f>
        <v>0</v>
      </c>
    </row>
    <row r="1589" spans="6:6" ht="15">
      <c r="F1589" s="115">
        <f>+(disponibilidad[[#This Row],[Fecha y hora fin]]-disponibilidad[[#This Row],[Fecha y hora inicio]])*1440</f>
        <v>0</v>
      </c>
    </row>
    <row r="1590" spans="6:6" ht="15">
      <c r="F1590" s="115">
        <f>+(disponibilidad[[#This Row],[Fecha y hora fin]]-disponibilidad[[#This Row],[Fecha y hora inicio]])*1440</f>
        <v>0</v>
      </c>
    </row>
    <row r="1591" spans="6:6" ht="15">
      <c r="F1591" s="115">
        <f>+(disponibilidad[[#This Row],[Fecha y hora fin]]-disponibilidad[[#This Row],[Fecha y hora inicio]])*1440</f>
        <v>0</v>
      </c>
    </row>
    <row r="1592" spans="6:6" ht="15">
      <c r="F1592" s="115">
        <f>+(disponibilidad[[#This Row],[Fecha y hora fin]]-disponibilidad[[#This Row],[Fecha y hora inicio]])*1440</f>
        <v>0</v>
      </c>
    </row>
    <row r="1593" spans="6:6" ht="15">
      <c r="F1593" s="115">
        <f>+(disponibilidad[[#This Row],[Fecha y hora fin]]-disponibilidad[[#This Row],[Fecha y hora inicio]])*1440</f>
        <v>0</v>
      </c>
    </row>
    <row r="1594" spans="6:6" ht="15">
      <c r="F1594" s="115">
        <f>+(disponibilidad[[#This Row],[Fecha y hora fin]]-disponibilidad[[#This Row],[Fecha y hora inicio]])*1440</f>
        <v>0</v>
      </c>
    </row>
    <row r="1595" spans="6:6" ht="15">
      <c r="F1595" s="115">
        <f>+(disponibilidad[[#This Row],[Fecha y hora fin]]-disponibilidad[[#This Row],[Fecha y hora inicio]])*1440</f>
        <v>0</v>
      </c>
    </row>
    <row r="1596" spans="6:6" ht="15">
      <c r="F1596" s="115">
        <f>+(disponibilidad[[#This Row],[Fecha y hora fin]]-disponibilidad[[#This Row],[Fecha y hora inicio]])*1440</f>
        <v>0</v>
      </c>
    </row>
    <row r="1597" spans="6:6" ht="15">
      <c r="F1597" s="115">
        <f>+(disponibilidad[[#This Row],[Fecha y hora fin]]-disponibilidad[[#This Row],[Fecha y hora inicio]])*1440</f>
        <v>0</v>
      </c>
    </row>
    <row r="1598" spans="6:6" ht="15">
      <c r="F1598" s="115">
        <f>+(disponibilidad[[#This Row],[Fecha y hora fin]]-disponibilidad[[#This Row],[Fecha y hora inicio]])*1440</f>
        <v>0</v>
      </c>
    </row>
    <row r="1599" spans="6:6" ht="15">
      <c r="F1599" s="115">
        <f>+(disponibilidad[[#This Row],[Fecha y hora fin]]-disponibilidad[[#This Row],[Fecha y hora inicio]])*1440</f>
        <v>0</v>
      </c>
    </row>
    <row r="1600" spans="6:6" ht="15">
      <c r="F1600" s="115">
        <f>+(disponibilidad[[#This Row],[Fecha y hora fin]]-disponibilidad[[#This Row],[Fecha y hora inicio]])*1440</f>
        <v>0</v>
      </c>
    </row>
    <row r="1601" spans="6:6" ht="15">
      <c r="F1601" s="115">
        <f>+(disponibilidad[[#This Row],[Fecha y hora fin]]-disponibilidad[[#This Row],[Fecha y hora inicio]])*1440</f>
        <v>0</v>
      </c>
    </row>
    <row r="1602" spans="6:6" ht="15">
      <c r="F1602" s="115">
        <f>+(disponibilidad[[#This Row],[Fecha y hora fin]]-disponibilidad[[#This Row],[Fecha y hora inicio]])*1440</f>
        <v>0</v>
      </c>
    </row>
    <row r="1603" spans="6:6" ht="15">
      <c r="F1603" s="115">
        <f>+(disponibilidad[[#This Row],[Fecha y hora fin]]-disponibilidad[[#This Row],[Fecha y hora inicio]])*1440</f>
        <v>0</v>
      </c>
    </row>
    <row r="1604" spans="6:6" ht="15">
      <c r="F1604" s="115">
        <f>+(disponibilidad[[#This Row],[Fecha y hora fin]]-disponibilidad[[#This Row],[Fecha y hora inicio]])*1440</f>
        <v>0</v>
      </c>
    </row>
    <row r="1605" spans="6:6" ht="15">
      <c r="F1605" s="115">
        <f>+(disponibilidad[[#This Row],[Fecha y hora fin]]-disponibilidad[[#This Row],[Fecha y hora inicio]])*1440</f>
        <v>0</v>
      </c>
    </row>
    <row r="1606" spans="6:6" ht="15">
      <c r="F1606" s="115">
        <f>+(disponibilidad[[#This Row],[Fecha y hora fin]]-disponibilidad[[#This Row],[Fecha y hora inicio]])*1440</f>
        <v>0</v>
      </c>
    </row>
    <row r="1607" spans="6:6" ht="15">
      <c r="F1607" s="115">
        <f>+(disponibilidad[[#This Row],[Fecha y hora fin]]-disponibilidad[[#This Row],[Fecha y hora inicio]])*1440</f>
        <v>0</v>
      </c>
    </row>
    <row r="1608" spans="6:6" ht="15">
      <c r="F1608" s="115">
        <f>+(disponibilidad[[#This Row],[Fecha y hora fin]]-disponibilidad[[#This Row],[Fecha y hora inicio]])*1440</f>
        <v>0</v>
      </c>
    </row>
    <row r="1609" spans="6:6" ht="15">
      <c r="F1609" s="115">
        <f>+(disponibilidad[[#This Row],[Fecha y hora fin]]-disponibilidad[[#This Row],[Fecha y hora inicio]])*1440</f>
        <v>0</v>
      </c>
    </row>
    <row r="1610" spans="6:6" ht="15">
      <c r="F1610" s="115">
        <f>+(disponibilidad[[#This Row],[Fecha y hora fin]]-disponibilidad[[#This Row],[Fecha y hora inicio]])*1440</f>
        <v>0</v>
      </c>
    </row>
    <row r="1611" spans="6:6" ht="15">
      <c r="F1611" s="115">
        <f>+(disponibilidad[[#This Row],[Fecha y hora fin]]-disponibilidad[[#This Row],[Fecha y hora inicio]])*1440</f>
        <v>0</v>
      </c>
    </row>
    <row r="1612" spans="6:6" ht="15">
      <c r="F1612" s="115">
        <f>+(disponibilidad[[#This Row],[Fecha y hora fin]]-disponibilidad[[#This Row],[Fecha y hora inicio]])*1440</f>
        <v>0</v>
      </c>
    </row>
    <row r="1613" spans="6:6" ht="15">
      <c r="F1613" s="115">
        <f>+(disponibilidad[[#This Row],[Fecha y hora fin]]-disponibilidad[[#This Row],[Fecha y hora inicio]])*1440</f>
        <v>0</v>
      </c>
    </row>
    <row r="1614" spans="6:6" ht="15">
      <c r="F1614" s="115">
        <f>+(disponibilidad[[#This Row],[Fecha y hora fin]]-disponibilidad[[#This Row],[Fecha y hora inicio]])*1440</f>
        <v>0</v>
      </c>
    </row>
    <row r="1615" spans="6:6" ht="15">
      <c r="F1615" s="115">
        <f>+(disponibilidad[[#This Row],[Fecha y hora fin]]-disponibilidad[[#This Row],[Fecha y hora inicio]])*1440</f>
        <v>0</v>
      </c>
    </row>
    <row r="1616" spans="6:6" ht="15">
      <c r="F1616" s="115">
        <f>+(disponibilidad[[#This Row],[Fecha y hora fin]]-disponibilidad[[#This Row],[Fecha y hora inicio]])*1440</f>
        <v>0</v>
      </c>
    </row>
    <row r="1617" spans="6:6" ht="15">
      <c r="F1617" s="115">
        <f>+(disponibilidad[[#This Row],[Fecha y hora fin]]-disponibilidad[[#This Row],[Fecha y hora inicio]])*1440</f>
        <v>0</v>
      </c>
    </row>
    <row r="1618" spans="6:6" ht="15">
      <c r="F1618" s="115">
        <f>+(disponibilidad[[#This Row],[Fecha y hora fin]]-disponibilidad[[#This Row],[Fecha y hora inicio]])*1440</f>
        <v>0</v>
      </c>
    </row>
    <row r="1619" spans="6:6" ht="15">
      <c r="F1619" s="115">
        <f>+(disponibilidad[[#This Row],[Fecha y hora fin]]-disponibilidad[[#This Row],[Fecha y hora inicio]])*1440</f>
        <v>0</v>
      </c>
    </row>
    <row r="1620" spans="6:6" ht="15">
      <c r="F1620" s="115">
        <f>+(disponibilidad[[#This Row],[Fecha y hora fin]]-disponibilidad[[#This Row],[Fecha y hora inicio]])*1440</f>
        <v>0</v>
      </c>
    </row>
    <row r="1621" spans="6:6" ht="15">
      <c r="F1621" s="115">
        <f>+(disponibilidad[[#This Row],[Fecha y hora fin]]-disponibilidad[[#This Row],[Fecha y hora inicio]])*1440</f>
        <v>0</v>
      </c>
    </row>
    <row r="1622" spans="6:6" ht="15">
      <c r="F1622" s="115">
        <f>+(disponibilidad[[#This Row],[Fecha y hora fin]]-disponibilidad[[#This Row],[Fecha y hora inicio]])*1440</f>
        <v>0</v>
      </c>
    </row>
    <row r="1623" spans="6:6" ht="15">
      <c r="F1623" s="115">
        <f>+(disponibilidad[[#This Row],[Fecha y hora fin]]-disponibilidad[[#This Row],[Fecha y hora inicio]])*1440</f>
        <v>0</v>
      </c>
    </row>
    <row r="1624" spans="6:6" ht="15">
      <c r="F1624" s="115">
        <f>+(disponibilidad[[#This Row],[Fecha y hora fin]]-disponibilidad[[#This Row],[Fecha y hora inicio]])*1440</f>
        <v>0</v>
      </c>
    </row>
    <row r="1625" spans="6:6" ht="15">
      <c r="F1625" s="115">
        <f>+(disponibilidad[[#This Row],[Fecha y hora fin]]-disponibilidad[[#This Row],[Fecha y hora inicio]])*1440</f>
        <v>0</v>
      </c>
    </row>
    <row r="1626" spans="6:6" ht="15">
      <c r="F1626" s="115">
        <f>+(disponibilidad[[#This Row],[Fecha y hora fin]]-disponibilidad[[#This Row],[Fecha y hora inicio]])*1440</f>
        <v>0</v>
      </c>
    </row>
    <row r="1627" spans="6:6" ht="15">
      <c r="F1627" s="115">
        <f>+(disponibilidad[[#This Row],[Fecha y hora fin]]-disponibilidad[[#This Row],[Fecha y hora inicio]])*1440</f>
        <v>0</v>
      </c>
    </row>
    <row r="1628" spans="6:6" ht="15">
      <c r="F1628" s="115">
        <f>+(disponibilidad[[#This Row],[Fecha y hora fin]]-disponibilidad[[#This Row],[Fecha y hora inicio]])*1440</f>
        <v>0</v>
      </c>
    </row>
    <row r="1629" spans="6:6" ht="15">
      <c r="F1629" s="115">
        <f>+(disponibilidad[[#This Row],[Fecha y hora fin]]-disponibilidad[[#This Row],[Fecha y hora inicio]])*1440</f>
        <v>0</v>
      </c>
    </row>
    <row r="1630" spans="6:6" ht="15">
      <c r="F1630" s="115">
        <f>+(disponibilidad[[#This Row],[Fecha y hora fin]]-disponibilidad[[#This Row],[Fecha y hora inicio]])*1440</f>
        <v>0</v>
      </c>
    </row>
    <row r="1631" spans="6:6" ht="15">
      <c r="F1631" s="115">
        <f>+(disponibilidad[[#This Row],[Fecha y hora fin]]-disponibilidad[[#This Row],[Fecha y hora inicio]])*1440</f>
        <v>0</v>
      </c>
    </row>
    <row r="1632" spans="6:6" ht="15">
      <c r="F1632" s="115">
        <f>+(disponibilidad[[#This Row],[Fecha y hora fin]]-disponibilidad[[#This Row],[Fecha y hora inicio]])*1440</f>
        <v>0</v>
      </c>
    </row>
    <row r="1633" spans="6:6" ht="15">
      <c r="F1633" s="115">
        <f>+(disponibilidad[[#This Row],[Fecha y hora fin]]-disponibilidad[[#This Row],[Fecha y hora inicio]])*1440</f>
        <v>0</v>
      </c>
    </row>
    <row r="1634" spans="6:6" ht="15">
      <c r="F1634" s="115">
        <f>+(disponibilidad[[#This Row],[Fecha y hora fin]]-disponibilidad[[#This Row],[Fecha y hora inicio]])*1440</f>
        <v>0</v>
      </c>
    </row>
    <row r="1635" spans="6:6" ht="15">
      <c r="F1635" s="115">
        <f>+(disponibilidad[[#This Row],[Fecha y hora fin]]-disponibilidad[[#This Row],[Fecha y hora inicio]])*1440</f>
        <v>0</v>
      </c>
    </row>
    <row r="1636" spans="6:6" ht="15">
      <c r="F1636" s="115">
        <f>+(disponibilidad[[#This Row],[Fecha y hora fin]]-disponibilidad[[#This Row],[Fecha y hora inicio]])*1440</f>
        <v>0</v>
      </c>
    </row>
    <row r="1637" spans="6:6" ht="15">
      <c r="F1637" s="115">
        <f>+(disponibilidad[[#This Row],[Fecha y hora fin]]-disponibilidad[[#This Row],[Fecha y hora inicio]])*1440</f>
        <v>0</v>
      </c>
    </row>
    <row r="1638" spans="6:6" ht="15">
      <c r="F1638" s="115">
        <f>+(disponibilidad[[#This Row],[Fecha y hora fin]]-disponibilidad[[#This Row],[Fecha y hora inicio]])*1440</f>
        <v>0</v>
      </c>
    </row>
    <row r="1639" spans="6:6" ht="15">
      <c r="F1639" s="115">
        <f>+(disponibilidad[[#This Row],[Fecha y hora fin]]-disponibilidad[[#This Row],[Fecha y hora inicio]])*1440</f>
        <v>0</v>
      </c>
    </row>
    <row r="1640" spans="6:6" ht="15">
      <c r="F1640" s="115">
        <f>+(disponibilidad[[#This Row],[Fecha y hora fin]]-disponibilidad[[#This Row],[Fecha y hora inicio]])*1440</f>
        <v>0</v>
      </c>
    </row>
    <row r="1641" spans="6:6" ht="15">
      <c r="F1641" s="115">
        <f>+(disponibilidad[[#This Row],[Fecha y hora fin]]-disponibilidad[[#This Row],[Fecha y hora inicio]])*1440</f>
        <v>0</v>
      </c>
    </row>
    <row r="1642" spans="6:6" ht="15">
      <c r="F1642" s="115">
        <f>+(disponibilidad[[#This Row],[Fecha y hora fin]]-disponibilidad[[#This Row],[Fecha y hora inicio]])*1440</f>
        <v>0</v>
      </c>
    </row>
    <row r="1643" spans="6:6" ht="15">
      <c r="F1643" s="115">
        <f>+(disponibilidad[[#This Row],[Fecha y hora fin]]-disponibilidad[[#This Row],[Fecha y hora inicio]])*1440</f>
        <v>0</v>
      </c>
    </row>
    <row r="1644" spans="6:6" ht="15">
      <c r="F1644" s="115">
        <f>+(disponibilidad[[#This Row],[Fecha y hora fin]]-disponibilidad[[#This Row],[Fecha y hora inicio]])*1440</f>
        <v>0</v>
      </c>
    </row>
    <row r="1645" spans="6:6" ht="15">
      <c r="F1645" s="115">
        <f>+(disponibilidad[[#This Row],[Fecha y hora fin]]-disponibilidad[[#This Row],[Fecha y hora inicio]])*1440</f>
        <v>0</v>
      </c>
    </row>
    <row r="1646" spans="6:6" ht="15">
      <c r="F1646" s="115">
        <f>+(disponibilidad[[#This Row],[Fecha y hora fin]]-disponibilidad[[#This Row],[Fecha y hora inicio]])*1440</f>
        <v>0</v>
      </c>
    </row>
    <row r="1647" spans="6:6" ht="15">
      <c r="F1647" s="115">
        <f>+(disponibilidad[[#This Row],[Fecha y hora fin]]-disponibilidad[[#This Row],[Fecha y hora inicio]])*1440</f>
        <v>0</v>
      </c>
    </row>
    <row r="1648" spans="6:6" ht="15">
      <c r="F1648" s="115">
        <f>+(disponibilidad[[#This Row],[Fecha y hora fin]]-disponibilidad[[#This Row],[Fecha y hora inicio]])*1440</f>
        <v>0</v>
      </c>
    </row>
    <row r="1649" spans="6:6" ht="15">
      <c r="F1649" s="115">
        <f>+(disponibilidad[[#This Row],[Fecha y hora fin]]-disponibilidad[[#This Row],[Fecha y hora inicio]])*1440</f>
        <v>0</v>
      </c>
    </row>
    <row r="1650" spans="6:6" ht="15">
      <c r="F1650" s="115">
        <f>+(disponibilidad[[#This Row],[Fecha y hora fin]]-disponibilidad[[#This Row],[Fecha y hora inicio]])*1440</f>
        <v>0</v>
      </c>
    </row>
    <row r="1651" spans="6:6" ht="15">
      <c r="F1651" s="115">
        <f>+(disponibilidad[[#This Row],[Fecha y hora fin]]-disponibilidad[[#This Row],[Fecha y hora inicio]])*1440</f>
        <v>0</v>
      </c>
    </row>
    <row r="1652" spans="6:6" ht="15">
      <c r="F1652" s="115">
        <f>+(disponibilidad[[#This Row],[Fecha y hora fin]]-disponibilidad[[#This Row],[Fecha y hora inicio]])*1440</f>
        <v>0</v>
      </c>
    </row>
    <row r="1653" spans="6:6" ht="15">
      <c r="F1653" s="115">
        <f>+(disponibilidad[[#This Row],[Fecha y hora fin]]-disponibilidad[[#This Row],[Fecha y hora inicio]])*1440</f>
        <v>0</v>
      </c>
    </row>
    <row r="1654" spans="6:6" ht="15">
      <c r="F1654" s="115">
        <f>+(disponibilidad[[#This Row],[Fecha y hora fin]]-disponibilidad[[#This Row],[Fecha y hora inicio]])*1440</f>
        <v>0</v>
      </c>
    </row>
    <row r="1655" spans="6:6" ht="15">
      <c r="F1655" s="115">
        <f>+(disponibilidad[[#This Row],[Fecha y hora fin]]-disponibilidad[[#This Row],[Fecha y hora inicio]])*1440</f>
        <v>0</v>
      </c>
    </row>
    <row r="1656" spans="6:6" ht="15">
      <c r="F1656" s="115">
        <f>+(disponibilidad[[#This Row],[Fecha y hora fin]]-disponibilidad[[#This Row],[Fecha y hora inicio]])*1440</f>
        <v>0</v>
      </c>
    </row>
    <row r="1657" spans="6:6" ht="15">
      <c r="F1657" s="115">
        <f>+(disponibilidad[[#This Row],[Fecha y hora fin]]-disponibilidad[[#This Row],[Fecha y hora inicio]])*1440</f>
        <v>0</v>
      </c>
    </row>
    <row r="1658" spans="6:6" ht="15">
      <c r="F1658" s="115">
        <f>+(disponibilidad[[#This Row],[Fecha y hora fin]]-disponibilidad[[#This Row],[Fecha y hora inicio]])*1440</f>
        <v>0</v>
      </c>
    </row>
    <row r="1659" spans="6:6" ht="15">
      <c r="F1659" s="115">
        <f>+(disponibilidad[[#This Row],[Fecha y hora fin]]-disponibilidad[[#This Row],[Fecha y hora inicio]])*1440</f>
        <v>0</v>
      </c>
    </row>
    <row r="1660" spans="6:6" ht="15">
      <c r="F1660" s="115">
        <f>+(disponibilidad[[#This Row],[Fecha y hora fin]]-disponibilidad[[#This Row],[Fecha y hora inicio]])*1440</f>
        <v>0</v>
      </c>
    </row>
    <row r="1661" spans="6:6" ht="15">
      <c r="F1661" s="115">
        <f>+(disponibilidad[[#This Row],[Fecha y hora fin]]-disponibilidad[[#This Row],[Fecha y hora inicio]])*1440</f>
        <v>0</v>
      </c>
    </row>
    <row r="1662" spans="6:6" ht="15">
      <c r="F1662" s="115">
        <f>+(disponibilidad[[#This Row],[Fecha y hora fin]]-disponibilidad[[#This Row],[Fecha y hora inicio]])*1440</f>
        <v>0</v>
      </c>
    </row>
    <row r="1663" spans="6:6" ht="15">
      <c r="F1663" s="115">
        <f>+(disponibilidad[[#This Row],[Fecha y hora fin]]-disponibilidad[[#This Row],[Fecha y hora inicio]])*1440</f>
        <v>0</v>
      </c>
    </row>
    <row r="1664" spans="6:6" ht="15">
      <c r="F1664" s="115">
        <f>+(disponibilidad[[#This Row],[Fecha y hora fin]]-disponibilidad[[#This Row],[Fecha y hora inicio]])*1440</f>
        <v>0</v>
      </c>
    </row>
    <row r="1665" spans="6:6" ht="15">
      <c r="F1665" s="115">
        <f>+(disponibilidad[[#This Row],[Fecha y hora fin]]-disponibilidad[[#This Row],[Fecha y hora inicio]])*1440</f>
        <v>0</v>
      </c>
    </row>
    <row r="1666" spans="6:6" ht="15">
      <c r="F1666" s="115">
        <f>+(disponibilidad[[#This Row],[Fecha y hora fin]]-disponibilidad[[#This Row],[Fecha y hora inicio]])*1440</f>
        <v>0</v>
      </c>
    </row>
    <row r="1667" spans="6:6" ht="15">
      <c r="F1667" s="115">
        <f>+(disponibilidad[[#This Row],[Fecha y hora fin]]-disponibilidad[[#This Row],[Fecha y hora inicio]])*1440</f>
        <v>0</v>
      </c>
    </row>
    <row r="1668" spans="6:6" ht="15">
      <c r="F1668" s="115">
        <f>+(disponibilidad[[#This Row],[Fecha y hora fin]]-disponibilidad[[#This Row],[Fecha y hora inicio]])*1440</f>
        <v>0</v>
      </c>
    </row>
    <row r="1669" spans="6:6" ht="15">
      <c r="F1669" s="115">
        <f>+(disponibilidad[[#This Row],[Fecha y hora fin]]-disponibilidad[[#This Row],[Fecha y hora inicio]])*1440</f>
        <v>0</v>
      </c>
    </row>
    <row r="1670" spans="6:6" ht="15">
      <c r="F1670" s="115">
        <f>+(disponibilidad[[#This Row],[Fecha y hora fin]]-disponibilidad[[#This Row],[Fecha y hora inicio]])*1440</f>
        <v>0</v>
      </c>
    </row>
    <row r="1671" spans="6:6" ht="15">
      <c r="F1671" s="115">
        <f>+(disponibilidad[[#This Row],[Fecha y hora fin]]-disponibilidad[[#This Row],[Fecha y hora inicio]])*1440</f>
        <v>0</v>
      </c>
    </row>
    <row r="1672" spans="6:6" ht="15">
      <c r="F1672" s="115">
        <f>+(disponibilidad[[#This Row],[Fecha y hora fin]]-disponibilidad[[#This Row],[Fecha y hora inicio]])*1440</f>
        <v>0</v>
      </c>
    </row>
    <row r="1673" spans="6:6" ht="15">
      <c r="F1673" s="115">
        <f>+(disponibilidad[[#This Row],[Fecha y hora fin]]-disponibilidad[[#This Row],[Fecha y hora inicio]])*1440</f>
        <v>0</v>
      </c>
    </row>
    <row r="1674" spans="6:6" ht="15">
      <c r="F1674" s="115">
        <f>+(disponibilidad[[#This Row],[Fecha y hora fin]]-disponibilidad[[#This Row],[Fecha y hora inicio]])*1440</f>
        <v>0</v>
      </c>
    </row>
    <row r="1675" spans="6:6" ht="15">
      <c r="F1675" s="115">
        <f>+(disponibilidad[[#This Row],[Fecha y hora fin]]-disponibilidad[[#This Row],[Fecha y hora inicio]])*1440</f>
        <v>0</v>
      </c>
    </row>
    <row r="1676" spans="6:6" ht="15">
      <c r="F1676" s="115">
        <f>+(disponibilidad[[#This Row],[Fecha y hora fin]]-disponibilidad[[#This Row],[Fecha y hora inicio]])*1440</f>
        <v>0</v>
      </c>
    </row>
    <row r="1677" spans="6:6" ht="15">
      <c r="F1677" s="115">
        <f>+(disponibilidad[[#This Row],[Fecha y hora fin]]-disponibilidad[[#This Row],[Fecha y hora inicio]])*1440</f>
        <v>0</v>
      </c>
    </row>
    <row r="1678" spans="6:6" ht="15">
      <c r="F1678" s="115">
        <f>+(disponibilidad[[#This Row],[Fecha y hora fin]]-disponibilidad[[#This Row],[Fecha y hora inicio]])*1440</f>
        <v>0</v>
      </c>
    </row>
    <row r="1679" spans="6:6" ht="15">
      <c r="F1679" s="115">
        <f>+(disponibilidad[[#This Row],[Fecha y hora fin]]-disponibilidad[[#This Row],[Fecha y hora inicio]])*1440</f>
        <v>0</v>
      </c>
    </row>
    <row r="1680" spans="6:6" ht="15">
      <c r="F1680" s="115">
        <f>+(disponibilidad[[#This Row],[Fecha y hora fin]]-disponibilidad[[#This Row],[Fecha y hora inicio]])*1440</f>
        <v>0</v>
      </c>
    </row>
    <row r="1681" spans="6:6" ht="15">
      <c r="F1681" s="115">
        <f>+(disponibilidad[[#This Row],[Fecha y hora fin]]-disponibilidad[[#This Row],[Fecha y hora inicio]])*1440</f>
        <v>0</v>
      </c>
    </row>
    <row r="1682" spans="6:6" ht="15">
      <c r="F1682" s="115">
        <f>+(disponibilidad[[#This Row],[Fecha y hora fin]]-disponibilidad[[#This Row],[Fecha y hora inicio]])*1440</f>
        <v>0</v>
      </c>
    </row>
    <row r="1683" spans="6:6" ht="15">
      <c r="F1683" s="115">
        <f>+(disponibilidad[[#This Row],[Fecha y hora fin]]-disponibilidad[[#This Row],[Fecha y hora inicio]])*1440</f>
        <v>0</v>
      </c>
    </row>
    <row r="1684" spans="6:6" ht="15">
      <c r="F1684" s="115">
        <f>+(disponibilidad[[#This Row],[Fecha y hora fin]]-disponibilidad[[#This Row],[Fecha y hora inicio]])*1440</f>
        <v>0</v>
      </c>
    </row>
    <row r="1685" spans="6:6" ht="15">
      <c r="F1685" s="115">
        <f>+(disponibilidad[[#This Row],[Fecha y hora fin]]-disponibilidad[[#This Row],[Fecha y hora inicio]])*1440</f>
        <v>0</v>
      </c>
    </row>
    <row r="1686" spans="6:6" ht="15">
      <c r="F1686" s="115">
        <f>+(disponibilidad[[#This Row],[Fecha y hora fin]]-disponibilidad[[#This Row],[Fecha y hora inicio]])*1440</f>
        <v>0</v>
      </c>
    </row>
    <row r="1687" spans="6:6" ht="15">
      <c r="F1687" s="115">
        <f>+(disponibilidad[[#This Row],[Fecha y hora fin]]-disponibilidad[[#This Row],[Fecha y hora inicio]])*1440</f>
        <v>0</v>
      </c>
    </row>
    <row r="1688" spans="6:6" ht="15">
      <c r="F1688" s="115">
        <f>+(disponibilidad[[#This Row],[Fecha y hora fin]]-disponibilidad[[#This Row],[Fecha y hora inicio]])*1440</f>
        <v>0</v>
      </c>
    </row>
    <row r="1689" spans="6:6" ht="15">
      <c r="F1689" s="115">
        <f>+(disponibilidad[[#This Row],[Fecha y hora fin]]-disponibilidad[[#This Row],[Fecha y hora inicio]])*1440</f>
        <v>0</v>
      </c>
    </row>
    <row r="1690" spans="6:6" ht="15">
      <c r="F1690" s="115">
        <f>+(disponibilidad[[#This Row],[Fecha y hora fin]]-disponibilidad[[#This Row],[Fecha y hora inicio]])*1440</f>
        <v>0</v>
      </c>
    </row>
    <row r="1691" spans="6:6" ht="15">
      <c r="F1691" s="115">
        <f>+(disponibilidad[[#This Row],[Fecha y hora fin]]-disponibilidad[[#This Row],[Fecha y hora inicio]])*1440</f>
        <v>0</v>
      </c>
    </row>
    <row r="1692" spans="6:6" ht="15">
      <c r="F1692" s="115">
        <f>+(disponibilidad[[#This Row],[Fecha y hora fin]]-disponibilidad[[#This Row],[Fecha y hora inicio]])*1440</f>
        <v>0</v>
      </c>
    </row>
    <row r="1693" spans="6:6" ht="15">
      <c r="F1693" s="115">
        <f>+(disponibilidad[[#This Row],[Fecha y hora fin]]-disponibilidad[[#This Row],[Fecha y hora inicio]])*1440</f>
        <v>0</v>
      </c>
    </row>
    <row r="1694" spans="6:6" ht="15">
      <c r="F1694" s="115">
        <f>+(disponibilidad[[#This Row],[Fecha y hora fin]]-disponibilidad[[#This Row],[Fecha y hora inicio]])*1440</f>
        <v>0</v>
      </c>
    </row>
    <row r="1695" spans="6:6" ht="15">
      <c r="F1695" s="115">
        <f>+(disponibilidad[[#This Row],[Fecha y hora fin]]-disponibilidad[[#This Row],[Fecha y hora inicio]])*1440</f>
        <v>0</v>
      </c>
    </row>
    <row r="1696" spans="6:6" ht="15">
      <c r="F1696" s="115">
        <f>+(disponibilidad[[#This Row],[Fecha y hora fin]]-disponibilidad[[#This Row],[Fecha y hora inicio]])*1440</f>
        <v>0</v>
      </c>
    </row>
    <row r="1697" spans="6:6" ht="15">
      <c r="F1697" s="115">
        <f>+(disponibilidad[[#This Row],[Fecha y hora fin]]-disponibilidad[[#This Row],[Fecha y hora inicio]])*1440</f>
        <v>0</v>
      </c>
    </row>
    <row r="1698" spans="6:6" ht="15">
      <c r="F1698" s="115">
        <f>+(disponibilidad[[#This Row],[Fecha y hora fin]]-disponibilidad[[#This Row],[Fecha y hora inicio]])*1440</f>
        <v>0</v>
      </c>
    </row>
    <row r="1699" spans="6:6" ht="15">
      <c r="F1699" s="115">
        <f>+(disponibilidad[[#This Row],[Fecha y hora fin]]-disponibilidad[[#This Row],[Fecha y hora inicio]])*1440</f>
        <v>0</v>
      </c>
    </row>
    <row r="1700" spans="6:6" ht="15">
      <c r="F1700" s="115">
        <f>+(disponibilidad[[#This Row],[Fecha y hora fin]]-disponibilidad[[#This Row],[Fecha y hora inicio]])*1440</f>
        <v>0</v>
      </c>
    </row>
    <row r="1701" spans="6:6" ht="15">
      <c r="F1701" s="115">
        <f>+(disponibilidad[[#This Row],[Fecha y hora fin]]-disponibilidad[[#This Row],[Fecha y hora inicio]])*1440</f>
        <v>0</v>
      </c>
    </row>
    <row r="1702" spans="6:6" ht="15">
      <c r="F1702" s="115">
        <f>+(disponibilidad[[#This Row],[Fecha y hora fin]]-disponibilidad[[#This Row],[Fecha y hora inicio]])*1440</f>
        <v>0</v>
      </c>
    </row>
    <row r="1703" spans="6:6" ht="15">
      <c r="F1703" s="115">
        <f>+(disponibilidad[[#This Row],[Fecha y hora fin]]-disponibilidad[[#This Row],[Fecha y hora inicio]])*1440</f>
        <v>0</v>
      </c>
    </row>
    <row r="1704" spans="6:6" ht="15">
      <c r="F1704" s="115">
        <f>+(disponibilidad[[#This Row],[Fecha y hora fin]]-disponibilidad[[#This Row],[Fecha y hora inicio]])*1440</f>
        <v>0</v>
      </c>
    </row>
    <row r="1705" spans="6:6" ht="15">
      <c r="F1705" s="115">
        <f>+(disponibilidad[[#This Row],[Fecha y hora fin]]-disponibilidad[[#This Row],[Fecha y hora inicio]])*1440</f>
        <v>0</v>
      </c>
    </row>
    <row r="1706" spans="6:6" ht="15">
      <c r="F1706" s="115">
        <f>+(disponibilidad[[#This Row],[Fecha y hora fin]]-disponibilidad[[#This Row],[Fecha y hora inicio]])*1440</f>
        <v>0</v>
      </c>
    </row>
    <row r="1707" spans="6:6" ht="15">
      <c r="F1707" s="115">
        <f>+(disponibilidad[[#This Row],[Fecha y hora fin]]-disponibilidad[[#This Row],[Fecha y hora inicio]])*1440</f>
        <v>0</v>
      </c>
    </row>
    <row r="1708" spans="6:6" ht="15">
      <c r="F1708" s="115">
        <f>+(disponibilidad[[#This Row],[Fecha y hora fin]]-disponibilidad[[#This Row],[Fecha y hora inicio]])*1440</f>
        <v>0</v>
      </c>
    </row>
    <row r="1709" spans="6:6" ht="15">
      <c r="F1709" s="115">
        <f>+(disponibilidad[[#This Row],[Fecha y hora fin]]-disponibilidad[[#This Row],[Fecha y hora inicio]])*1440</f>
        <v>0</v>
      </c>
    </row>
    <row r="1710" spans="6:6" ht="15">
      <c r="F1710" s="115">
        <f>+(disponibilidad[[#This Row],[Fecha y hora fin]]-disponibilidad[[#This Row],[Fecha y hora inicio]])*1440</f>
        <v>0</v>
      </c>
    </row>
    <row r="1711" spans="6:6" ht="15">
      <c r="F1711" s="115">
        <f>+(disponibilidad[[#This Row],[Fecha y hora fin]]-disponibilidad[[#This Row],[Fecha y hora inicio]])*1440</f>
        <v>0</v>
      </c>
    </row>
    <row r="1712" spans="6:6" ht="15">
      <c r="F1712" s="115">
        <f>+(disponibilidad[[#This Row],[Fecha y hora fin]]-disponibilidad[[#This Row],[Fecha y hora inicio]])*1440</f>
        <v>0</v>
      </c>
    </row>
    <row r="1713" spans="6:6" ht="15">
      <c r="F1713" s="115">
        <f>+(disponibilidad[[#This Row],[Fecha y hora fin]]-disponibilidad[[#This Row],[Fecha y hora inicio]])*1440</f>
        <v>0</v>
      </c>
    </row>
    <row r="1714" spans="6:6" ht="15">
      <c r="F1714" s="115">
        <f>+(disponibilidad[[#This Row],[Fecha y hora fin]]-disponibilidad[[#This Row],[Fecha y hora inicio]])*1440</f>
        <v>0</v>
      </c>
    </row>
    <row r="1715" spans="6:6" ht="15">
      <c r="F1715" s="115">
        <f>+(disponibilidad[[#This Row],[Fecha y hora fin]]-disponibilidad[[#This Row],[Fecha y hora inicio]])*1440</f>
        <v>0</v>
      </c>
    </row>
    <row r="1716" spans="6:6" ht="15">
      <c r="F1716" s="115">
        <f>+(disponibilidad[[#This Row],[Fecha y hora fin]]-disponibilidad[[#This Row],[Fecha y hora inicio]])*1440</f>
        <v>0</v>
      </c>
    </row>
    <row r="1717" spans="6:6" ht="15">
      <c r="F1717" s="115">
        <f>+(disponibilidad[[#This Row],[Fecha y hora fin]]-disponibilidad[[#This Row],[Fecha y hora inicio]])*1440</f>
        <v>0</v>
      </c>
    </row>
    <row r="1718" spans="6:6" ht="15">
      <c r="F1718" s="115">
        <f>+(disponibilidad[[#This Row],[Fecha y hora fin]]-disponibilidad[[#This Row],[Fecha y hora inicio]])*1440</f>
        <v>0</v>
      </c>
    </row>
    <row r="1719" spans="6:6" ht="15">
      <c r="F1719" s="115">
        <f>+(disponibilidad[[#This Row],[Fecha y hora fin]]-disponibilidad[[#This Row],[Fecha y hora inicio]])*1440</f>
        <v>0</v>
      </c>
    </row>
    <row r="1720" spans="6:6" ht="15">
      <c r="F1720" s="115">
        <f>+(disponibilidad[[#This Row],[Fecha y hora fin]]-disponibilidad[[#This Row],[Fecha y hora inicio]])*1440</f>
        <v>0</v>
      </c>
    </row>
    <row r="1721" spans="6:6" ht="15">
      <c r="F1721" s="115">
        <f>+(disponibilidad[[#This Row],[Fecha y hora fin]]-disponibilidad[[#This Row],[Fecha y hora inicio]])*1440</f>
        <v>0</v>
      </c>
    </row>
    <row r="1722" spans="6:6" ht="15">
      <c r="F1722" s="115">
        <f>+(disponibilidad[[#This Row],[Fecha y hora fin]]-disponibilidad[[#This Row],[Fecha y hora inicio]])*1440</f>
        <v>0</v>
      </c>
    </row>
    <row r="1723" spans="6:6" ht="15">
      <c r="F1723" s="115">
        <f>+(disponibilidad[[#This Row],[Fecha y hora fin]]-disponibilidad[[#This Row],[Fecha y hora inicio]])*1440</f>
        <v>0</v>
      </c>
    </row>
    <row r="1724" spans="6:6" ht="15">
      <c r="F1724" s="115">
        <f>+(disponibilidad[[#This Row],[Fecha y hora fin]]-disponibilidad[[#This Row],[Fecha y hora inicio]])*1440</f>
        <v>0</v>
      </c>
    </row>
    <row r="1725" spans="6:6" ht="15">
      <c r="F1725" s="115">
        <f>+(disponibilidad[[#This Row],[Fecha y hora fin]]-disponibilidad[[#This Row],[Fecha y hora inicio]])*1440</f>
        <v>0</v>
      </c>
    </row>
    <row r="1726" spans="6:6" ht="15">
      <c r="F1726" s="115">
        <f>+(disponibilidad[[#This Row],[Fecha y hora fin]]-disponibilidad[[#This Row],[Fecha y hora inicio]])*1440</f>
        <v>0</v>
      </c>
    </row>
    <row r="1727" spans="6:6" ht="15">
      <c r="F1727" s="115">
        <f>+(disponibilidad[[#This Row],[Fecha y hora fin]]-disponibilidad[[#This Row],[Fecha y hora inicio]])*1440</f>
        <v>0</v>
      </c>
    </row>
    <row r="1728" spans="6:6" ht="15">
      <c r="F1728" s="115">
        <f>+(disponibilidad[[#This Row],[Fecha y hora fin]]-disponibilidad[[#This Row],[Fecha y hora inicio]])*1440</f>
        <v>0</v>
      </c>
    </row>
    <row r="1729" spans="6:6" ht="15">
      <c r="F1729" s="115">
        <f>+(disponibilidad[[#This Row],[Fecha y hora fin]]-disponibilidad[[#This Row],[Fecha y hora inicio]])*1440</f>
        <v>0</v>
      </c>
    </row>
    <row r="1730" spans="6:6" ht="15">
      <c r="F1730" s="115">
        <f>+(disponibilidad[[#This Row],[Fecha y hora fin]]-disponibilidad[[#This Row],[Fecha y hora inicio]])*1440</f>
        <v>0</v>
      </c>
    </row>
    <row r="1731" spans="6:6" ht="15">
      <c r="F1731" s="115">
        <f>+(disponibilidad[[#This Row],[Fecha y hora fin]]-disponibilidad[[#This Row],[Fecha y hora inicio]])*1440</f>
        <v>0</v>
      </c>
    </row>
    <row r="1732" spans="6:6" ht="15">
      <c r="F1732" s="115">
        <f>+(disponibilidad[[#This Row],[Fecha y hora fin]]-disponibilidad[[#This Row],[Fecha y hora inicio]])*1440</f>
        <v>0</v>
      </c>
    </row>
    <row r="1733" spans="6:6" ht="15">
      <c r="F1733" s="115">
        <f>+(disponibilidad[[#This Row],[Fecha y hora fin]]-disponibilidad[[#This Row],[Fecha y hora inicio]])*1440</f>
        <v>0</v>
      </c>
    </row>
    <row r="1734" spans="6:6" ht="15">
      <c r="F1734" s="115">
        <f>+(disponibilidad[[#This Row],[Fecha y hora fin]]-disponibilidad[[#This Row],[Fecha y hora inicio]])*1440</f>
        <v>0</v>
      </c>
    </row>
    <row r="1735" spans="6:6" ht="15">
      <c r="F1735" s="115">
        <f>+(disponibilidad[[#This Row],[Fecha y hora fin]]-disponibilidad[[#This Row],[Fecha y hora inicio]])*1440</f>
        <v>0</v>
      </c>
    </row>
    <row r="1736" spans="6:6" ht="15">
      <c r="F1736" s="115">
        <f>+(disponibilidad[[#This Row],[Fecha y hora fin]]-disponibilidad[[#This Row],[Fecha y hora inicio]])*1440</f>
        <v>0</v>
      </c>
    </row>
    <row r="1737" spans="6:6" ht="15">
      <c r="F1737" s="115">
        <f>+(disponibilidad[[#This Row],[Fecha y hora fin]]-disponibilidad[[#This Row],[Fecha y hora inicio]])*1440</f>
        <v>0</v>
      </c>
    </row>
    <row r="1738" spans="6:6" ht="15">
      <c r="F1738" s="115">
        <f>+(disponibilidad[[#This Row],[Fecha y hora fin]]-disponibilidad[[#This Row],[Fecha y hora inicio]])*1440</f>
        <v>0</v>
      </c>
    </row>
    <row r="1739" spans="6:6" ht="15">
      <c r="F1739" s="115">
        <f>+(disponibilidad[[#This Row],[Fecha y hora fin]]-disponibilidad[[#This Row],[Fecha y hora inicio]])*1440</f>
        <v>0</v>
      </c>
    </row>
    <row r="1740" spans="6:6" ht="15">
      <c r="F1740" s="115">
        <f>+(disponibilidad[[#This Row],[Fecha y hora fin]]-disponibilidad[[#This Row],[Fecha y hora inicio]])*1440</f>
        <v>0</v>
      </c>
    </row>
    <row r="1741" spans="6:6" ht="15">
      <c r="F1741" s="115">
        <f>+(disponibilidad[[#This Row],[Fecha y hora fin]]-disponibilidad[[#This Row],[Fecha y hora inicio]])*1440</f>
        <v>0</v>
      </c>
    </row>
    <row r="1742" spans="6:6" ht="15">
      <c r="F1742" s="115">
        <f>+(disponibilidad[[#This Row],[Fecha y hora fin]]-disponibilidad[[#This Row],[Fecha y hora inicio]])*1440</f>
        <v>0</v>
      </c>
    </row>
    <row r="1743" spans="6:6" ht="15">
      <c r="F1743" s="115">
        <f>+(disponibilidad[[#This Row],[Fecha y hora fin]]-disponibilidad[[#This Row],[Fecha y hora inicio]])*1440</f>
        <v>0</v>
      </c>
    </row>
    <row r="1744" spans="6:6" ht="15">
      <c r="F1744" s="115">
        <f>+(disponibilidad[[#This Row],[Fecha y hora fin]]-disponibilidad[[#This Row],[Fecha y hora inicio]])*1440</f>
        <v>0</v>
      </c>
    </row>
    <row r="1745" spans="6:6" ht="15">
      <c r="F1745" s="115">
        <f>+(disponibilidad[[#This Row],[Fecha y hora fin]]-disponibilidad[[#This Row],[Fecha y hora inicio]])*1440</f>
        <v>0</v>
      </c>
    </row>
    <row r="1746" spans="6:6" ht="15">
      <c r="F1746" s="115">
        <f>+(disponibilidad[[#This Row],[Fecha y hora fin]]-disponibilidad[[#This Row],[Fecha y hora inicio]])*1440</f>
        <v>0</v>
      </c>
    </row>
    <row r="1747" spans="6:6" ht="15">
      <c r="F1747" s="115">
        <f>+(disponibilidad[[#This Row],[Fecha y hora fin]]-disponibilidad[[#This Row],[Fecha y hora inicio]])*1440</f>
        <v>0</v>
      </c>
    </row>
    <row r="1748" spans="6:6" ht="15">
      <c r="F1748" s="115">
        <f>+(disponibilidad[[#This Row],[Fecha y hora fin]]-disponibilidad[[#This Row],[Fecha y hora inicio]])*1440</f>
        <v>0</v>
      </c>
    </row>
    <row r="1749" spans="6:6" ht="15">
      <c r="F1749" s="115">
        <f>+(disponibilidad[[#This Row],[Fecha y hora fin]]-disponibilidad[[#This Row],[Fecha y hora inicio]])*1440</f>
        <v>0</v>
      </c>
    </row>
    <row r="1750" spans="6:6" ht="15">
      <c r="F1750" s="115">
        <f>+(disponibilidad[[#This Row],[Fecha y hora fin]]-disponibilidad[[#This Row],[Fecha y hora inicio]])*1440</f>
        <v>0</v>
      </c>
    </row>
    <row r="1751" spans="6:6" ht="15">
      <c r="F1751" s="115">
        <f>+(disponibilidad[[#This Row],[Fecha y hora fin]]-disponibilidad[[#This Row],[Fecha y hora inicio]])*1440</f>
        <v>0</v>
      </c>
    </row>
    <row r="1752" spans="6:6" ht="15">
      <c r="F1752" s="115">
        <f>+(disponibilidad[[#This Row],[Fecha y hora fin]]-disponibilidad[[#This Row],[Fecha y hora inicio]])*1440</f>
        <v>0</v>
      </c>
    </row>
    <row r="1753" spans="6:6" ht="15">
      <c r="F1753" s="115">
        <f>+(disponibilidad[[#This Row],[Fecha y hora fin]]-disponibilidad[[#This Row],[Fecha y hora inicio]])*1440</f>
        <v>0</v>
      </c>
    </row>
    <row r="1754" spans="6:6" ht="15">
      <c r="F1754" s="115">
        <f>+(disponibilidad[[#This Row],[Fecha y hora fin]]-disponibilidad[[#This Row],[Fecha y hora inicio]])*1440</f>
        <v>0</v>
      </c>
    </row>
    <row r="1755" spans="6:6" ht="15">
      <c r="F1755" s="115">
        <f>+(disponibilidad[[#This Row],[Fecha y hora fin]]-disponibilidad[[#This Row],[Fecha y hora inicio]])*1440</f>
        <v>0</v>
      </c>
    </row>
    <row r="1756" spans="6:6" ht="15">
      <c r="F1756" s="115">
        <f>+(disponibilidad[[#This Row],[Fecha y hora fin]]-disponibilidad[[#This Row],[Fecha y hora inicio]])*1440</f>
        <v>0</v>
      </c>
    </row>
    <row r="1757" spans="6:6" ht="15">
      <c r="F1757" s="115">
        <f>+(disponibilidad[[#This Row],[Fecha y hora fin]]-disponibilidad[[#This Row],[Fecha y hora inicio]])*1440</f>
        <v>0</v>
      </c>
    </row>
    <row r="1758" spans="6:6" ht="15">
      <c r="F1758" s="115">
        <f>+(disponibilidad[[#This Row],[Fecha y hora fin]]-disponibilidad[[#This Row],[Fecha y hora inicio]])*1440</f>
        <v>0</v>
      </c>
    </row>
    <row r="1759" spans="6:6" ht="15">
      <c r="F1759" s="115">
        <f>+(disponibilidad[[#This Row],[Fecha y hora fin]]-disponibilidad[[#This Row],[Fecha y hora inicio]])*1440</f>
        <v>0</v>
      </c>
    </row>
    <row r="1760" spans="6:6" ht="15">
      <c r="F1760" s="115">
        <f>+(disponibilidad[[#This Row],[Fecha y hora fin]]-disponibilidad[[#This Row],[Fecha y hora inicio]])*1440</f>
        <v>0</v>
      </c>
    </row>
    <row r="1761" spans="6:6" ht="15">
      <c r="F1761" s="115">
        <f>+(disponibilidad[[#This Row],[Fecha y hora fin]]-disponibilidad[[#This Row],[Fecha y hora inicio]])*1440</f>
        <v>0</v>
      </c>
    </row>
    <row r="1762" spans="6:6" ht="15">
      <c r="F1762" s="115">
        <f>+(disponibilidad[[#This Row],[Fecha y hora fin]]-disponibilidad[[#This Row],[Fecha y hora inicio]])*1440</f>
        <v>0</v>
      </c>
    </row>
    <row r="1763" spans="6:6" ht="15">
      <c r="F1763" s="115">
        <f>+(disponibilidad[[#This Row],[Fecha y hora fin]]-disponibilidad[[#This Row],[Fecha y hora inicio]])*1440</f>
        <v>0</v>
      </c>
    </row>
    <row r="1764" spans="6:6" ht="15">
      <c r="F1764" s="115">
        <f>+(disponibilidad[[#This Row],[Fecha y hora fin]]-disponibilidad[[#This Row],[Fecha y hora inicio]])*1440</f>
        <v>0</v>
      </c>
    </row>
    <row r="1765" spans="6:6" ht="15">
      <c r="F1765" s="115">
        <f>+(disponibilidad[[#This Row],[Fecha y hora fin]]-disponibilidad[[#This Row],[Fecha y hora inicio]])*1440</f>
        <v>0</v>
      </c>
    </row>
    <row r="1766" spans="6:6" ht="15">
      <c r="F1766" s="115">
        <f>+(disponibilidad[[#This Row],[Fecha y hora fin]]-disponibilidad[[#This Row],[Fecha y hora inicio]])*1440</f>
        <v>0</v>
      </c>
    </row>
    <row r="1767" spans="6:6" ht="15">
      <c r="F1767" s="115">
        <f>+(disponibilidad[[#This Row],[Fecha y hora fin]]-disponibilidad[[#This Row],[Fecha y hora inicio]])*1440</f>
        <v>0</v>
      </c>
    </row>
    <row r="1768" spans="6:6" ht="15">
      <c r="F1768" s="115">
        <f>+(disponibilidad[[#This Row],[Fecha y hora fin]]-disponibilidad[[#This Row],[Fecha y hora inicio]])*1440</f>
        <v>0</v>
      </c>
    </row>
    <row r="1769" spans="6:6" ht="15">
      <c r="F1769" s="115">
        <f>+(disponibilidad[[#This Row],[Fecha y hora fin]]-disponibilidad[[#This Row],[Fecha y hora inicio]])*1440</f>
        <v>0</v>
      </c>
    </row>
    <row r="1770" spans="6:6" ht="15">
      <c r="F1770" s="115">
        <f>+(disponibilidad[[#This Row],[Fecha y hora fin]]-disponibilidad[[#This Row],[Fecha y hora inicio]])*1440</f>
        <v>0</v>
      </c>
    </row>
    <row r="1771" spans="6:6" ht="15">
      <c r="F1771" s="115">
        <f>+(disponibilidad[[#This Row],[Fecha y hora fin]]-disponibilidad[[#This Row],[Fecha y hora inicio]])*1440</f>
        <v>0</v>
      </c>
    </row>
    <row r="1772" spans="6:6" ht="15">
      <c r="F1772" s="115">
        <f>+(disponibilidad[[#This Row],[Fecha y hora fin]]-disponibilidad[[#This Row],[Fecha y hora inicio]])*1440</f>
        <v>0</v>
      </c>
    </row>
    <row r="1773" spans="6:6" ht="15">
      <c r="F1773" s="115">
        <f>+(disponibilidad[[#This Row],[Fecha y hora fin]]-disponibilidad[[#This Row],[Fecha y hora inicio]])*1440</f>
        <v>0</v>
      </c>
    </row>
    <row r="1774" spans="6:6" ht="15">
      <c r="F1774" s="115">
        <f>+(disponibilidad[[#This Row],[Fecha y hora fin]]-disponibilidad[[#This Row],[Fecha y hora inicio]])*1440</f>
        <v>0</v>
      </c>
    </row>
    <row r="1775" spans="6:6" ht="15">
      <c r="F1775" s="115">
        <f>+(disponibilidad[[#This Row],[Fecha y hora fin]]-disponibilidad[[#This Row],[Fecha y hora inicio]])*1440</f>
        <v>0</v>
      </c>
    </row>
    <row r="1776" spans="6:6" ht="15">
      <c r="F1776" s="115">
        <f>+(disponibilidad[[#This Row],[Fecha y hora fin]]-disponibilidad[[#This Row],[Fecha y hora inicio]])*1440</f>
        <v>0</v>
      </c>
    </row>
    <row r="1777" spans="6:6" ht="15">
      <c r="F1777" s="115">
        <f>+(disponibilidad[[#This Row],[Fecha y hora fin]]-disponibilidad[[#This Row],[Fecha y hora inicio]])*1440</f>
        <v>0</v>
      </c>
    </row>
    <row r="1778" spans="6:6" ht="15">
      <c r="F1778" s="115">
        <f>+(disponibilidad[[#This Row],[Fecha y hora fin]]-disponibilidad[[#This Row],[Fecha y hora inicio]])*1440</f>
        <v>0</v>
      </c>
    </row>
    <row r="1779" spans="6:6" ht="15">
      <c r="F1779" s="115">
        <f>+(disponibilidad[[#This Row],[Fecha y hora fin]]-disponibilidad[[#This Row],[Fecha y hora inicio]])*1440</f>
        <v>0</v>
      </c>
    </row>
    <row r="1780" spans="6:6" ht="15">
      <c r="F1780" s="115">
        <f>+(disponibilidad[[#This Row],[Fecha y hora fin]]-disponibilidad[[#This Row],[Fecha y hora inicio]])*1440</f>
        <v>0</v>
      </c>
    </row>
    <row r="1781" spans="6:6" ht="15">
      <c r="F1781" s="115">
        <f>+(disponibilidad[[#This Row],[Fecha y hora fin]]-disponibilidad[[#This Row],[Fecha y hora inicio]])*1440</f>
        <v>0</v>
      </c>
    </row>
    <row r="1782" spans="6:6" ht="15">
      <c r="F1782" s="115">
        <f>+(disponibilidad[[#This Row],[Fecha y hora fin]]-disponibilidad[[#This Row],[Fecha y hora inicio]])*1440</f>
        <v>0</v>
      </c>
    </row>
    <row r="1783" spans="6:6" ht="15">
      <c r="F1783" s="115">
        <f>+(disponibilidad[[#This Row],[Fecha y hora fin]]-disponibilidad[[#This Row],[Fecha y hora inicio]])*1440</f>
        <v>0</v>
      </c>
    </row>
    <row r="1784" spans="6:6" ht="15">
      <c r="F1784" s="115">
        <f>+(disponibilidad[[#This Row],[Fecha y hora fin]]-disponibilidad[[#This Row],[Fecha y hora inicio]])*1440</f>
        <v>0</v>
      </c>
    </row>
    <row r="1785" spans="6:6" ht="15">
      <c r="F1785" s="115">
        <f>+(disponibilidad[[#This Row],[Fecha y hora fin]]-disponibilidad[[#This Row],[Fecha y hora inicio]])*1440</f>
        <v>0</v>
      </c>
    </row>
    <row r="1786" spans="6:6" ht="15">
      <c r="F1786" s="115">
        <f>+(disponibilidad[[#This Row],[Fecha y hora fin]]-disponibilidad[[#This Row],[Fecha y hora inicio]])*1440</f>
        <v>0</v>
      </c>
    </row>
    <row r="1787" spans="6:6" ht="15">
      <c r="F1787" s="115">
        <f>+(disponibilidad[[#This Row],[Fecha y hora fin]]-disponibilidad[[#This Row],[Fecha y hora inicio]])*1440</f>
        <v>0</v>
      </c>
    </row>
    <row r="1788" spans="6:6" ht="15">
      <c r="F1788" s="115">
        <f>+(disponibilidad[[#This Row],[Fecha y hora fin]]-disponibilidad[[#This Row],[Fecha y hora inicio]])*1440</f>
        <v>0</v>
      </c>
    </row>
    <row r="1789" spans="6:6" ht="15">
      <c r="F1789" s="115">
        <f>+(disponibilidad[[#This Row],[Fecha y hora fin]]-disponibilidad[[#This Row],[Fecha y hora inicio]])*1440</f>
        <v>0</v>
      </c>
    </row>
    <row r="1790" spans="6:6" ht="15">
      <c r="F1790" s="115">
        <f>+(disponibilidad[[#This Row],[Fecha y hora fin]]-disponibilidad[[#This Row],[Fecha y hora inicio]])*1440</f>
        <v>0</v>
      </c>
    </row>
    <row r="1791" spans="6:6" ht="15">
      <c r="F1791" s="115">
        <f>+(disponibilidad[[#This Row],[Fecha y hora fin]]-disponibilidad[[#This Row],[Fecha y hora inicio]])*1440</f>
        <v>0</v>
      </c>
    </row>
    <row r="1792" spans="6:6" ht="15">
      <c r="F1792" s="115">
        <f>+(disponibilidad[[#This Row],[Fecha y hora fin]]-disponibilidad[[#This Row],[Fecha y hora inicio]])*1440</f>
        <v>0</v>
      </c>
    </row>
    <row r="1793" spans="6:6" ht="15">
      <c r="F1793" s="115">
        <f>+(disponibilidad[[#This Row],[Fecha y hora fin]]-disponibilidad[[#This Row],[Fecha y hora inicio]])*1440</f>
        <v>0</v>
      </c>
    </row>
    <row r="1794" spans="6:6" ht="15">
      <c r="F1794" s="115">
        <f>+(disponibilidad[[#This Row],[Fecha y hora fin]]-disponibilidad[[#This Row],[Fecha y hora inicio]])*1440</f>
        <v>0</v>
      </c>
    </row>
    <row r="1795" spans="6:6" ht="15">
      <c r="F1795" s="115">
        <f>+(disponibilidad[[#This Row],[Fecha y hora fin]]-disponibilidad[[#This Row],[Fecha y hora inicio]])*1440</f>
        <v>0</v>
      </c>
    </row>
    <row r="1796" spans="6:6" ht="15">
      <c r="F1796" s="115">
        <f>+(disponibilidad[[#This Row],[Fecha y hora fin]]-disponibilidad[[#This Row],[Fecha y hora inicio]])*1440</f>
        <v>0</v>
      </c>
    </row>
    <row r="1797" spans="6:6" ht="15">
      <c r="F1797" s="115">
        <f>+(disponibilidad[[#This Row],[Fecha y hora fin]]-disponibilidad[[#This Row],[Fecha y hora inicio]])*1440</f>
        <v>0</v>
      </c>
    </row>
    <row r="1798" spans="6:6" ht="15">
      <c r="F1798" s="115">
        <f>+(disponibilidad[[#This Row],[Fecha y hora fin]]-disponibilidad[[#This Row],[Fecha y hora inicio]])*1440</f>
        <v>0</v>
      </c>
    </row>
    <row r="1799" spans="6:6" ht="15">
      <c r="F1799" s="115">
        <f>+(disponibilidad[[#This Row],[Fecha y hora fin]]-disponibilidad[[#This Row],[Fecha y hora inicio]])*1440</f>
        <v>0</v>
      </c>
    </row>
    <row r="1800" spans="6:6" ht="15">
      <c r="F1800" s="115">
        <f>+(disponibilidad[[#This Row],[Fecha y hora fin]]-disponibilidad[[#This Row],[Fecha y hora inicio]])*1440</f>
        <v>0</v>
      </c>
    </row>
    <row r="1801" spans="6:6" ht="15">
      <c r="F1801" s="115">
        <f>+(disponibilidad[[#This Row],[Fecha y hora fin]]-disponibilidad[[#This Row],[Fecha y hora inicio]])*1440</f>
        <v>0</v>
      </c>
    </row>
    <row r="1802" spans="6:6" ht="15">
      <c r="F1802" s="115">
        <f>+(disponibilidad[[#This Row],[Fecha y hora fin]]-disponibilidad[[#This Row],[Fecha y hora inicio]])*1440</f>
        <v>0</v>
      </c>
    </row>
    <row r="1803" spans="6:6" ht="15">
      <c r="F1803" s="115">
        <f>+(disponibilidad[[#This Row],[Fecha y hora fin]]-disponibilidad[[#This Row],[Fecha y hora inicio]])*1440</f>
        <v>0</v>
      </c>
    </row>
    <row r="1804" spans="6:6" ht="15">
      <c r="F1804" s="115">
        <f>+(disponibilidad[[#This Row],[Fecha y hora fin]]-disponibilidad[[#This Row],[Fecha y hora inicio]])*1440</f>
        <v>0</v>
      </c>
    </row>
    <row r="1805" spans="6:6" ht="15">
      <c r="F1805" s="115">
        <f>+(disponibilidad[[#This Row],[Fecha y hora fin]]-disponibilidad[[#This Row],[Fecha y hora inicio]])*1440</f>
        <v>0</v>
      </c>
    </row>
    <row r="1806" spans="6:6" ht="15">
      <c r="F1806" s="115">
        <f>+(disponibilidad[[#This Row],[Fecha y hora fin]]-disponibilidad[[#This Row],[Fecha y hora inicio]])*1440</f>
        <v>0</v>
      </c>
    </row>
    <row r="1807" spans="6:6" ht="15">
      <c r="F1807" s="115">
        <f>+(disponibilidad[[#This Row],[Fecha y hora fin]]-disponibilidad[[#This Row],[Fecha y hora inicio]])*1440</f>
        <v>0</v>
      </c>
    </row>
    <row r="1808" spans="6:6" ht="15">
      <c r="F1808" s="115">
        <f>+(disponibilidad[[#This Row],[Fecha y hora fin]]-disponibilidad[[#This Row],[Fecha y hora inicio]])*1440</f>
        <v>0</v>
      </c>
    </row>
    <row r="1809" spans="6:6" ht="15">
      <c r="F1809" s="115">
        <f>+(disponibilidad[[#This Row],[Fecha y hora fin]]-disponibilidad[[#This Row],[Fecha y hora inicio]])*1440</f>
        <v>0</v>
      </c>
    </row>
    <row r="1810" spans="6:6" ht="15">
      <c r="F1810" s="115">
        <f>+(disponibilidad[[#This Row],[Fecha y hora fin]]-disponibilidad[[#This Row],[Fecha y hora inicio]])*1440</f>
        <v>0</v>
      </c>
    </row>
    <row r="1811" spans="6:6" ht="15">
      <c r="F1811" s="115">
        <f>+(disponibilidad[[#This Row],[Fecha y hora fin]]-disponibilidad[[#This Row],[Fecha y hora inicio]])*1440</f>
        <v>0</v>
      </c>
    </row>
    <row r="1812" spans="6:6" ht="15">
      <c r="F1812" s="115">
        <f>+(disponibilidad[[#This Row],[Fecha y hora fin]]-disponibilidad[[#This Row],[Fecha y hora inicio]])*1440</f>
        <v>0</v>
      </c>
    </row>
    <row r="1813" spans="6:6" ht="15">
      <c r="F1813" s="115">
        <f>+(disponibilidad[[#This Row],[Fecha y hora fin]]-disponibilidad[[#This Row],[Fecha y hora inicio]])*1440</f>
        <v>0</v>
      </c>
    </row>
    <row r="1814" spans="6:6" ht="15">
      <c r="F1814" s="115">
        <f>+(disponibilidad[[#This Row],[Fecha y hora fin]]-disponibilidad[[#This Row],[Fecha y hora inicio]])*1440</f>
        <v>0</v>
      </c>
    </row>
    <row r="1815" spans="6:6" ht="15">
      <c r="F1815" s="115">
        <f>+(disponibilidad[[#This Row],[Fecha y hora fin]]-disponibilidad[[#This Row],[Fecha y hora inicio]])*1440</f>
        <v>0</v>
      </c>
    </row>
    <row r="1816" spans="6:6" ht="15">
      <c r="F1816" s="115">
        <f>+(disponibilidad[[#This Row],[Fecha y hora fin]]-disponibilidad[[#This Row],[Fecha y hora inicio]])*1440</f>
        <v>0</v>
      </c>
    </row>
    <row r="1817" spans="6:6" ht="15">
      <c r="F1817" s="115">
        <f>+(disponibilidad[[#This Row],[Fecha y hora fin]]-disponibilidad[[#This Row],[Fecha y hora inicio]])*1440</f>
        <v>0</v>
      </c>
    </row>
    <row r="1818" spans="6:6" ht="15">
      <c r="F1818" s="115">
        <f>+(disponibilidad[[#This Row],[Fecha y hora fin]]-disponibilidad[[#This Row],[Fecha y hora inicio]])*1440</f>
        <v>0</v>
      </c>
    </row>
    <row r="1819" spans="6:6" ht="15">
      <c r="F1819" s="115">
        <f>+(disponibilidad[[#This Row],[Fecha y hora fin]]-disponibilidad[[#This Row],[Fecha y hora inicio]])*1440</f>
        <v>0</v>
      </c>
    </row>
    <row r="1820" spans="6:6" ht="15">
      <c r="F1820" s="115">
        <f>+(disponibilidad[[#This Row],[Fecha y hora fin]]-disponibilidad[[#This Row],[Fecha y hora inicio]])*1440</f>
        <v>0</v>
      </c>
    </row>
    <row r="1821" spans="6:6" ht="15">
      <c r="F1821" s="115">
        <f>+(disponibilidad[[#This Row],[Fecha y hora fin]]-disponibilidad[[#This Row],[Fecha y hora inicio]])*1440</f>
        <v>0</v>
      </c>
    </row>
    <row r="1822" spans="6:6" ht="15">
      <c r="F1822" s="115">
        <f>+(disponibilidad[[#This Row],[Fecha y hora fin]]-disponibilidad[[#This Row],[Fecha y hora inicio]])*1440</f>
        <v>0</v>
      </c>
    </row>
    <row r="1823" spans="6:6" ht="15">
      <c r="F1823" s="115">
        <f>+(disponibilidad[[#This Row],[Fecha y hora fin]]-disponibilidad[[#This Row],[Fecha y hora inicio]])*1440</f>
        <v>0</v>
      </c>
    </row>
    <row r="1824" spans="6:6" ht="15">
      <c r="F1824" s="115">
        <f>+(disponibilidad[[#This Row],[Fecha y hora fin]]-disponibilidad[[#This Row],[Fecha y hora inicio]])*1440</f>
        <v>0</v>
      </c>
    </row>
    <row r="1825" spans="6:6" ht="15">
      <c r="F1825" s="115">
        <f>+(disponibilidad[[#This Row],[Fecha y hora fin]]-disponibilidad[[#This Row],[Fecha y hora inicio]])*1440</f>
        <v>0</v>
      </c>
    </row>
    <row r="1826" spans="6:6" ht="15">
      <c r="F1826" s="115">
        <f>+(disponibilidad[[#This Row],[Fecha y hora fin]]-disponibilidad[[#This Row],[Fecha y hora inicio]])*1440</f>
        <v>0</v>
      </c>
    </row>
    <row r="1827" spans="6:6" ht="15">
      <c r="F1827" s="115">
        <f>+(disponibilidad[[#This Row],[Fecha y hora fin]]-disponibilidad[[#This Row],[Fecha y hora inicio]])*1440</f>
        <v>0</v>
      </c>
    </row>
    <row r="1828" spans="6:6" ht="15">
      <c r="F1828" s="115">
        <f>+(disponibilidad[[#This Row],[Fecha y hora fin]]-disponibilidad[[#This Row],[Fecha y hora inicio]])*1440</f>
        <v>0</v>
      </c>
    </row>
    <row r="1829" spans="6:6" ht="15">
      <c r="F1829" s="115">
        <f>+(disponibilidad[[#This Row],[Fecha y hora fin]]-disponibilidad[[#This Row],[Fecha y hora inicio]])*1440</f>
        <v>0</v>
      </c>
    </row>
    <row r="1830" spans="6:6" ht="15">
      <c r="F1830" s="115">
        <f>+(disponibilidad[[#This Row],[Fecha y hora fin]]-disponibilidad[[#This Row],[Fecha y hora inicio]])*1440</f>
        <v>0</v>
      </c>
    </row>
    <row r="1831" spans="6:6" ht="15">
      <c r="F1831" s="115">
        <f>+(disponibilidad[[#This Row],[Fecha y hora fin]]-disponibilidad[[#This Row],[Fecha y hora inicio]])*1440</f>
        <v>0</v>
      </c>
    </row>
    <row r="1832" spans="6:6" ht="15">
      <c r="F1832" s="115">
        <f>+(disponibilidad[[#This Row],[Fecha y hora fin]]-disponibilidad[[#This Row],[Fecha y hora inicio]])*1440</f>
        <v>0</v>
      </c>
    </row>
    <row r="1833" spans="6:6" ht="15">
      <c r="F1833" s="115">
        <f>+(disponibilidad[[#This Row],[Fecha y hora fin]]-disponibilidad[[#This Row],[Fecha y hora inicio]])*1440</f>
        <v>0</v>
      </c>
    </row>
    <row r="1834" spans="6:6" ht="15">
      <c r="F1834" s="115">
        <f>+(disponibilidad[[#This Row],[Fecha y hora fin]]-disponibilidad[[#This Row],[Fecha y hora inicio]])*1440</f>
        <v>0</v>
      </c>
    </row>
    <row r="1835" spans="6:6" ht="15">
      <c r="F1835" s="115">
        <f>+(disponibilidad[[#This Row],[Fecha y hora fin]]-disponibilidad[[#This Row],[Fecha y hora inicio]])*1440</f>
        <v>0</v>
      </c>
    </row>
    <row r="1836" spans="6:6" ht="15">
      <c r="F1836" s="115">
        <f>+(disponibilidad[[#This Row],[Fecha y hora fin]]-disponibilidad[[#This Row],[Fecha y hora inicio]])*1440</f>
        <v>0</v>
      </c>
    </row>
    <row r="1837" spans="6:6" ht="15">
      <c r="F1837" s="115">
        <f>+(disponibilidad[[#This Row],[Fecha y hora fin]]-disponibilidad[[#This Row],[Fecha y hora inicio]])*1440</f>
        <v>0</v>
      </c>
    </row>
    <row r="1838" spans="6:6" ht="15">
      <c r="F1838" s="115">
        <f>+(disponibilidad[[#This Row],[Fecha y hora fin]]-disponibilidad[[#This Row],[Fecha y hora inicio]])*1440</f>
        <v>0</v>
      </c>
    </row>
    <row r="1839" spans="6:6" ht="15">
      <c r="F1839" s="115">
        <f>+(disponibilidad[[#This Row],[Fecha y hora fin]]-disponibilidad[[#This Row],[Fecha y hora inicio]])*1440</f>
        <v>0</v>
      </c>
    </row>
    <row r="1840" spans="6:6" ht="15">
      <c r="F1840" s="115">
        <f>+(disponibilidad[[#This Row],[Fecha y hora fin]]-disponibilidad[[#This Row],[Fecha y hora inicio]])*1440</f>
        <v>0</v>
      </c>
    </row>
    <row r="1841" spans="6:6" ht="15">
      <c r="F1841" s="115">
        <f>+(disponibilidad[[#This Row],[Fecha y hora fin]]-disponibilidad[[#This Row],[Fecha y hora inicio]])*1440</f>
        <v>0</v>
      </c>
    </row>
    <row r="1842" spans="6:6" ht="15">
      <c r="F1842" s="115">
        <f>+(disponibilidad[[#This Row],[Fecha y hora fin]]-disponibilidad[[#This Row],[Fecha y hora inicio]])*1440</f>
        <v>0</v>
      </c>
    </row>
    <row r="1843" spans="6:6" ht="15">
      <c r="F1843" s="115">
        <f>+(disponibilidad[[#This Row],[Fecha y hora fin]]-disponibilidad[[#This Row],[Fecha y hora inicio]])*1440</f>
        <v>0</v>
      </c>
    </row>
    <row r="1844" spans="6:6" ht="15">
      <c r="F1844" s="115">
        <f>+(disponibilidad[[#This Row],[Fecha y hora fin]]-disponibilidad[[#This Row],[Fecha y hora inicio]])*1440</f>
        <v>0</v>
      </c>
    </row>
    <row r="1845" spans="6:6" ht="15">
      <c r="F1845" s="115">
        <f>+(disponibilidad[[#This Row],[Fecha y hora fin]]-disponibilidad[[#This Row],[Fecha y hora inicio]])*1440</f>
        <v>0</v>
      </c>
    </row>
    <row r="1846" spans="6:6" ht="15">
      <c r="F1846" s="115">
        <f>+(disponibilidad[[#This Row],[Fecha y hora fin]]-disponibilidad[[#This Row],[Fecha y hora inicio]])*1440</f>
        <v>0</v>
      </c>
    </row>
    <row r="1847" spans="6:6" ht="15">
      <c r="F1847" s="115">
        <f>+(disponibilidad[[#This Row],[Fecha y hora fin]]-disponibilidad[[#This Row],[Fecha y hora inicio]])*1440</f>
        <v>0</v>
      </c>
    </row>
    <row r="1848" spans="6:6" ht="15">
      <c r="F1848" s="115">
        <f>+(disponibilidad[[#This Row],[Fecha y hora fin]]-disponibilidad[[#This Row],[Fecha y hora inicio]])*1440</f>
        <v>0</v>
      </c>
    </row>
    <row r="1849" spans="6:6" ht="15">
      <c r="F1849" s="115">
        <f>+(disponibilidad[[#This Row],[Fecha y hora fin]]-disponibilidad[[#This Row],[Fecha y hora inicio]])*1440</f>
        <v>0</v>
      </c>
    </row>
    <row r="1850" spans="6:6" ht="15">
      <c r="F1850" s="115">
        <f>+(disponibilidad[[#This Row],[Fecha y hora fin]]-disponibilidad[[#This Row],[Fecha y hora inicio]])*1440</f>
        <v>0</v>
      </c>
    </row>
    <row r="1851" spans="6:6" ht="15">
      <c r="F1851" s="115">
        <f>+(disponibilidad[[#This Row],[Fecha y hora fin]]-disponibilidad[[#This Row],[Fecha y hora inicio]])*1440</f>
        <v>0</v>
      </c>
    </row>
    <row r="1852" spans="6:6" ht="15">
      <c r="F1852" s="115">
        <f>+(disponibilidad[[#This Row],[Fecha y hora fin]]-disponibilidad[[#This Row],[Fecha y hora inicio]])*1440</f>
        <v>0</v>
      </c>
    </row>
    <row r="1853" spans="6:6" ht="15">
      <c r="F1853" s="115">
        <f>+(disponibilidad[[#This Row],[Fecha y hora fin]]-disponibilidad[[#This Row],[Fecha y hora inicio]])*1440</f>
        <v>0</v>
      </c>
    </row>
    <row r="1854" spans="6:6" ht="15">
      <c r="F1854" s="115">
        <f>+(disponibilidad[[#This Row],[Fecha y hora fin]]-disponibilidad[[#This Row],[Fecha y hora inicio]])*1440</f>
        <v>0</v>
      </c>
    </row>
    <row r="1855" spans="6:6" ht="15">
      <c r="F1855" s="115">
        <f>+(disponibilidad[[#This Row],[Fecha y hora fin]]-disponibilidad[[#This Row],[Fecha y hora inicio]])*1440</f>
        <v>0</v>
      </c>
    </row>
    <row r="1856" spans="6:6" ht="15">
      <c r="F1856" s="115">
        <f>+(disponibilidad[[#This Row],[Fecha y hora fin]]-disponibilidad[[#This Row],[Fecha y hora inicio]])*1440</f>
        <v>0</v>
      </c>
    </row>
    <row r="1857" spans="6:6" ht="15">
      <c r="F1857" s="115">
        <f>+(disponibilidad[[#This Row],[Fecha y hora fin]]-disponibilidad[[#This Row],[Fecha y hora inicio]])*1440</f>
        <v>0</v>
      </c>
    </row>
    <row r="1858" spans="6:6" ht="15">
      <c r="F1858" s="115">
        <f>+(disponibilidad[[#This Row],[Fecha y hora fin]]-disponibilidad[[#This Row],[Fecha y hora inicio]])*1440</f>
        <v>0</v>
      </c>
    </row>
    <row r="1859" spans="6:6" ht="15">
      <c r="F1859" s="115">
        <f>+(disponibilidad[[#This Row],[Fecha y hora fin]]-disponibilidad[[#This Row],[Fecha y hora inicio]])*1440</f>
        <v>0</v>
      </c>
    </row>
    <row r="1860" spans="6:6" ht="15">
      <c r="F1860" s="115">
        <f>+(disponibilidad[[#This Row],[Fecha y hora fin]]-disponibilidad[[#This Row],[Fecha y hora inicio]])*1440</f>
        <v>0</v>
      </c>
    </row>
    <row r="1861" spans="6:6" ht="15">
      <c r="F1861" s="115">
        <f>+(disponibilidad[[#This Row],[Fecha y hora fin]]-disponibilidad[[#This Row],[Fecha y hora inicio]])*1440</f>
        <v>0</v>
      </c>
    </row>
    <row r="1862" spans="6:6" ht="15">
      <c r="F1862" s="115">
        <f>+(disponibilidad[[#This Row],[Fecha y hora fin]]-disponibilidad[[#This Row],[Fecha y hora inicio]])*1440</f>
        <v>0</v>
      </c>
    </row>
    <row r="1863" spans="6:6" ht="15">
      <c r="F1863" s="115">
        <f>+(disponibilidad[[#This Row],[Fecha y hora fin]]-disponibilidad[[#This Row],[Fecha y hora inicio]])*1440</f>
        <v>0</v>
      </c>
    </row>
    <row r="1864" spans="6:6" ht="15">
      <c r="F1864" s="115">
        <f>+(disponibilidad[[#This Row],[Fecha y hora fin]]-disponibilidad[[#This Row],[Fecha y hora inicio]])*1440</f>
        <v>0</v>
      </c>
    </row>
    <row r="1865" spans="6:6" ht="15">
      <c r="F1865" s="115">
        <f>+(disponibilidad[[#This Row],[Fecha y hora fin]]-disponibilidad[[#This Row],[Fecha y hora inicio]])*1440</f>
        <v>0</v>
      </c>
    </row>
    <row r="1866" spans="6:6" ht="15">
      <c r="F1866" s="115">
        <f>+(disponibilidad[[#This Row],[Fecha y hora fin]]-disponibilidad[[#This Row],[Fecha y hora inicio]])*1440</f>
        <v>0</v>
      </c>
    </row>
    <row r="1867" spans="6:6" ht="15">
      <c r="F1867" s="115">
        <f>+(disponibilidad[[#This Row],[Fecha y hora fin]]-disponibilidad[[#This Row],[Fecha y hora inicio]])*1440</f>
        <v>0</v>
      </c>
    </row>
    <row r="1868" spans="6:6" ht="15">
      <c r="F1868" s="115">
        <f>+(disponibilidad[[#This Row],[Fecha y hora fin]]-disponibilidad[[#This Row],[Fecha y hora inicio]])*1440</f>
        <v>0</v>
      </c>
    </row>
    <row r="1869" spans="6:6" ht="15">
      <c r="F1869" s="115">
        <f>+(disponibilidad[[#This Row],[Fecha y hora fin]]-disponibilidad[[#This Row],[Fecha y hora inicio]])*1440</f>
        <v>0</v>
      </c>
    </row>
    <row r="1870" spans="6:6" ht="15">
      <c r="F1870" s="115">
        <f>+(disponibilidad[[#This Row],[Fecha y hora fin]]-disponibilidad[[#This Row],[Fecha y hora inicio]])*1440</f>
        <v>0</v>
      </c>
    </row>
    <row r="1871" spans="6:6" ht="15">
      <c r="F1871" s="115">
        <f>+(disponibilidad[[#This Row],[Fecha y hora fin]]-disponibilidad[[#This Row],[Fecha y hora inicio]])*1440</f>
        <v>0</v>
      </c>
    </row>
    <row r="1872" spans="6:6" ht="15">
      <c r="F1872" s="115">
        <f>+(disponibilidad[[#This Row],[Fecha y hora fin]]-disponibilidad[[#This Row],[Fecha y hora inicio]])*1440</f>
        <v>0</v>
      </c>
    </row>
    <row r="1873" spans="6:6" ht="15">
      <c r="F1873" s="115">
        <f>+(disponibilidad[[#This Row],[Fecha y hora fin]]-disponibilidad[[#This Row],[Fecha y hora inicio]])*1440</f>
        <v>0</v>
      </c>
    </row>
    <row r="1874" spans="6:6" ht="15">
      <c r="F1874" s="115">
        <f>+(disponibilidad[[#This Row],[Fecha y hora fin]]-disponibilidad[[#This Row],[Fecha y hora inicio]])*1440</f>
        <v>0</v>
      </c>
    </row>
    <row r="1875" spans="6:6" ht="15">
      <c r="F1875" s="115">
        <f>+(disponibilidad[[#This Row],[Fecha y hora fin]]-disponibilidad[[#This Row],[Fecha y hora inicio]])*1440</f>
        <v>0</v>
      </c>
    </row>
    <row r="1876" spans="6:6" ht="15">
      <c r="F1876" s="115">
        <f>+(disponibilidad[[#This Row],[Fecha y hora fin]]-disponibilidad[[#This Row],[Fecha y hora inicio]])*1440</f>
        <v>0</v>
      </c>
    </row>
    <row r="1877" spans="6:6" ht="15">
      <c r="F1877" s="115">
        <f>+(disponibilidad[[#This Row],[Fecha y hora fin]]-disponibilidad[[#This Row],[Fecha y hora inicio]])*1440</f>
        <v>0</v>
      </c>
    </row>
    <row r="1878" spans="6:6" ht="15">
      <c r="F1878" s="115">
        <f>+(disponibilidad[[#This Row],[Fecha y hora fin]]-disponibilidad[[#This Row],[Fecha y hora inicio]])*1440</f>
        <v>0</v>
      </c>
    </row>
    <row r="1879" spans="6:6" ht="15">
      <c r="F1879" s="115">
        <f>+(disponibilidad[[#This Row],[Fecha y hora fin]]-disponibilidad[[#This Row],[Fecha y hora inicio]])*1440</f>
        <v>0</v>
      </c>
    </row>
    <row r="1880" spans="6:6" ht="15">
      <c r="F1880" s="115">
        <f>+(disponibilidad[[#This Row],[Fecha y hora fin]]-disponibilidad[[#This Row],[Fecha y hora inicio]])*1440</f>
        <v>0</v>
      </c>
    </row>
    <row r="1881" spans="6:6" ht="15">
      <c r="F1881" s="115">
        <f>+(disponibilidad[[#This Row],[Fecha y hora fin]]-disponibilidad[[#This Row],[Fecha y hora inicio]])*1440</f>
        <v>0</v>
      </c>
    </row>
    <row r="1882" spans="6:6" ht="15">
      <c r="F1882" s="115">
        <f>+(disponibilidad[[#This Row],[Fecha y hora fin]]-disponibilidad[[#This Row],[Fecha y hora inicio]])*1440</f>
        <v>0</v>
      </c>
    </row>
    <row r="1883" spans="6:6" ht="15">
      <c r="F1883" s="115">
        <f>+(disponibilidad[[#This Row],[Fecha y hora fin]]-disponibilidad[[#This Row],[Fecha y hora inicio]])*1440</f>
        <v>0</v>
      </c>
    </row>
    <row r="1884" spans="6:6" ht="15">
      <c r="F1884" s="115">
        <f>+(disponibilidad[[#This Row],[Fecha y hora fin]]-disponibilidad[[#This Row],[Fecha y hora inicio]])*1440</f>
        <v>0</v>
      </c>
    </row>
    <row r="1885" spans="6:6" ht="15">
      <c r="F1885" s="115">
        <f>+(disponibilidad[[#This Row],[Fecha y hora fin]]-disponibilidad[[#This Row],[Fecha y hora inicio]])*1440</f>
        <v>0</v>
      </c>
    </row>
    <row r="1886" spans="6:6" ht="15">
      <c r="F1886" s="115">
        <f>+(disponibilidad[[#This Row],[Fecha y hora fin]]-disponibilidad[[#This Row],[Fecha y hora inicio]])*1440</f>
        <v>0</v>
      </c>
    </row>
    <row r="1887" spans="6:6" ht="15">
      <c r="F1887" s="115">
        <f>+(disponibilidad[[#This Row],[Fecha y hora fin]]-disponibilidad[[#This Row],[Fecha y hora inicio]])*1440</f>
        <v>0</v>
      </c>
    </row>
    <row r="1888" spans="6:6" ht="15">
      <c r="F1888" s="115">
        <f>+(disponibilidad[[#This Row],[Fecha y hora fin]]-disponibilidad[[#This Row],[Fecha y hora inicio]])*1440</f>
        <v>0</v>
      </c>
    </row>
    <row r="1889" spans="6:6" ht="15">
      <c r="F1889" s="115">
        <f>+(disponibilidad[[#This Row],[Fecha y hora fin]]-disponibilidad[[#This Row],[Fecha y hora inicio]])*1440</f>
        <v>0</v>
      </c>
    </row>
    <row r="1890" spans="6:6" ht="15">
      <c r="F1890" s="115">
        <f>+(disponibilidad[[#This Row],[Fecha y hora fin]]-disponibilidad[[#This Row],[Fecha y hora inicio]])*1440</f>
        <v>0</v>
      </c>
    </row>
    <row r="1891" spans="6:6" ht="15">
      <c r="F1891" s="115">
        <f>+(disponibilidad[[#This Row],[Fecha y hora fin]]-disponibilidad[[#This Row],[Fecha y hora inicio]])*1440</f>
        <v>0</v>
      </c>
    </row>
    <row r="1892" spans="6:6" ht="15">
      <c r="F1892" s="115">
        <f>+(disponibilidad[[#This Row],[Fecha y hora fin]]-disponibilidad[[#This Row],[Fecha y hora inicio]])*1440</f>
        <v>0</v>
      </c>
    </row>
    <row r="1893" spans="6:6" ht="15">
      <c r="F1893" s="115">
        <f>+(disponibilidad[[#This Row],[Fecha y hora fin]]-disponibilidad[[#This Row],[Fecha y hora inicio]])*1440</f>
        <v>0</v>
      </c>
    </row>
    <row r="1894" spans="6:6" ht="15">
      <c r="F1894" s="115">
        <f>+(disponibilidad[[#This Row],[Fecha y hora fin]]-disponibilidad[[#This Row],[Fecha y hora inicio]])*1440</f>
        <v>0</v>
      </c>
    </row>
    <row r="1895" spans="6:6" ht="15">
      <c r="F1895" s="115">
        <f>+(disponibilidad[[#This Row],[Fecha y hora fin]]-disponibilidad[[#This Row],[Fecha y hora inicio]])*1440</f>
        <v>0</v>
      </c>
    </row>
    <row r="1896" spans="6:6" ht="15">
      <c r="F1896" s="115">
        <f>+(disponibilidad[[#This Row],[Fecha y hora fin]]-disponibilidad[[#This Row],[Fecha y hora inicio]])*1440</f>
        <v>0</v>
      </c>
    </row>
    <row r="1897" spans="6:6" ht="15">
      <c r="F1897" s="115">
        <f>+(disponibilidad[[#This Row],[Fecha y hora fin]]-disponibilidad[[#This Row],[Fecha y hora inicio]])*1440</f>
        <v>0</v>
      </c>
    </row>
    <row r="1898" spans="6:6" ht="15">
      <c r="F1898" s="115">
        <f>+(disponibilidad[[#This Row],[Fecha y hora fin]]-disponibilidad[[#This Row],[Fecha y hora inicio]])*1440</f>
        <v>0</v>
      </c>
    </row>
    <row r="1899" spans="6:6" ht="15">
      <c r="F1899" s="115">
        <f>+(disponibilidad[[#This Row],[Fecha y hora fin]]-disponibilidad[[#This Row],[Fecha y hora inicio]])*1440</f>
        <v>0</v>
      </c>
    </row>
    <row r="1900" spans="6:6" ht="15">
      <c r="F1900" s="115">
        <f>+(disponibilidad[[#This Row],[Fecha y hora fin]]-disponibilidad[[#This Row],[Fecha y hora inicio]])*1440</f>
        <v>0</v>
      </c>
    </row>
    <row r="1901" spans="6:6" ht="15">
      <c r="F1901" s="115">
        <f>+(disponibilidad[[#This Row],[Fecha y hora fin]]-disponibilidad[[#This Row],[Fecha y hora inicio]])*1440</f>
        <v>0</v>
      </c>
    </row>
    <row r="1902" spans="6:6" ht="15">
      <c r="F1902" s="115">
        <f>+(disponibilidad[[#This Row],[Fecha y hora fin]]-disponibilidad[[#This Row],[Fecha y hora inicio]])*1440</f>
        <v>0</v>
      </c>
    </row>
    <row r="1903" spans="6:6" ht="15">
      <c r="F1903" s="115">
        <f>+(disponibilidad[[#This Row],[Fecha y hora fin]]-disponibilidad[[#This Row],[Fecha y hora inicio]])*1440</f>
        <v>0</v>
      </c>
    </row>
    <row r="1904" spans="6:6" ht="15">
      <c r="F1904" s="115">
        <f>+(disponibilidad[[#This Row],[Fecha y hora fin]]-disponibilidad[[#This Row],[Fecha y hora inicio]])*1440</f>
        <v>0</v>
      </c>
    </row>
    <row r="1905" spans="6:6" ht="15">
      <c r="F1905" s="115">
        <f>+(disponibilidad[[#This Row],[Fecha y hora fin]]-disponibilidad[[#This Row],[Fecha y hora inicio]])*1440</f>
        <v>0</v>
      </c>
    </row>
    <row r="1906" spans="6:6" ht="15">
      <c r="F1906" s="115">
        <f>+(disponibilidad[[#This Row],[Fecha y hora fin]]-disponibilidad[[#This Row],[Fecha y hora inicio]])*1440</f>
        <v>0</v>
      </c>
    </row>
    <row r="1907" spans="6:6" ht="15">
      <c r="F1907" s="115">
        <f>+(disponibilidad[[#This Row],[Fecha y hora fin]]-disponibilidad[[#This Row],[Fecha y hora inicio]])*1440</f>
        <v>0</v>
      </c>
    </row>
    <row r="1908" spans="6:6" ht="15">
      <c r="F1908" s="115">
        <f>+(disponibilidad[[#This Row],[Fecha y hora fin]]-disponibilidad[[#This Row],[Fecha y hora inicio]])*1440</f>
        <v>0</v>
      </c>
    </row>
    <row r="1909" spans="6:6" ht="15">
      <c r="F1909" s="115">
        <f>+(disponibilidad[[#This Row],[Fecha y hora fin]]-disponibilidad[[#This Row],[Fecha y hora inicio]])*1440</f>
        <v>0</v>
      </c>
    </row>
    <row r="1910" spans="6:6" ht="15">
      <c r="F1910" s="115">
        <f>+(disponibilidad[[#This Row],[Fecha y hora fin]]-disponibilidad[[#This Row],[Fecha y hora inicio]])*1440</f>
        <v>0</v>
      </c>
    </row>
    <row r="1911" spans="6:6" ht="15">
      <c r="F1911" s="115">
        <f>+(disponibilidad[[#This Row],[Fecha y hora fin]]-disponibilidad[[#This Row],[Fecha y hora inicio]])*1440</f>
        <v>0</v>
      </c>
    </row>
    <row r="1912" spans="6:6" ht="15">
      <c r="F1912" s="115">
        <f>+(disponibilidad[[#This Row],[Fecha y hora fin]]-disponibilidad[[#This Row],[Fecha y hora inicio]])*1440</f>
        <v>0</v>
      </c>
    </row>
    <row r="1913" spans="6:6" ht="15">
      <c r="F1913" s="115">
        <f>+(disponibilidad[[#This Row],[Fecha y hora fin]]-disponibilidad[[#This Row],[Fecha y hora inicio]])*1440</f>
        <v>0</v>
      </c>
    </row>
    <row r="1914" spans="6:6" ht="15">
      <c r="F1914" s="115">
        <f>+(disponibilidad[[#This Row],[Fecha y hora fin]]-disponibilidad[[#This Row],[Fecha y hora inicio]])*1440</f>
        <v>0</v>
      </c>
    </row>
    <row r="1915" spans="6:6" ht="15">
      <c r="F1915" s="115">
        <f>+(disponibilidad[[#This Row],[Fecha y hora fin]]-disponibilidad[[#This Row],[Fecha y hora inicio]])*1440</f>
        <v>0</v>
      </c>
    </row>
    <row r="1916" spans="6:6" ht="15">
      <c r="F1916" s="115">
        <f>+(disponibilidad[[#This Row],[Fecha y hora fin]]-disponibilidad[[#This Row],[Fecha y hora inicio]])*1440</f>
        <v>0</v>
      </c>
    </row>
    <row r="1917" spans="6:6" ht="15">
      <c r="F1917" s="115">
        <f>+(disponibilidad[[#This Row],[Fecha y hora fin]]-disponibilidad[[#This Row],[Fecha y hora inicio]])*1440</f>
        <v>0</v>
      </c>
    </row>
    <row r="1918" spans="6:6" ht="15">
      <c r="F1918" s="115">
        <f>+(disponibilidad[[#This Row],[Fecha y hora fin]]-disponibilidad[[#This Row],[Fecha y hora inicio]])*1440</f>
        <v>0</v>
      </c>
    </row>
    <row r="1919" spans="6:6" ht="15">
      <c r="F1919" s="115">
        <f>+(disponibilidad[[#This Row],[Fecha y hora fin]]-disponibilidad[[#This Row],[Fecha y hora inicio]])*1440</f>
        <v>0</v>
      </c>
    </row>
    <row r="1920" spans="6:6" ht="15">
      <c r="F1920" s="115">
        <f>+(disponibilidad[[#This Row],[Fecha y hora fin]]-disponibilidad[[#This Row],[Fecha y hora inicio]])*1440</f>
        <v>0</v>
      </c>
    </row>
    <row r="1921" spans="6:6" ht="15">
      <c r="F1921" s="115">
        <f>+(disponibilidad[[#This Row],[Fecha y hora fin]]-disponibilidad[[#This Row],[Fecha y hora inicio]])*1440</f>
        <v>0</v>
      </c>
    </row>
    <row r="1922" spans="6:6" ht="15">
      <c r="F1922" s="115">
        <f>+(disponibilidad[[#This Row],[Fecha y hora fin]]-disponibilidad[[#This Row],[Fecha y hora inicio]])*1440</f>
        <v>0</v>
      </c>
    </row>
    <row r="1923" spans="6:6" ht="15">
      <c r="F1923" s="115">
        <f>+(disponibilidad[[#This Row],[Fecha y hora fin]]-disponibilidad[[#This Row],[Fecha y hora inicio]])*1440</f>
        <v>0</v>
      </c>
    </row>
    <row r="1924" spans="6:6" ht="15">
      <c r="F1924" s="115">
        <f>+(disponibilidad[[#This Row],[Fecha y hora fin]]-disponibilidad[[#This Row],[Fecha y hora inicio]])*1440</f>
        <v>0</v>
      </c>
    </row>
    <row r="1925" spans="6:6" ht="15">
      <c r="F1925" s="115">
        <f>+(disponibilidad[[#This Row],[Fecha y hora fin]]-disponibilidad[[#This Row],[Fecha y hora inicio]])*1440</f>
        <v>0</v>
      </c>
    </row>
    <row r="1926" spans="6:6" ht="15">
      <c r="F1926" s="115">
        <f>+(disponibilidad[[#This Row],[Fecha y hora fin]]-disponibilidad[[#This Row],[Fecha y hora inicio]])*1440</f>
        <v>0</v>
      </c>
    </row>
    <row r="1927" spans="6:6" ht="15">
      <c r="F1927" s="115">
        <f>+(disponibilidad[[#This Row],[Fecha y hora fin]]-disponibilidad[[#This Row],[Fecha y hora inicio]])*1440</f>
        <v>0</v>
      </c>
    </row>
    <row r="1928" spans="6:6" ht="15">
      <c r="F1928" s="115">
        <f>+(disponibilidad[[#This Row],[Fecha y hora fin]]-disponibilidad[[#This Row],[Fecha y hora inicio]])*1440</f>
        <v>0</v>
      </c>
    </row>
    <row r="1929" spans="6:6" ht="15">
      <c r="F1929" s="115">
        <f>+(disponibilidad[[#This Row],[Fecha y hora fin]]-disponibilidad[[#This Row],[Fecha y hora inicio]])*1440</f>
        <v>0</v>
      </c>
    </row>
    <row r="1930" spans="6:6" ht="15">
      <c r="F1930" s="115">
        <f>+(disponibilidad[[#This Row],[Fecha y hora fin]]-disponibilidad[[#This Row],[Fecha y hora inicio]])*1440</f>
        <v>0</v>
      </c>
    </row>
    <row r="1931" spans="6:6" ht="15">
      <c r="F1931" s="115">
        <f>+(disponibilidad[[#This Row],[Fecha y hora fin]]-disponibilidad[[#This Row],[Fecha y hora inicio]])*1440</f>
        <v>0</v>
      </c>
    </row>
    <row r="1932" spans="6:6" ht="15">
      <c r="F1932" s="115">
        <f>+(disponibilidad[[#This Row],[Fecha y hora fin]]-disponibilidad[[#This Row],[Fecha y hora inicio]])*1440</f>
        <v>0</v>
      </c>
    </row>
    <row r="1933" spans="6:6" ht="15">
      <c r="F1933" s="115">
        <f>+(disponibilidad[[#This Row],[Fecha y hora fin]]-disponibilidad[[#This Row],[Fecha y hora inicio]])*1440</f>
        <v>0</v>
      </c>
    </row>
    <row r="1934" spans="6:6" ht="15">
      <c r="F1934" s="115">
        <f>+(disponibilidad[[#This Row],[Fecha y hora fin]]-disponibilidad[[#This Row],[Fecha y hora inicio]])*1440</f>
        <v>0</v>
      </c>
    </row>
    <row r="1935" spans="6:6" ht="15">
      <c r="F1935" s="115">
        <f>+(disponibilidad[[#This Row],[Fecha y hora fin]]-disponibilidad[[#This Row],[Fecha y hora inicio]])*1440</f>
        <v>0</v>
      </c>
    </row>
    <row r="1936" spans="6:6" ht="15">
      <c r="F1936" s="115">
        <f>+(disponibilidad[[#This Row],[Fecha y hora fin]]-disponibilidad[[#This Row],[Fecha y hora inicio]])*1440</f>
        <v>0</v>
      </c>
    </row>
    <row r="1937" spans="6:6" ht="15">
      <c r="F1937" s="115">
        <f>+(disponibilidad[[#This Row],[Fecha y hora fin]]-disponibilidad[[#This Row],[Fecha y hora inicio]])*1440</f>
        <v>0</v>
      </c>
    </row>
    <row r="1938" spans="6:6" ht="15">
      <c r="F1938" s="115">
        <f>+(disponibilidad[[#This Row],[Fecha y hora fin]]-disponibilidad[[#This Row],[Fecha y hora inicio]])*1440</f>
        <v>0</v>
      </c>
    </row>
    <row r="1939" spans="6:6" ht="15">
      <c r="F1939" s="115">
        <f>+(disponibilidad[[#This Row],[Fecha y hora fin]]-disponibilidad[[#This Row],[Fecha y hora inicio]])*1440</f>
        <v>0</v>
      </c>
    </row>
    <row r="1940" spans="6:6" ht="15">
      <c r="F1940" s="115">
        <f>+(disponibilidad[[#This Row],[Fecha y hora fin]]-disponibilidad[[#This Row],[Fecha y hora inicio]])*1440</f>
        <v>0</v>
      </c>
    </row>
    <row r="1941" spans="6:6" ht="15">
      <c r="F1941" s="115">
        <f>+(disponibilidad[[#This Row],[Fecha y hora fin]]-disponibilidad[[#This Row],[Fecha y hora inicio]])*1440</f>
        <v>0</v>
      </c>
    </row>
    <row r="1942" spans="6:6" ht="15">
      <c r="F1942" s="115">
        <f>+(disponibilidad[[#This Row],[Fecha y hora fin]]-disponibilidad[[#This Row],[Fecha y hora inicio]])*1440</f>
        <v>0</v>
      </c>
    </row>
    <row r="1943" spans="6:6" ht="15">
      <c r="F1943" s="115">
        <f>+(disponibilidad[[#This Row],[Fecha y hora fin]]-disponibilidad[[#This Row],[Fecha y hora inicio]])*1440</f>
        <v>0</v>
      </c>
    </row>
    <row r="1944" spans="6:6" ht="15">
      <c r="F1944" s="115">
        <f>+(disponibilidad[[#This Row],[Fecha y hora fin]]-disponibilidad[[#This Row],[Fecha y hora inicio]])*1440</f>
        <v>0</v>
      </c>
    </row>
    <row r="1945" spans="6:6" ht="15">
      <c r="F1945" s="115">
        <f>+(disponibilidad[[#This Row],[Fecha y hora fin]]-disponibilidad[[#This Row],[Fecha y hora inicio]])*1440</f>
        <v>0</v>
      </c>
    </row>
    <row r="1946" spans="6:6" ht="15">
      <c r="F1946" s="115">
        <f>+(disponibilidad[[#This Row],[Fecha y hora fin]]-disponibilidad[[#This Row],[Fecha y hora inicio]])*1440</f>
        <v>0</v>
      </c>
    </row>
    <row r="1947" spans="6:6" ht="15">
      <c r="F1947" s="115">
        <f>+(disponibilidad[[#This Row],[Fecha y hora fin]]-disponibilidad[[#This Row],[Fecha y hora inicio]])*1440</f>
        <v>0</v>
      </c>
    </row>
    <row r="1948" spans="6:6" ht="15">
      <c r="F1948" s="115">
        <f>+(disponibilidad[[#This Row],[Fecha y hora fin]]-disponibilidad[[#This Row],[Fecha y hora inicio]])*1440</f>
        <v>0</v>
      </c>
    </row>
    <row r="1949" spans="6:6" ht="15">
      <c r="F1949" s="115">
        <f>+(disponibilidad[[#This Row],[Fecha y hora fin]]-disponibilidad[[#This Row],[Fecha y hora inicio]])*1440</f>
        <v>0</v>
      </c>
    </row>
    <row r="1950" spans="6:6" ht="15">
      <c r="F1950" s="115">
        <f>+(disponibilidad[[#This Row],[Fecha y hora fin]]-disponibilidad[[#This Row],[Fecha y hora inicio]])*1440</f>
        <v>0</v>
      </c>
    </row>
    <row r="1951" spans="6:6" ht="15">
      <c r="F1951" s="115">
        <f>+(disponibilidad[[#This Row],[Fecha y hora fin]]-disponibilidad[[#This Row],[Fecha y hora inicio]])*1440</f>
        <v>0</v>
      </c>
    </row>
    <row r="1952" spans="6:6" ht="15">
      <c r="F1952" s="115">
        <f>+(disponibilidad[[#This Row],[Fecha y hora fin]]-disponibilidad[[#This Row],[Fecha y hora inicio]])*1440</f>
        <v>0</v>
      </c>
    </row>
    <row r="1953" spans="6:6" ht="15">
      <c r="F1953" s="115">
        <f>+(disponibilidad[[#This Row],[Fecha y hora fin]]-disponibilidad[[#This Row],[Fecha y hora inicio]])*1440</f>
        <v>0</v>
      </c>
    </row>
    <row r="1954" spans="6:6" ht="15">
      <c r="F1954" s="115">
        <f>+(disponibilidad[[#This Row],[Fecha y hora fin]]-disponibilidad[[#This Row],[Fecha y hora inicio]])*1440</f>
        <v>0</v>
      </c>
    </row>
    <row r="1955" spans="6:6" ht="15">
      <c r="F1955" s="115">
        <f>+(disponibilidad[[#This Row],[Fecha y hora fin]]-disponibilidad[[#This Row],[Fecha y hora inicio]])*1440</f>
        <v>0</v>
      </c>
    </row>
    <row r="1956" spans="6:6" ht="15">
      <c r="F1956" s="115">
        <f>+(disponibilidad[[#This Row],[Fecha y hora fin]]-disponibilidad[[#This Row],[Fecha y hora inicio]])*1440</f>
        <v>0</v>
      </c>
    </row>
    <row r="1957" spans="6:6" ht="15">
      <c r="F1957" s="115">
        <f>+(disponibilidad[[#This Row],[Fecha y hora fin]]-disponibilidad[[#This Row],[Fecha y hora inicio]])*1440</f>
        <v>0</v>
      </c>
    </row>
    <row r="1958" spans="6:6" ht="15">
      <c r="F1958" s="115">
        <f>+(disponibilidad[[#This Row],[Fecha y hora fin]]-disponibilidad[[#This Row],[Fecha y hora inicio]])*1440</f>
        <v>0</v>
      </c>
    </row>
    <row r="1959" spans="6:6" ht="15">
      <c r="F1959" s="115">
        <f>+(disponibilidad[[#This Row],[Fecha y hora fin]]-disponibilidad[[#This Row],[Fecha y hora inicio]])*1440</f>
        <v>0</v>
      </c>
    </row>
    <row r="1960" spans="6:6" ht="15">
      <c r="F1960" s="115">
        <f>+(disponibilidad[[#This Row],[Fecha y hora fin]]-disponibilidad[[#This Row],[Fecha y hora inicio]])*1440</f>
        <v>0</v>
      </c>
    </row>
    <row r="1961" spans="6:6" ht="15">
      <c r="F1961" s="115">
        <f>+(disponibilidad[[#This Row],[Fecha y hora fin]]-disponibilidad[[#This Row],[Fecha y hora inicio]])*1440</f>
        <v>0</v>
      </c>
    </row>
    <row r="1962" spans="6:6" ht="15">
      <c r="F1962" s="115">
        <f>+(disponibilidad[[#This Row],[Fecha y hora fin]]-disponibilidad[[#This Row],[Fecha y hora inicio]])*1440</f>
        <v>0</v>
      </c>
    </row>
    <row r="1963" spans="6:6" ht="15">
      <c r="F1963" s="115">
        <f>+(disponibilidad[[#This Row],[Fecha y hora fin]]-disponibilidad[[#This Row],[Fecha y hora inicio]])*1440</f>
        <v>0</v>
      </c>
    </row>
    <row r="1964" spans="6:6" ht="15">
      <c r="F1964" s="115">
        <f>+(disponibilidad[[#This Row],[Fecha y hora fin]]-disponibilidad[[#This Row],[Fecha y hora inicio]])*1440</f>
        <v>0</v>
      </c>
    </row>
    <row r="1965" spans="6:6" ht="15">
      <c r="F1965" s="115">
        <f>+(disponibilidad[[#This Row],[Fecha y hora fin]]-disponibilidad[[#This Row],[Fecha y hora inicio]])*1440</f>
        <v>0</v>
      </c>
    </row>
    <row r="1966" spans="6:6" ht="15">
      <c r="F1966" s="115">
        <f>+(disponibilidad[[#This Row],[Fecha y hora fin]]-disponibilidad[[#This Row],[Fecha y hora inicio]])*1440</f>
        <v>0</v>
      </c>
    </row>
    <row r="1967" spans="6:6" ht="15">
      <c r="F1967" s="115">
        <f>+(disponibilidad[[#This Row],[Fecha y hora fin]]-disponibilidad[[#This Row],[Fecha y hora inicio]])*1440</f>
        <v>0</v>
      </c>
    </row>
    <row r="1968" spans="6:6" ht="15">
      <c r="F1968" s="115">
        <f>+(disponibilidad[[#This Row],[Fecha y hora fin]]-disponibilidad[[#This Row],[Fecha y hora inicio]])*1440</f>
        <v>0</v>
      </c>
    </row>
    <row r="1969" spans="6:6" ht="15">
      <c r="F1969" s="115">
        <f>+(disponibilidad[[#This Row],[Fecha y hora fin]]-disponibilidad[[#This Row],[Fecha y hora inicio]])*1440</f>
        <v>0</v>
      </c>
    </row>
    <row r="1970" spans="6:6" ht="15">
      <c r="F1970" s="115">
        <f>+(disponibilidad[[#This Row],[Fecha y hora fin]]-disponibilidad[[#This Row],[Fecha y hora inicio]])*1440</f>
        <v>0</v>
      </c>
    </row>
    <row r="1971" spans="6:6" ht="15">
      <c r="F1971" s="115">
        <f>+(disponibilidad[[#This Row],[Fecha y hora fin]]-disponibilidad[[#This Row],[Fecha y hora inicio]])*1440</f>
        <v>0</v>
      </c>
    </row>
    <row r="1972" spans="6:6" ht="15">
      <c r="F1972" s="115">
        <f>+(disponibilidad[[#This Row],[Fecha y hora fin]]-disponibilidad[[#This Row],[Fecha y hora inicio]])*1440</f>
        <v>0</v>
      </c>
    </row>
    <row r="1973" spans="6:6" ht="15">
      <c r="F1973" s="115">
        <f>+(disponibilidad[[#This Row],[Fecha y hora fin]]-disponibilidad[[#This Row],[Fecha y hora inicio]])*1440</f>
        <v>0</v>
      </c>
    </row>
    <row r="1974" spans="6:6" ht="15">
      <c r="F1974" s="115">
        <f>+(disponibilidad[[#This Row],[Fecha y hora fin]]-disponibilidad[[#This Row],[Fecha y hora inicio]])*1440</f>
        <v>0</v>
      </c>
    </row>
    <row r="1975" spans="6:6" ht="15">
      <c r="F1975" s="115">
        <f>+(disponibilidad[[#This Row],[Fecha y hora fin]]-disponibilidad[[#This Row],[Fecha y hora inicio]])*1440</f>
        <v>0</v>
      </c>
    </row>
    <row r="1976" spans="6:6" ht="15">
      <c r="F1976" s="115">
        <f>+(disponibilidad[[#This Row],[Fecha y hora fin]]-disponibilidad[[#This Row],[Fecha y hora inicio]])*1440</f>
        <v>0</v>
      </c>
    </row>
    <row r="1977" spans="6:6" ht="15">
      <c r="F1977" s="115">
        <f>+(disponibilidad[[#This Row],[Fecha y hora fin]]-disponibilidad[[#This Row],[Fecha y hora inicio]])*1440</f>
        <v>0</v>
      </c>
    </row>
    <row r="1978" spans="6:6" ht="15">
      <c r="F1978" s="115">
        <f>+(disponibilidad[[#This Row],[Fecha y hora fin]]-disponibilidad[[#This Row],[Fecha y hora inicio]])*1440</f>
        <v>0</v>
      </c>
    </row>
    <row r="1979" spans="6:6" ht="15">
      <c r="F1979" s="115">
        <f>+(disponibilidad[[#This Row],[Fecha y hora fin]]-disponibilidad[[#This Row],[Fecha y hora inicio]])*1440</f>
        <v>0</v>
      </c>
    </row>
    <row r="1980" spans="6:6" ht="15">
      <c r="F1980" s="115">
        <f>+(disponibilidad[[#This Row],[Fecha y hora fin]]-disponibilidad[[#This Row],[Fecha y hora inicio]])*1440</f>
        <v>0</v>
      </c>
    </row>
    <row r="1981" spans="6:6" ht="15">
      <c r="F1981" s="115">
        <f>+(disponibilidad[[#This Row],[Fecha y hora fin]]-disponibilidad[[#This Row],[Fecha y hora inicio]])*1440</f>
        <v>0</v>
      </c>
    </row>
    <row r="1982" spans="6:6" ht="15">
      <c r="F1982" s="115">
        <f>+(disponibilidad[[#This Row],[Fecha y hora fin]]-disponibilidad[[#This Row],[Fecha y hora inicio]])*1440</f>
        <v>0</v>
      </c>
    </row>
    <row r="1983" spans="6:6" ht="15">
      <c r="F1983" s="115">
        <f>+(disponibilidad[[#This Row],[Fecha y hora fin]]-disponibilidad[[#This Row],[Fecha y hora inicio]])*1440</f>
        <v>0</v>
      </c>
    </row>
    <row r="1984" spans="6:6" ht="15">
      <c r="F1984" s="115">
        <f>+(disponibilidad[[#This Row],[Fecha y hora fin]]-disponibilidad[[#This Row],[Fecha y hora inicio]])*1440</f>
        <v>0</v>
      </c>
    </row>
    <row r="1985" spans="6:6" ht="15">
      <c r="F1985" s="115">
        <f>+(disponibilidad[[#This Row],[Fecha y hora fin]]-disponibilidad[[#This Row],[Fecha y hora inicio]])*1440</f>
        <v>0</v>
      </c>
    </row>
    <row r="1986" spans="6:6" ht="15">
      <c r="F1986" s="115">
        <f>+(disponibilidad[[#This Row],[Fecha y hora fin]]-disponibilidad[[#This Row],[Fecha y hora inicio]])*1440</f>
        <v>0</v>
      </c>
    </row>
    <row r="1987" spans="6:6" ht="15">
      <c r="F1987" s="115">
        <f>+(disponibilidad[[#This Row],[Fecha y hora fin]]-disponibilidad[[#This Row],[Fecha y hora inicio]])*1440</f>
        <v>0</v>
      </c>
    </row>
    <row r="1988" spans="6:6" ht="15">
      <c r="F1988" s="115">
        <f>+(disponibilidad[[#This Row],[Fecha y hora fin]]-disponibilidad[[#This Row],[Fecha y hora inicio]])*1440</f>
        <v>0</v>
      </c>
    </row>
    <row r="1989" spans="6:6" ht="15">
      <c r="F1989" s="115">
        <f>+(disponibilidad[[#This Row],[Fecha y hora fin]]-disponibilidad[[#This Row],[Fecha y hora inicio]])*1440</f>
        <v>0</v>
      </c>
    </row>
    <row r="1990" spans="6:6" ht="15">
      <c r="F1990" s="115">
        <f>+(disponibilidad[[#This Row],[Fecha y hora fin]]-disponibilidad[[#This Row],[Fecha y hora inicio]])*1440</f>
        <v>0</v>
      </c>
    </row>
    <row r="1991" spans="6:6" ht="15">
      <c r="F1991" s="115">
        <f>+(disponibilidad[[#This Row],[Fecha y hora fin]]-disponibilidad[[#This Row],[Fecha y hora inicio]])*1440</f>
        <v>0</v>
      </c>
    </row>
    <row r="1992" spans="6:6" ht="15">
      <c r="F1992" s="115">
        <f>+(disponibilidad[[#This Row],[Fecha y hora fin]]-disponibilidad[[#This Row],[Fecha y hora inicio]])*1440</f>
        <v>0</v>
      </c>
    </row>
    <row r="1993" spans="6:6" ht="15">
      <c r="F1993" s="115">
        <f>+(disponibilidad[[#This Row],[Fecha y hora fin]]-disponibilidad[[#This Row],[Fecha y hora inicio]])*1440</f>
        <v>0</v>
      </c>
    </row>
    <row r="1994" spans="6:6" ht="15">
      <c r="F1994" s="115">
        <f>+(disponibilidad[[#This Row],[Fecha y hora fin]]-disponibilidad[[#This Row],[Fecha y hora inicio]])*1440</f>
        <v>0</v>
      </c>
    </row>
    <row r="1995" spans="6:6" ht="15">
      <c r="F1995" s="115">
        <f>+(disponibilidad[[#This Row],[Fecha y hora fin]]-disponibilidad[[#This Row],[Fecha y hora inicio]])*1440</f>
        <v>0</v>
      </c>
    </row>
    <row r="1996" spans="6:6" ht="15">
      <c r="F1996" s="115">
        <f>+(disponibilidad[[#This Row],[Fecha y hora fin]]-disponibilidad[[#This Row],[Fecha y hora inicio]])*1440</f>
        <v>0</v>
      </c>
    </row>
    <row r="1997" spans="6:6" ht="15">
      <c r="F1997" s="115">
        <f>+(disponibilidad[[#This Row],[Fecha y hora fin]]-disponibilidad[[#This Row],[Fecha y hora inicio]])*1440</f>
        <v>0</v>
      </c>
    </row>
    <row r="1998" spans="6:6" ht="15">
      <c r="F1998" s="115">
        <f>+(disponibilidad[[#This Row],[Fecha y hora fin]]-disponibilidad[[#This Row],[Fecha y hora inicio]])*1440</f>
        <v>0</v>
      </c>
    </row>
    <row r="1999" spans="6:6" ht="15">
      <c r="F1999" s="115">
        <f>+(disponibilidad[[#This Row],[Fecha y hora fin]]-disponibilidad[[#This Row],[Fecha y hora inicio]])*1440</f>
        <v>0</v>
      </c>
    </row>
    <row r="2000" spans="6:6" ht="15">
      <c r="F2000" s="115">
        <f>+(disponibilidad[[#This Row],[Fecha y hora fin]]-disponibilidad[[#This Row],[Fecha y hora inicio]])*1440</f>
        <v>0</v>
      </c>
    </row>
    <row r="2001" spans="6:6" ht="15">
      <c r="F2001" s="115">
        <f>+(disponibilidad[[#This Row],[Fecha y hora fin]]-disponibilidad[[#This Row],[Fecha y hora inicio]])*1440</f>
        <v>0</v>
      </c>
    </row>
    <row r="2002" spans="6:6" ht="15">
      <c r="F2002" s="115">
        <f>+(disponibilidad[[#This Row],[Fecha y hora fin]]-disponibilidad[[#This Row],[Fecha y hora inicio]])*1440</f>
        <v>0</v>
      </c>
    </row>
    <row r="2003" spans="6:6" ht="15">
      <c r="F2003" s="115">
        <f>+(disponibilidad[[#This Row],[Fecha y hora fin]]-disponibilidad[[#This Row],[Fecha y hora inicio]])*1440</f>
        <v>0</v>
      </c>
    </row>
    <row r="2004" spans="6:6" ht="15">
      <c r="F2004" s="115">
        <f>+(disponibilidad[[#This Row],[Fecha y hora fin]]-disponibilidad[[#This Row],[Fecha y hora inicio]])*1440</f>
        <v>0</v>
      </c>
    </row>
    <row r="2005" spans="6:6" ht="15">
      <c r="F2005" s="115">
        <f>+(disponibilidad[[#This Row],[Fecha y hora fin]]-disponibilidad[[#This Row],[Fecha y hora inicio]])*1440</f>
        <v>0</v>
      </c>
    </row>
    <row r="2006" spans="6:6" ht="15">
      <c r="F2006" s="115">
        <f>+(disponibilidad[[#This Row],[Fecha y hora fin]]-disponibilidad[[#This Row],[Fecha y hora inicio]])*1440</f>
        <v>0</v>
      </c>
    </row>
    <row r="2007" spans="6:6" ht="15">
      <c r="F2007" s="115">
        <f>+(disponibilidad[[#This Row],[Fecha y hora fin]]-disponibilidad[[#This Row],[Fecha y hora inicio]])*1440</f>
        <v>0</v>
      </c>
    </row>
    <row r="2008" spans="6:6" ht="15">
      <c r="F2008" s="115">
        <f>+(disponibilidad[[#This Row],[Fecha y hora fin]]-disponibilidad[[#This Row],[Fecha y hora inicio]])*1440</f>
        <v>0</v>
      </c>
    </row>
    <row r="2009" spans="6:6" ht="15">
      <c r="F2009" s="115">
        <f>+(disponibilidad[[#This Row],[Fecha y hora fin]]-disponibilidad[[#This Row],[Fecha y hora inicio]])*1440</f>
        <v>0</v>
      </c>
    </row>
    <row r="2010" spans="6:6" ht="15">
      <c r="F2010" s="115">
        <f>+(disponibilidad[[#This Row],[Fecha y hora fin]]-disponibilidad[[#This Row],[Fecha y hora inicio]])*1440</f>
        <v>0</v>
      </c>
    </row>
    <row r="2011" spans="6:6" ht="15">
      <c r="F2011" s="115">
        <f>+(disponibilidad[[#This Row],[Fecha y hora fin]]-disponibilidad[[#This Row],[Fecha y hora inicio]])*1440</f>
        <v>0</v>
      </c>
    </row>
    <row r="2012" spans="6:6" ht="15">
      <c r="F2012" s="115">
        <f>+(disponibilidad[[#This Row],[Fecha y hora fin]]-disponibilidad[[#This Row],[Fecha y hora inicio]])*1440</f>
        <v>0</v>
      </c>
    </row>
    <row r="2013" spans="6:6" ht="15">
      <c r="F2013" s="115">
        <f>+(disponibilidad[[#This Row],[Fecha y hora fin]]-disponibilidad[[#This Row],[Fecha y hora inicio]])*1440</f>
        <v>0</v>
      </c>
    </row>
    <row r="2014" spans="6:6" ht="15">
      <c r="F2014" s="115">
        <f>+(disponibilidad[[#This Row],[Fecha y hora fin]]-disponibilidad[[#This Row],[Fecha y hora inicio]])*1440</f>
        <v>0</v>
      </c>
    </row>
    <row r="2015" spans="6:6" ht="15">
      <c r="F2015" s="115">
        <f>+(disponibilidad[[#This Row],[Fecha y hora fin]]-disponibilidad[[#This Row],[Fecha y hora inicio]])*1440</f>
        <v>0</v>
      </c>
    </row>
    <row r="2016" spans="6:6" ht="15">
      <c r="F2016" s="115">
        <f>+(disponibilidad[[#This Row],[Fecha y hora fin]]-disponibilidad[[#This Row],[Fecha y hora inicio]])*1440</f>
        <v>0</v>
      </c>
    </row>
    <row r="2017" spans="6:6" ht="15">
      <c r="F2017" s="115">
        <f>+(disponibilidad[[#This Row],[Fecha y hora fin]]-disponibilidad[[#This Row],[Fecha y hora inicio]])*1440</f>
        <v>0</v>
      </c>
    </row>
    <row r="2018" spans="6:6" ht="15">
      <c r="F2018" s="115">
        <f>+(disponibilidad[[#This Row],[Fecha y hora fin]]-disponibilidad[[#This Row],[Fecha y hora inicio]])*1440</f>
        <v>0</v>
      </c>
    </row>
    <row r="2019" spans="6:6" ht="15">
      <c r="F2019" s="115">
        <f>+(disponibilidad[[#This Row],[Fecha y hora fin]]-disponibilidad[[#This Row],[Fecha y hora inicio]])*1440</f>
        <v>0</v>
      </c>
    </row>
    <row r="2020" spans="6:6" ht="15">
      <c r="F2020" s="115">
        <f>+(disponibilidad[[#This Row],[Fecha y hora fin]]-disponibilidad[[#This Row],[Fecha y hora inicio]])*1440</f>
        <v>0</v>
      </c>
    </row>
    <row r="2021" spans="6:6" ht="15">
      <c r="F2021" s="115">
        <f>+(disponibilidad[[#This Row],[Fecha y hora fin]]-disponibilidad[[#This Row],[Fecha y hora inicio]])*1440</f>
        <v>0</v>
      </c>
    </row>
    <row r="2022" spans="6:6" ht="15">
      <c r="F2022" s="115">
        <f>+(disponibilidad[[#This Row],[Fecha y hora fin]]-disponibilidad[[#This Row],[Fecha y hora inicio]])*1440</f>
        <v>0</v>
      </c>
    </row>
    <row r="2023" spans="6:6" ht="15">
      <c r="F2023" s="115">
        <f>+(disponibilidad[[#This Row],[Fecha y hora fin]]-disponibilidad[[#This Row],[Fecha y hora inicio]])*1440</f>
        <v>0</v>
      </c>
    </row>
    <row r="2024" spans="6:6" ht="15">
      <c r="F2024" s="115">
        <f>+(disponibilidad[[#This Row],[Fecha y hora fin]]-disponibilidad[[#This Row],[Fecha y hora inicio]])*1440</f>
        <v>0</v>
      </c>
    </row>
    <row r="2025" spans="6:6" ht="15">
      <c r="F2025" s="115">
        <f>+(disponibilidad[[#This Row],[Fecha y hora fin]]-disponibilidad[[#This Row],[Fecha y hora inicio]])*1440</f>
        <v>0</v>
      </c>
    </row>
    <row r="2026" spans="6:6" ht="15">
      <c r="F2026" s="115">
        <f>+(disponibilidad[[#This Row],[Fecha y hora fin]]-disponibilidad[[#This Row],[Fecha y hora inicio]])*1440</f>
        <v>0</v>
      </c>
    </row>
    <row r="2027" spans="6:6" ht="15">
      <c r="F2027" s="115">
        <f>+(disponibilidad[[#This Row],[Fecha y hora fin]]-disponibilidad[[#This Row],[Fecha y hora inicio]])*1440</f>
        <v>0</v>
      </c>
    </row>
    <row r="2028" spans="6:6" ht="15">
      <c r="F2028" s="115">
        <f>+(disponibilidad[[#This Row],[Fecha y hora fin]]-disponibilidad[[#This Row],[Fecha y hora inicio]])*1440</f>
        <v>0</v>
      </c>
    </row>
    <row r="2029" spans="6:6" ht="15">
      <c r="F2029" s="115">
        <f>+(disponibilidad[[#This Row],[Fecha y hora fin]]-disponibilidad[[#This Row],[Fecha y hora inicio]])*1440</f>
        <v>0</v>
      </c>
    </row>
    <row r="2030" spans="6:6" ht="15">
      <c r="F2030" s="115">
        <f>+(disponibilidad[[#This Row],[Fecha y hora fin]]-disponibilidad[[#This Row],[Fecha y hora inicio]])*1440</f>
        <v>0</v>
      </c>
    </row>
    <row r="2031" spans="6:6" ht="15">
      <c r="F2031" s="115">
        <f>+(disponibilidad[[#This Row],[Fecha y hora fin]]-disponibilidad[[#This Row],[Fecha y hora inicio]])*1440</f>
        <v>0</v>
      </c>
    </row>
    <row r="2032" spans="6:6" ht="15">
      <c r="F2032" s="115">
        <f>+(disponibilidad[[#This Row],[Fecha y hora fin]]-disponibilidad[[#This Row],[Fecha y hora inicio]])*1440</f>
        <v>0</v>
      </c>
    </row>
    <row r="2033" spans="6:6" ht="15">
      <c r="F2033" s="115">
        <f>+(disponibilidad[[#This Row],[Fecha y hora fin]]-disponibilidad[[#This Row],[Fecha y hora inicio]])*1440</f>
        <v>0</v>
      </c>
    </row>
    <row r="2034" spans="6:6" ht="15">
      <c r="F2034" s="115">
        <f>+(disponibilidad[[#This Row],[Fecha y hora fin]]-disponibilidad[[#This Row],[Fecha y hora inicio]])*1440</f>
        <v>0</v>
      </c>
    </row>
    <row r="2035" spans="6:6" ht="15">
      <c r="F2035" s="115">
        <f>+(disponibilidad[[#This Row],[Fecha y hora fin]]-disponibilidad[[#This Row],[Fecha y hora inicio]])*1440</f>
        <v>0</v>
      </c>
    </row>
    <row r="2036" spans="6:6" ht="15">
      <c r="F2036" s="115">
        <f>+(disponibilidad[[#This Row],[Fecha y hora fin]]-disponibilidad[[#This Row],[Fecha y hora inicio]])*1440</f>
        <v>0</v>
      </c>
    </row>
    <row r="2037" spans="6:6" ht="15">
      <c r="F2037" s="115">
        <f>+(disponibilidad[[#This Row],[Fecha y hora fin]]-disponibilidad[[#This Row],[Fecha y hora inicio]])*1440</f>
        <v>0</v>
      </c>
    </row>
    <row r="2038" spans="6:6" ht="15">
      <c r="F2038" s="115">
        <f>+(disponibilidad[[#This Row],[Fecha y hora fin]]-disponibilidad[[#This Row],[Fecha y hora inicio]])*1440</f>
        <v>0</v>
      </c>
    </row>
    <row r="2039" spans="6:6" ht="15">
      <c r="F2039" s="115">
        <f>+(disponibilidad[[#This Row],[Fecha y hora fin]]-disponibilidad[[#This Row],[Fecha y hora inicio]])*1440</f>
        <v>0</v>
      </c>
    </row>
    <row r="2040" spans="6:6" ht="15">
      <c r="F2040" s="115">
        <f>+(disponibilidad[[#This Row],[Fecha y hora fin]]-disponibilidad[[#This Row],[Fecha y hora inicio]])*1440</f>
        <v>0</v>
      </c>
    </row>
    <row r="2041" spans="6:6" ht="15">
      <c r="F2041" s="115">
        <f>+(disponibilidad[[#This Row],[Fecha y hora fin]]-disponibilidad[[#This Row],[Fecha y hora inicio]])*1440</f>
        <v>0</v>
      </c>
    </row>
    <row r="2042" spans="6:6" ht="15">
      <c r="F2042" s="115">
        <f>+(disponibilidad[[#This Row],[Fecha y hora fin]]-disponibilidad[[#This Row],[Fecha y hora inicio]])*1440</f>
        <v>0</v>
      </c>
    </row>
    <row r="2043" spans="6:6" ht="15">
      <c r="F2043" s="115">
        <f>+(disponibilidad[[#This Row],[Fecha y hora fin]]-disponibilidad[[#This Row],[Fecha y hora inicio]])*1440</f>
        <v>0</v>
      </c>
    </row>
    <row r="2044" spans="6:6" ht="15">
      <c r="F2044" s="115">
        <f>+(disponibilidad[[#This Row],[Fecha y hora fin]]-disponibilidad[[#This Row],[Fecha y hora inicio]])*1440</f>
        <v>0</v>
      </c>
    </row>
    <row r="2045" spans="6:6" ht="15">
      <c r="F2045" s="115">
        <f>+(disponibilidad[[#This Row],[Fecha y hora fin]]-disponibilidad[[#This Row],[Fecha y hora inicio]])*1440</f>
        <v>0</v>
      </c>
    </row>
    <row r="2046" spans="6:6" ht="15">
      <c r="F2046" s="115">
        <f>+(disponibilidad[[#This Row],[Fecha y hora fin]]-disponibilidad[[#This Row],[Fecha y hora inicio]])*1440</f>
        <v>0</v>
      </c>
    </row>
    <row r="2047" spans="6:6" ht="15">
      <c r="F2047" s="115">
        <f>+(disponibilidad[[#This Row],[Fecha y hora fin]]-disponibilidad[[#This Row],[Fecha y hora inicio]])*1440</f>
        <v>0</v>
      </c>
    </row>
    <row r="2048" spans="6:6" ht="15">
      <c r="F2048" s="115">
        <f>+(disponibilidad[[#This Row],[Fecha y hora fin]]-disponibilidad[[#This Row],[Fecha y hora inicio]])*1440</f>
        <v>0</v>
      </c>
    </row>
    <row r="2049" spans="6:6" ht="15">
      <c r="F2049" s="115">
        <f>+(disponibilidad[[#This Row],[Fecha y hora fin]]-disponibilidad[[#This Row],[Fecha y hora inicio]])*1440</f>
        <v>0</v>
      </c>
    </row>
    <row r="2050" spans="6:6" ht="15">
      <c r="F2050" s="115">
        <f>+(disponibilidad[[#This Row],[Fecha y hora fin]]-disponibilidad[[#This Row],[Fecha y hora inicio]])*1440</f>
        <v>0</v>
      </c>
    </row>
    <row r="2051" spans="6:6" ht="15">
      <c r="F2051" s="115">
        <f>+(disponibilidad[[#This Row],[Fecha y hora fin]]-disponibilidad[[#This Row],[Fecha y hora inicio]])*1440</f>
        <v>0</v>
      </c>
    </row>
    <row r="2052" spans="6:6" ht="15">
      <c r="F2052" s="115">
        <f>+(disponibilidad[[#This Row],[Fecha y hora fin]]-disponibilidad[[#This Row],[Fecha y hora inicio]])*1440</f>
        <v>0</v>
      </c>
    </row>
    <row r="2053" spans="6:6" ht="15">
      <c r="F2053" s="115">
        <f>+(disponibilidad[[#This Row],[Fecha y hora fin]]-disponibilidad[[#This Row],[Fecha y hora inicio]])*1440</f>
        <v>0</v>
      </c>
    </row>
    <row r="2054" spans="6:6" ht="15">
      <c r="F2054" s="115">
        <f>+(disponibilidad[[#This Row],[Fecha y hora fin]]-disponibilidad[[#This Row],[Fecha y hora inicio]])*1440</f>
        <v>0</v>
      </c>
    </row>
    <row r="2055" spans="6:6" ht="15">
      <c r="F2055" s="115">
        <f>+(disponibilidad[[#This Row],[Fecha y hora fin]]-disponibilidad[[#This Row],[Fecha y hora inicio]])*1440</f>
        <v>0</v>
      </c>
    </row>
    <row r="2056" spans="6:6" ht="15">
      <c r="F2056" s="115">
        <f>+(disponibilidad[[#This Row],[Fecha y hora fin]]-disponibilidad[[#This Row],[Fecha y hora inicio]])*1440</f>
        <v>0</v>
      </c>
    </row>
    <row r="2057" spans="6:6" ht="15">
      <c r="F2057" s="115">
        <f>+(disponibilidad[[#This Row],[Fecha y hora fin]]-disponibilidad[[#This Row],[Fecha y hora inicio]])*1440</f>
        <v>0</v>
      </c>
    </row>
    <row r="2058" spans="6:6" ht="15">
      <c r="F2058" s="115">
        <f>+(disponibilidad[[#This Row],[Fecha y hora fin]]-disponibilidad[[#This Row],[Fecha y hora inicio]])*1440</f>
        <v>0</v>
      </c>
    </row>
    <row r="2059" spans="6:6" ht="15">
      <c r="F2059" s="115">
        <f>+(disponibilidad[[#This Row],[Fecha y hora fin]]-disponibilidad[[#This Row],[Fecha y hora inicio]])*1440</f>
        <v>0</v>
      </c>
    </row>
    <row r="2060" spans="6:6" ht="15">
      <c r="F2060" s="115">
        <f>+(disponibilidad[[#This Row],[Fecha y hora fin]]-disponibilidad[[#This Row],[Fecha y hora inicio]])*1440</f>
        <v>0</v>
      </c>
    </row>
    <row r="2061" spans="6:6" ht="15">
      <c r="F2061" s="115">
        <f>+(disponibilidad[[#This Row],[Fecha y hora fin]]-disponibilidad[[#This Row],[Fecha y hora inicio]])*1440</f>
        <v>0</v>
      </c>
    </row>
    <row r="2062" spans="6:6" ht="15">
      <c r="F2062" s="115">
        <f>+(disponibilidad[[#This Row],[Fecha y hora fin]]-disponibilidad[[#This Row],[Fecha y hora inicio]])*1440</f>
        <v>0</v>
      </c>
    </row>
    <row r="2063" spans="6:6" ht="15">
      <c r="F2063" s="115">
        <f>+(disponibilidad[[#This Row],[Fecha y hora fin]]-disponibilidad[[#This Row],[Fecha y hora inicio]])*1440</f>
        <v>0</v>
      </c>
    </row>
    <row r="2064" spans="6:6" ht="15">
      <c r="F2064" s="115">
        <f>+(disponibilidad[[#This Row],[Fecha y hora fin]]-disponibilidad[[#This Row],[Fecha y hora inicio]])*1440</f>
        <v>0</v>
      </c>
    </row>
    <row r="2065" spans="6:6" ht="15">
      <c r="F2065" s="115">
        <f>+(disponibilidad[[#This Row],[Fecha y hora fin]]-disponibilidad[[#This Row],[Fecha y hora inicio]])*1440</f>
        <v>0</v>
      </c>
    </row>
    <row r="2066" spans="6:6" ht="15">
      <c r="F2066" s="115">
        <f>+(disponibilidad[[#This Row],[Fecha y hora fin]]-disponibilidad[[#This Row],[Fecha y hora inicio]])*1440</f>
        <v>0</v>
      </c>
    </row>
    <row r="2067" spans="6:6" ht="15">
      <c r="F2067" s="115">
        <f>+(disponibilidad[[#This Row],[Fecha y hora fin]]-disponibilidad[[#This Row],[Fecha y hora inicio]])*1440</f>
        <v>0</v>
      </c>
    </row>
    <row r="2068" spans="6:6" ht="15">
      <c r="F2068" s="115">
        <f>+(disponibilidad[[#This Row],[Fecha y hora fin]]-disponibilidad[[#This Row],[Fecha y hora inicio]])*1440</f>
        <v>0</v>
      </c>
    </row>
    <row r="2069" spans="6:6" ht="15">
      <c r="F2069" s="115">
        <f>+(disponibilidad[[#This Row],[Fecha y hora fin]]-disponibilidad[[#This Row],[Fecha y hora inicio]])*1440</f>
        <v>0</v>
      </c>
    </row>
    <row r="2070" spans="6:6" ht="15">
      <c r="F2070" s="115">
        <f>+(disponibilidad[[#This Row],[Fecha y hora fin]]-disponibilidad[[#This Row],[Fecha y hora inicio]])*1440</f>
        <v>0</v>
      </c>
    </row>
    <row r="2071" spans="6:6" ht="15">
      <c r="F2071" s="115">
        <f>+(disponibilidad[[#This Row],[Fecha y hora fin]]-disponibilidad[[#This Row],[Fecha y hora inicio]])*1440</f>
        <v>0</v>
      </c>
    </row>
    <row r="2072" spans="6:6" ht="15">
      <c r="F2072" s="115">
        <f>+(disponibilidad[[#This Row],[Fecha y hora fin]]-disponibilidad[[#This Row],[Fecha y hora inicio]])*1440</f>
        <v>0</v>
      </c>
    </row>
    <row r="2073" spans="6:6" ht="15">
      <c r="F2073" s="115">
        <f>+(disponibilidad[[#This Row],[Fecha y hora fin]]-disponibilidad[[#This Row],[Fecha y hora inicio]])*1440</f>
        <v>0</v>
      </c>
    </row>
    <row r="2074" spans="6:6" ht="15">
      <c r="F2074" s="115">
        <f>+(disponibilidad[[#This Row],[Fecha y hora fin]]-disponibilidad[[#This Row],[Fecha y hora inicio]])*1440</f>
        <v>0</v>
      </c>
    </row>
    <row r="2075" spans="6:6" ht="15">
      <c r="F2075" s="115">
        <f>+(disponibilidad[[#This Row],[Fecha y hora fin]]-disponibilidad[[#This Row],[Fecha y hora inicio]])*1440</f>
        <v>0</v>
      </c>
    </row>
    <row r="2076" spans="6:6" ht="15">
      <c r="F2076" s="115">
        <f>+(disponibilidad[[#This Row],[Fecha y hora fin]]-disponibilidad[[#This Row],[Fecha y hora inicio]])*1440</f>
        <v>0</v>
      </c>
    </row>
    <row r="2077" spans="6:6" ht="15">
      <c r="F2077" s="115">
        <f>+(disponibilidad[[#This Row],[Fecha y hora fin]]-disponibilidad[[#This Row],[Fecha y hora inicio]])*1440</f>
        <v>0</v>
      </c>
    </row>
    <row r="2078" spans="6:6" ht="15">
      <c r="F2078" s="115">
        <f>+(disponibilidad[[#This Row],[Fecha y hora fin]]-disponibilidad[[#This Row],[Fecha y hora inicio]])*1440</f>
        <v>0</v>
      </c>
    </row>
    <row r="2079" spans="6:6" ht="15">
      <c r="F2079" s="115">
        <f>+(disponibilidad[[#This Row],[Fecha y hora fin]]-disponibilidad[[#This Row],[Fecha y hora inicio]])*1440</f>
        <v>0</v>
      </c>
    </row>
    <row r="2080" spans="6:6" ht="15">
      <c r="F2080" s="115">
        <f>+(disponibilidad[[#This Row],[Fecha y hora fin]]-disponibilidad[[#This Row],[Fecha y hora inicio]])*1440</f>
        <v>0</v>
      </c>
    </row>
    <row r="2081" spans="6:6" ht="15">
      <c r="F2081" s="115">
        <f>+(disponibilidad[[#This Row],[Fecha y hora fin]]-disponibilidad[[#This Row],[Fecha y hora inicio]])*1440</f>
        <v>0</v>
      </c>
    </row>
    <row r="2082" spans="6:6" ht="15">
      <c r="F2082" s="115">
        <f>+(disponibilidad[[#This Row],[Fecha y hora fin]]-disponibilidad[[#This Row],[Fecha y hora inicio]])*1440</f>
        <v>0</v>
      </c>
    </row>
    <row r="2083" spans="6:6" ht="15">
      <c r="F2083" s="115">
        <f>+(disponibilidad[[#This Row],[Fecha y hora fin]]-disponibilidad[[#This Row],[Fecha y hora inicio]])*1440</f>
        <v>0</v>
      </c>
    </row>
    <row r="2084" spans="6:6" ht="15">
      <c r="F2084" s="115">
        <f>+(disponibilidad[[#This Row],[Fecha y hora fin]]-disponibilidad[[#This Row],[Fecha y hora inicio]])*1440</f>
        <v>0</v>
      </c>
    </row>
    <row r="2085" spans="6:6" ht="15">
      <c r="F2085" s="115">
        <f>+(disponibilidad[[#This Row],[Fecha y hora fin]]-disponibilidad[[#This Row],[Fecha y hora inicio]])*1440</f>
        <v>0</v>
      </c>
    </row>
    <row r="2086" spans="6:6" ht="15">
      <c r="F2086" s="115">
        <f>+(disponibilidad[[#This Row],[Fecha y hora fin]]-disponibilidad[[#This Row],[Fecha y hora inicio]])*1440</f>
        <v>0</v>
      </c>
    </row>
    <row r="2087" spans="6:6" ht="15">
      <c r="F2087" s="115">
        <f>+(disponibilidad[[#This Row],[Fecha y hora fin]]-disponibilidad[[#This Row],[Fecha y hora inicio]])*1440</f>
        <v>0</v>
      </c>
    </row>
    <row r="2088" spans="6:6" ht="15">
      <c r="F2088" s="115">
        <f>+(disponibilidad[[#This Row],[Fecha y hora fin]]-disponibilidad[[#This Row],[Fecha y hora inicio]])*1440</f>
        <v>0</v>
      </c>
    </row>
    <row r="2089" spans="6:6" ht="15">
      <c r="F2089" s="115">
        <f>+(disponibilidad[[#This Row],[Fecha y hora fin]]-disponibilidad[[#This Row],[Fecha y hora inicio]])*1440</f>
        <v>0</v>
      </c>
    </row>
    <row r="2090" spans="6:6" ht="15">
      <c r="F2090" s="115">
        <f>+(disponibilidad[[#This Row],[Fecha y hora fin]]-disponibilidad[[#This Row],[Fecha y hora inicio]])*1440</f>
        <v>0</v>
      </c>
    </row>
    <row r="2091" spans="6:6" ht="15">
      <c r="F2091" s="115">
        <f>+(disponibilidad[[#This Row],[Fecha y hora fin]]-disponibilidad[[#This Row],[Fecha y hora inicio]])*1440</f>
        <v>0</v>
      </c>
    </row>
    <row r="2092" spans="6:6" ht="15">
      <c r="F2092" s="115">
        <f>+(disponibilidad[[#This Row],[Fecha y hora fin]]-disponibilidad[[#This Row],[Fecha y hora inicio]])*1440</f>
        <v>0</v>
      </c>
    </row>
    <row r="2093" spans="6:6" ht="15">
      <c r="F2093" s="115">
        <f>+(disponibilidad[[#This Row],[Fecha y hora fin]]-disponibilidad[[#This Row],[Fecha y hora inicio]])*1440</f>
        <v>0</v>
      </c>
    </row>
    <row r="2094" spans="6:6" ht="15">
      <c r="F2094" s="115">
        <f>+(disponibilidad[[#This Row],[Fecha y hora fin]]-disponibilidad[[#This Row],[Fecha y hora inicio]])*1440</f>
        <v>0</v>
      </c>
    </row>
    <row r="2095" spans="6:6" ht="15">
      <c r="F2095" s="115">
        <f>+(disponibilidad[[#This Row],[Fecha y hora fin]]-disponibilidad[[#This Row],[Fecha y hora inicio]])*1440</f>
        <v>0</v>
      </c>
    </row>
    <row r="2096" spans="6:6" ht="15">
      <c r="F2096" s="115">
        <f>+(disponibilidad[[#This Row],[Fecha y hora fin]]-disponibilidad[[#This Row],[Fecha y hora inicio]])*1440</f>
        <v>0</v>
      </c>
    </row>
    <row r="2097" spans="6:6" ht="15">
      <c r="F2097" s="115">
        <f>+(disponibilidad[[#This Row],[Fecha y hora fin]]-disponibilidad[[#This Row],[Fecha y hora inicio]])*1440</f>
        <v>0</v>
      </c>
    </row>
    <row r="2098" spans="6:6" ht="15">
      <c r="F2098" s="115">
        <f>+(disponibilidad[[#This Row],[Fecha y hora fin]]-disponibilidad[[#This Row],[Fecha y hora inicio]])*1440</f>
        <v>0</v>
      </c>
    </row>
    <row r="2099" spans="6:6" ht="15">
      <c r="F2099" s="115">
        <f>+(disponibilidad[[#This Row],[Fecha y hora fin]]-disponibilidad[[#This Row],[Fecha y hora inicio]])*1440</f>
        <v>0</v>
      </c>
    </row>
    <row r="2100" spans="6:6" ht="15">
      <c r="F2100" s="115">
        <f>+(disponibilidad[[#This Row],[Fecha y hora fin]]-disponibilidad[[#This Row],[Fecha y hora inicio]])*1440</f>
        <v>0</v>
      </c>
    </row>
    <row r="2101" spans="6:6" ht="15">
      <c r="F2101" s="115">
        <f>+(disponibilidad[[#This Row],[Fecha y hora fin]]-disponibilidad[[#This Row],[Fecha y hora inicio]])*1440</f>
        <v>0</v>
      </c>
    </row>
    <row r="2102" spans="6:6" ht="15">
      <c r="F2102" s="115">
        <f>+(disponibilidad[[#This Row],[Fecha y hora fin]]-disponibilidad[[#This Row],[Fecha y hora inicio]])*1440</f>
        <v>0</v>
      </c>
    </row>
    <row r="2103" spans="6:6" ht="15">
      <c r="F2103" s="115">
        <f>+(disponibilidad[[#This Row],[Fecha y hora fin]]-disponibilidad[[#This Row],[Fecha y hora inicio]])*1440</f>
        <v>0</v>
      </c>
    </row>
    <row r="2104" spans="6:6" ht="15">
      <c r="F2104" s="115">
        <f>+(disponibilidad[[#This Row],[Fecha y hora fin]]-disponibilidad[[#This Row],[Fecha y hora inicio]])*1440</f>
        <v>0</v>
      </c>
    </row>
    <row r="2105" spans="6:6" ht="15">
      <c r="F2105" s="115">
        <f>+(disponibilidad[[#This Row],[Fecha y hora fin]]-disponibilidad[[#This Row],[Fecha y hora inicio]])*1440</f>
        <v>0</v>
      </c>
    </row>
    <row r="2106" spans="6:6" ht="15">
      <c r="F2106" s="115">
        <f>+(disponibilidad[[#This Row],[Fecha y hora fin]]-disponibilidad[[#This Row],[Fecha y hora inicio]])*1440</f>
        <v>0</v>
      </c>
    </row>
    <row r="2107" spans="6:6" ht="15">
      <c r="F2107" s="115">
        <f>+(disponibilidad[[#This Row],[Fecha y hora fin]]-disponibilidad[[#This Row],[Fecha y hora inicio]])*1440</f>
        <v>0</v>
      </c>
    </row>
    <row r="2108" spans="6:6" ht="15">
      <c r="F2108" s="115">
        <f>+(disponibilidad[[#This Row],[Fecha y hora fin]]-disponibilidad[[#This Row],[Fecha y hora inicio]])*1440</f>
        <v>0</v>
      </c>
    </row>
    <row r="2109" spans="6:6" ht="15">
      <c r="F2109" s="115">
        <f>+(disponibilidad[[#This Row],[Fecha y hora fin]]-disponibilidad[[#This Row],[Fecha y hora inicio]])*1440</f>
        <v>0</v>
      </c>
    </row>
    <row r="2110" spans="6:6" ht="15">
      <c r="F2110" s="115">
        <f>+(disponibilidad[[#This Row],[Fecha y hora fin]]-disponibilidad[[#This Row],[Fecha y hora inicio]])*1440</f>
        <v>0</v>
      </c>
    </row>
    <row r="2111" spans="6:6" ht="15">
      <c r="F2111" s="115">
        <f>+(disponibilidad[[#This Row],[Fecha y hora fin]]-disponibilidad[[#This Row],[Fecha y hora inicio]])*1440</f>
        <v>0</v>
      </c>
    </row>
    <row r="2112" spans="6:6" ht="15">
      <c r="F2112" s="115">
        <f>+(disponibilidad[[#This Row],[Fecha y hora fin]]-disponibilidad[[#This Row],[Fecha y hora inicio]])*1440</f>
        <v>0</v>
      </c>
    </row>
    <row r="2113" spans="6:6" ht="15">
      <c r="F2113" s="115">
        <f>+(disponibilidad[[#This Row],[Fecha y hora fin]]-disponibilidad[[#This Row],[Fecha y hora inicio]])*1440</f>
        <v>0</v>
      </c>
    </row>
    <row r="2114" spans="6:6" ht="15">
      <c r="F2114" s="115">
        <f>+(disponibilidad[[#This Row],[Fecha y hora fin]]-disponibilidad[[#This Row],[Fecha y hora inicio]])*1440</f>
        <v>0</v>
      </c>
    </row>
    <row r="2115" spans="6:6" ht="15">
      <c r="F2115" s="115">
        <f>+(disponibilidad[[#This Row],[Fecha y hora fin]]-disponibilidad[[#This Row],[Fecha y hora inicio]])*1440</f>
        <v>0</v>
      </c>
    </row>
    <row r="2116" spans="6:6" ht="15">
      <c r="F2116" s="115">
        <f>+(disponibilidad[[#This Row],[Fecha y hora fin]]-disponibilidad[[#This Row],[Fecha y hora inicio]])*1440</f>
        <v>0</v>
      </c>
    </row>
    <row r="2117" spans="6:6" ht="15">
      <c r="F2117" s="115">
        <f>+(disponibilidad[[#This Row],[Fecha y hora fin]]-disponibilidad[[#This Row],[Fecha y hora inicio]])*1440</f>
        <v>0</v>
      </c>
    </row>
    <row r="2118" spans="6:6" ht="15">
      <c r="F2118" s="115">
        <f>+(disponibilidad[[#This Row],[Fecha y hora fin]]-disponibilidad[[#This Row],[Fecha y hora inicio]])*1440</f>
        <v>0</v>
      </c>
    </row>
    <row r="2119" spans="6:6" ht="15">
      <c r="F2119" s="115">
        <f>+(disponibilidad[[#This Row],[Fecha y hora fin]]-disponibilidad[[#This Row],[Fecha y hora inicio]])*1440</f>
        <v>0</v>
      </c>
    </row>
    <row r="2120" spans="6:6" ht="15">
      <c r="F2120" s="115">
        <f>+(disponibilidad[[#This Row],[Fecha y hora fin]]-disponibilidad[[#This Row],[Fecha y hora inicio]])*1440</f>
        <v>0</v>
      </c>
    </row>
    <row r="2121" spans="6:6" ht="15">
      <c r="F2121" s="115">
        <f>+(disponibilidad[[#This Row],[Fecha y hora fin]]-disponibilidad[[#This Row],[Fecha y hora inicio]])*1440</f>
        <v>0</v>
      </c>
    </row>
    <row r="2122" spans="6:6" ht="15">
      <c r="F2122" s="115">
        <f>+(disponibilidad[[#This Row],[Fecha y hora fin]]-disponibilidad[[#This Row],[Fecha y hora inicio]])*1440</f>
        <v>0</v>
      </c>
    </row>
    <row r="2123" spans="6:6" ht="15">
      <c r="F2123" s="115">
        <f>+(disponibilidad[[#This Row],[Fecha y hora fin]]-disponibilidad[[#This Row],[Fecha y hora inicio]])*1440</f>
        <v>0</v>
      </c>
    </row>
    <row r="2124" spans="6:6" ht="15">
      <c r="F2124" s="115">
        <f>+(disponibilidad[[#This Row],[Fecha y hora fin]]-disponibilidad[[#This Row],[Fecha y hora inicio]])*1440</f>
        <v>0</v>
      </c>
    </row>
    <row r="2125" spans="6:6" ht="15">
      <c r="F2125" s="115">
        <f>+(disponibilidad[[#This Row],[Fecha y hora fin]]-disponibilidad[[#This Row],[Fecha y hora inicio]])*1440</f>
        <v>0</v>
      </c>
    </row>
    <row r="2126" spans="6:6" ht="15">
      <c r="F2126" s="115">
        <f>+(disponibilidad[[#This Row],[Fecha y hora fin]]-disponibilidad[[#This Row],[Fecha y hora inicio]])*1440</f>
        <v>0</v>
      </c>
    </row>
    <row r="2127" spans="6:6" ht="15">
      <c r="F2127" s="115">
        <f>+(disponibilidad[[#This Row],[Fecha y hora fin]]-disponibilidad[[#This Row],[Fecha y hora inicio]])*1440</f>
        <v>0</v>
      </c>
    </row>
    <row r="2128" spans="6:6" ht="15">
      <c r="F2128" s="115">
        <f>+(disponibilidad[[#This Row],[Fecha y hora fin]]-disponibilidad[[#This Row],[Fecha y hora inicio]])*1440</f>
        <v>0</v>
      </c>
    </row>
    <row r="2129" spans="6:6" ht="15">
      <c r="F2129" s="115">
        <f>+(disponibilidad[[#This Row],[Fecha y hora fin]]-disponibilidad[[#This Row],[Fecha y hora inicio]])*1440</f>
        <v>0</v>
      </c>
    </row>
    <row r="2130" spans="6:6" ht="15">
      <c r="F2130" s="115">
        <f>+(disponibilidad[[#This Row],[Fecha y hora fin]]-disponibilidad[[#This Row],[Fecha y hora inicio]])*1440</f>
        <v>0</v>
      </c>
    </row>
    <row r="2131" spans="6:6" ht="15">
      <c r="F2131" s="115">
        <f>+(disponibilidad[[#This Row],[Fecha y hora fin]]-disponibilidad[[#This Row],[Fecha y hora inicio]])*1440</f>
        <v>0</v>
      </c>
    </row>
    <row r="2132" spans="6:6" ht="15">
      <c r="F2132" s="115">
        <f>+(disponibilidad[[#This Row],[Fecha y hora fin]]-disponibilidad[[#This Row],[Fecha y hora inicio]])*1440</f>
        <v>0</v>
      </c>
    </row>
    <row r="2133" spans="6:6" ht="15">
      <c r="F2133" s="115">
        <f>+(disponibilidad[[#This Row],[Fecha y hora fin]]-disponibilidad[[#This Row],[Fecha y hora inicio]])*1440</f>
        <v>0</v>
      </c>
    </row>
    <row r="2134" spans="6:6" ht="15">
      <c r="F2134" s="115">
        <f>+(disponibilidad[[#This Row],[Fecha y hora fin]]-disponibilidad[[#This Row],[Fecha y hora inicio]])*1440</f>
        <v>0</v>
      </c>
    </row>
    <row r="2135" spans="6:6" ht="15">
      <c r="F2135" s="115">
        <f>+(disponibilidad[[#This Row],[Fecha y hora fin]]-disponibilidad[[#This Row],[Fecha y hora inicio]])*1440</f>
        <v>0</v>
      </c>
    </row>
    <row r="2136" spans="6:6" ht="15">
      <c r="F2136" s="115">
        <f>+(disponibilidad[[#This Row],[Fecha y hora fin]]-disponibilidad[[#This Row],[Fecha y hora inicio]])*1440</f>
        <v>0</v>
      </c>
    </row>
    <row r="2137" spans="6:6" ht="15">
      <c r="F2137" s="115">
        <f>+(disponibilidad[[#This Row],[Fecha y hora fin]]-disponibilidad[[#This Row],[Fecha y hora inicio]])*1440</f>
        <v>0</v>
      </c>
    </row>
    <row r="2138" spans="6:6" ht="15">
      <c r="F2138" s="115">
        <f>+(disponibilidad[[#This Row],[Fecha y hora fin]]-disponibilidad[[#This Row],[Fecha y hora inicio]])*1440</f>
        <v>0</v>
      </c>
    </row>
    <row r="2139" spans="6:6" ht="15">
      <c r="F2139" s="115">
        <f>+(disponibilidad[[#This Row],[Fecha y hora fin]]-disponibilidad[[#This Row],[Fecha y hora inicio]])*1440</f>
        <v>0</v>
      </c>
    </row>
    <row r="2140" spans="6:6" ht="15">
      <c r="F2140" s="115">
        <f>+(disponibilidad[[#This Row],[Fecha y hora fin]]-disponibilidad[[#This Row],[Fecha y hora inicio]])*1440</f>
        <v>0</v>
      </c>
    </row>
    <row r="2141" spans="6:6" ht="15">
      <c r="F2141" s="115">
        <f>+(disponibilidad[[#This Row],[Fecha y hora fin]]-disponibilidad[[#This Row],[Fecha y hora inicio]])*1440</f>
        <v>0</v>
      </c>
    </row>
    <row r="2142" spans="6:6" ht="15">
      <c r="F2142" s="115">
        <f>+(disponibilidad[[#This Row],[Fecha y hora fin]]-disponibilidad[[#This Row],[Fecha y hora inicio]])*1440</f>
        <v>0</v>
      </c>
    </row>
    <row r="2143" spans="6:6" ht="15">
      <c r="F2143" s="115">
        <f>+(disponibilidad[[#This Row],[Fecha y hora fin]]-disponibilidad[[#This Row],[Fecha y hora inicio]])*1440</f>
        <v>0</v>
      </c>
    </row>
    <row r="2144" spans="6:6" ht="15">
      <c r="F2144" s="115">
        <f>+(disponibilidad[[#This Row],[Fecha y hora fin]]-disponibilidad[[#This Row],[Fecha y hora inicio]])*1440</f>
        <v>0</v>
      </c>
    </row>
    <row r="2145" spans="6:6" ht="15">
      <c r="F2145" s="115">
        <f>+(disponibilidad[[#This Row],[Fecha y hora fin]]-disponibilidad[[#This Row],[Fecha y hora inicio]])*1440</f>
        <v>0</v>
      </c>
    </row>
    <row r="2146" spans="6:6" ht="15">
      <c r="F2146" s="115">
        <f>+(disponibilidad[[#This Row],[Fecha y hora fin]]-disponibilidad[[#This Row],[Fecha y hora inicio]])*1440</f>
        <v>0</v>
      </c>
    </row>
    <row r="2147" spans="6:6" ht="15">
      <c r="F2147" s="115">
        <f>+(disponibilidad[[#This Row],[Fecha y hora fin]]-disponibilidad[[#This Row],[Fecha y hora inicio]])*1440</f>
        <v>0</v>
      </c>
    </row>
    <row r="2148" spans="6:6" ht="15">
      <c r="F2148" s="115">
        <f>+(disponibilidad[[#This Row],[Fecha y hora fin]]-disponibilidad[[#This Row],[Fecha y hora inicio]])*1440</f>
        <v>0</v>
      </c>
    </row>
    <row r="2149" spans="6:6" ht="15">
      <c r="F2149" s="115">
        <f>+(disponibilidad[[#This Row],[Fecha y hora fin]]-disponibilidad[[#This Row],[Fecha y hora inicio]])*1440</f>
        <v>0</v>
      </c>
    </row>
    <row r="2150" spans="6:6" ht="15">
      <c r="F2150" s="115">
        <f>+(disponibilidad[[#This Row],[Fecha y hora fin]]-disponibilidad[[#This Row],[Fecha y hora inicio]])*1440</f>
        <v>0</v>
      </c>
    </row>
    <row r="2151" spans="6:6" ht="15">
      <c r="F2151" s="115">
        <f>+(disponibilidad[[#This Row],[Fecha y hora fin]]-disponibilidad[[#This Row],[Fecha y hora inicio]])*1440</f>
        <v>0</v>
      </c>
    </row>
    <row r="2152" spans="6:6" ht="15">
      <c r="F2152" s="115">
        <f>+(disponibilidad[[#This Row],[Fecha y hora fin]]-disponibilidad[[#This Row],[Fecha y hora inicio]])*1440</f>
        <v>0</v>
      </c>
    </row>
    <row r="2153" spans="6:6" ht="15">
      <c r="F2153" s="115">
        <f>+(disponibilidad[[#This Row],[Fecha y hora fin]]-disponibilidad[[#This Row],[Fecha y hora inicio]])*1440</f>
        <v>0</v>
      </c>
    </row>
    <row r="2154" spans="6:6" ht="15">
      <c r="F2154" s="115">
        <f>+(disponibilidad[[#This Row],[Fecha y hora fin]]-disponibilidad[[#This Row],[Fecha y hora inicio]])*1440</f>
        <v>0</v>
      </c>
    </row>
    <row r="2155" spans="6:6" ht="15">
      <c r="F2155" s="115">
        <f>+(disponibilidad[[#This Row],[Fecha y hora fin]]-disponibilidad[[#This Row],[Fecha y hora inicio]])*1440</f>
        <v>0</v>
      </c>
    </row>
    <row r="2156" spans="6:6" ht="15">
      <c r="F2156" s="115">
        <f>+(disponibilidad[[#This Row],[Fecha y hora fin]]-disponibilidad[[#This Row],[Fecha y hora inicio]])*1440</f>
        <v>0</v>
      </c>
    </row>
    <row r="2157" spans="6:6" ht="15">
      <c r="F2157" s="115">
        <f>+(disponibilidad[[#This Row],[Fecha y hora fin]]-disponibilidad[[#This Row],[Fecha y hora inicio]])*1440</f>
        <v>0</v>
      </c>
    </row>
    <row r="2158" spans="6:6" ht="15">
      <c r="F2158" s="115">
        <f>+(disponibilidad[[#This Row],[Fecha y hora fin]]-disponibilidad[[#This Row],[Fecha y hora inicio]])*1440</f>
        <v>0</v>
      </c>
    </row>
    <row r="2159" spans="6:6" ht="15">
      <c r="F2159" s="115">
        <f>+(disponibilidad[[#This Row],[Fecha y hora fin]]-disponibilidad[[#This Row],[Fecha y hora inicio]])*1440</f>
        <v>0</v>
      </c>
    </row>
    <row r="2160" spans="6:6" ht="15">
      <c r="F2160" s="115">
        <f>+(disponibilidad[[#This Row],[Fecha y hora fin]]-disponibilidad[[#This Row],[Fecha y hora inicio]])*1440</f>
        <v>0</v>
      </c>
    </row>
    <row r="2161" spans="6:6" ht="15">
      <c r="F2161" s="115">
        <f>+(disponibilidad[[#This Row],[Fecha y hora fin]]-disponibilidad[[#This Row],[Fecha y hora inicio]])*1440</f>
        <v>0</v>
      </c>
    </row>
    <row r="2162" spans="6:6" ht="15">
      <c r="F2162" s="115">
        <f>+(disponibilidad[[#This Row],[Fecha y hora fin]]-disponibilidad[[#This Row],[Fecha y hora inicio]])*1440</f>
        <v>0</v>
      </c>
    </row>
    <row r="2163" spans="6:6" ht="15">
      <c r="F2163" s="115">
        <f>+(disponibilidad[[#This Row],[Fecha y hora fin]]-disponibilidad[[#This Row],[Fecha y hora inicio]])*1440</f>
        <v>0</v>
      </c>
    </row>
    <row r="2164" spans="6:6" ht="15">
      <c r="F2164" s="115">
        <f>+(disponibilidad[[#This Row],[Fecha y hora fin]]-disponibilidad[[#This Row],[Fecha y hora inicio]])*1440</f>
        <v>0</v>
      </c>
    </row>
    <row r="2165" spans="6:6" ht="15">
      <c r="F2165" s="115">
        <f>+(disponibilidad[[#This Row],[Fecha y hora fin]]-disponibilidad[[#This Row],[Fecha y hora inicio]])*1440</f>
        <v>0</v>
      </c>
    </row>
    <row r="2166" spans="6:6" ht="15">
      <c r="F2166" s="115">
        <f>+(disponibilidad[[#This Row],[Fecha y hora fin]]-disponibilidad[[#This Row],[Fecha y hora inicio]])*1440</f>
        <v>0</v>
      </c>
    </row>
    <row r="2167" spans="6:6" ht="15">
      <c r="F2167" s="115">
        <f>+(disponibilidad[[#This Row],[Fecha y hora fin]]-disponibilidad[[#This Row],[Fecha y hora inicio]])*1440</f>
        <v>0</v>
      </c>
    </row>
    <row r="2168" spans="6:6" ht="15">
      <c r="F2168" s="115">
        <f>+(disponibilidad[[#This Row],[Fecha y hora fin]]-disponibilidad[[#This Row],[Fecha y hora inicio]])*1440</f>
        <v>0</v>
      </c>
    </row>
    <row r="2169" spans="6:6" ht="15">
      <c r="F2169" s="115">
        <f>+(disponibilidad[[#This Row],[Fecha y hora fin]]-disponibilidad[[#This Row],[Fecha y hora inicio]])*1440</f>
        <v>0</v>
      </c>
    </row>
    <row r="2170" spans="6:6" ht="15">
      <c r="F2170" s="115">
        <f>+(disponibilidad[[#This Row],[Fecha y hora fin]]-disponibilidad[[#This Row],[Fecha y hora inicio]])*1440</f>
        <v>0</v>
      </c>
    </row>
    <row r="2171" spans="6:6" ht="15">
      <c r="F2171" s="115">
        <f>+(disponibilidad[[#This Row],[Fecha y hora fin]]-disponibilidad[[#This Row],[Fecha y hora inicio]])*1440</f>
        <v>0</v>
      </c>
    </row>
    <row r="2172" spans="6:6" ht="15">
      <c r="F2172" s="115">
        <f>+(disponibilidad[[#This Row],[Fecha y hora fin]]-disponibilidad[[#This Row],[Fecha y hora inicio]])*1440</f>
        <v>0</v>
      </c>
    </row>
    <row r="2173" spans="6:6" ht="15">
      <c r="F2173" s="115">
        <f>+(disponibilidad[[#This Row],[Fecha y hora fin]]-disponibilidad[[#This Row],[Fecha y hora inicio]])*1440</f>
        <v>0</v>
      </c>
    </row>
    <row r="2174" spans="6:6" ht="15">
      <c r="F2174" s="115">
        <f>+(disponibilidad[[#This Row],[Fecha y hora fin]]-disponibilidad[[#This Row],[Fecha y hora inicio]])*1440</f>
        <v>0</v>
      </c>
    </row>
    <row r="2175" spans="6:6" ht="15">
      <c r="F2175" s="115">
        <f>+(disponibilidad[[#This Row],[Fecha y hora fin]]-disponibilidad[[#This Row],[Fecha y hora inicio]])*1440</f>
        <v>0</v>
      </c>
    </row>
    <row r="2176" spans="6:6" ht="15">
      <c r="F2176" s="115">
        <f>+(disponibilidad[[#This Row],[Fecha y hora fin]]-disponibilidad[[#This Row],[Fecha y hora inicio]])*1440</f>
        <v>0</v>
      </c>
    </row>
    <row r="2177" spans="6:6" ht="15">
      <c r="F2177" s="115">
        <f>+(disponibilidad[[#This Row],[Fecha y hora fin]]-disponibilidad[[#This Row],[Fecha y hora inicio]])*1440</f>
        <v>0</v>
      </c>
    </row>
    <row r="2178" spans="6:6" ht="15">
      <c r="F2178" s="115">
        <f>+(disponibilidad[[#This Row],[Fecha y hora fin]]-disponibilidad[[#This Row],[Fecha y hora inicio]])*1440</f>
        <v>0</v>
      </c>
    </row>
    <row r="2179" spans="6:6" ht="15">
      <c r="F2179" s="115">
        <f>+(disponibilidad[[#This Row],[Fecha y hora fin]]-disponibilidad[[#This Row],[Fecha y hora inicio]])*1440</f>
        <v>0</v>
      </c>
    </row>
    <row r="2180" spans="6:6" ht="15">
      <c r="F2180" s="115">
        <f>+(disponibilidad[[#This Row],[Fecha y hora fin]]-disponibilidad[[#This Row],[Fecha y hora inicio]])*1440</f>
        <v>0</v>
      </c>
    </row>
    <row r="2181" spans="6:6" ht="15">
      <c r="F2181" s="115">
        <f>+(disponibilidad[[#This Row],[Fecha y hora fin]]-disponibilidad[[#This Row],[Fecha y hora inicio]])*1440</f>
        <v>0</v>
      </c>
    </row>
    <row r="2182" spans="6:6" ht="15">
      <c r="F2182" s="115">
        <f>+(disponibilidad[[#This Row],[Fecha y hora fin]]-disponibilidad[[#This Row],[Fecha y hora inicio]])*1440</f>
        <v>0</v>
      </c>
    </row>
    <row r="2183" spans="6:6" ht="15">
      <c r="F2183" s="115">
        <f>+(disponibilidad[[#This Row],[Fecha y hora fin]]-disponibilidad[[#This Row],[Fecha y hora inicio]])*1440</f>
        <v>0</v>
      </c>
    </row>
    <row r="2184" spans="6:6" ht="15">
      <c r="F2184" s="115">
        <f>+(disponibilidad[[#This Row],[Fecha y hora fin]]-disponibilidad[[#This Row],[Fecha y hora inicio]])*1440</f>
        <v>0</v>
      </c>
    </row>
    <row r="2185" spans="6:6" ht="15">
      <c r="F2185" s="115">
        <f>+(disponibilidad[[#This Row],[Fecha y hora fin]]-disponibilidad[[#This Row],[Fecha y hora inicio]])*1440</f>
        <v>0</v>
      </c>
    </row>
    <row r="2186" spans="6:6" ht="15">
      <c r="F2186" s="115">
        <f>+(disponibilidad[[#This Row],[Fecha y hora fin]]-disponibilidad[[#This Row],[Fecha y hora inicio]])*1440</f>
        <v>0</v>
      </c>
    </row>
    <row r="2187" spans="6:6" ht="15">
      <c r="F2187" s="115">
        <f>+(disponibilidad[[#This Row],[Fecha y hora fin]]-disponibilidad[[#This Row],[Fecha y hora inicio]])*1440</f>
        <v>0</v>
      </c>
    </row>
    <row r="2188" spans="6:6" ht="15">
      <c r="F2188" s="115">
        <f>+(disponibilidad[[#This Row],[Fecha y hora fin]]-disponibilidad[[#This Row],[Fecha y hora inicio]])*1440</f>
        <v>0</v>
      </c>
    </row>
    <row r="2189" spans="6:6" ht="15">
      <c r="F2189" s="115">
        <f>+(disponibilidad[[#This Row],[Fecha y hora fin]]-disponibilidad[[#This Row],[Fecha y hora inicio]])*1440</f>
        <v>0</v>
      </c>
    </row>
    <row r="2190" spans="6:6" ht="15">
      <c r="F2190" s="115">
        <f>+(disponibilidad[[#This Row],[Fecha y hora fin]]-disponibilidad[[#This Row],[Fecha y hora inicio]])*1440</f>
        <v>0</v>
      </c>
    </row>
    <row r="2191" spans="6:6" ht="15">
      <c r="F2191" s="115">
        <f>+(disponibilidad[[#This Row],[Fecha y hora fin]]-disponibilidad[[#This Row],[Fecha y hora inicio]])*1440</f>
        <v>0</v>
      </c>
    </row>
    <row r="2192" spans="6:6" ht="15">
      <c r="F2192" s="115">
        <f>+(disponibilidad[[#This Row],[Fecha y hora fin]]-disponibilidad[[#This Row],[Fecha y hora inicio]])*1440</f>
        <v>0</v>
      </c>
    </row>
    <row r="2193" spans="6:6" ht="15">
      <c r="F2193" s="115">
        <f>+(disponibilidad[[#This Row],[Fecha y hora fin]]-disponibilidad[[#This Row],[Fecha y hora inicio]])*1440</f>
        <v>0</v>
      </c>
    </row>
    <row r="2194" spans="6:6" ht="15">
      <c r="F2194" s="115">
        <f>+(disponibilidad[[#This Row],[Fecha y hora fin]]-disponibilidad[[#This Row],[Fecha y hora inicio]])*1440</f>
        <v>0</v>
      </c>
    </row>
    <row r="2195" spans="6:6" ht="15">
      <c r="F2195" s="115">
        <f>+(disponibilidad[[#This Row],[Fecha y hora fin]]-disponibilidad[[#This Row],[Fecha y hora inicio]])*1440</f>
        <v>0</v>
      </c>
    </row>
    <row r="2196" spans="6:6" ht="15">
      <c r="F2196" s="115">
        <f>+(disponibilidad[[#This Row],[Fecha y hora fin]]-disponibilidad[[#This Row],[Fecha y hora inicio]])*1440</f>
        <v>0</v>
      </c>
    </row>
    <row r="2197" spans="6:6" ht="15">
      <c r="F2197" s="115">
        <f>+(disponibilidad[[#This Row],[Fecha y hora fin]]-disponibilidad[[#This Row],[Fecha y hora inicio]])*1440</f>
        <v>0</v>
      </c>
    </row>
    <row r="2198" spans="6:6" ht="15">
      <c r="F2198" s="115">
        <f>+(disponibilidad[[#This Row],[Fecha y hora fin]]-disponibilidad[[#This Row],[Fecha y hora inicio]])*1440</f>
        <v>0</v>
      </c>
    </row>
    <row r="2199" spans="6:6" ht="15">
      <c r="F2199" s="115">
        <f>+(disponibilidad[[#This Row],[Fecha y hora fin]]-disponibilidad[[#This Row],[Fecha y hora inicio]])*1440</f>
        <v>0</v>
      </c>
    </row>
    <row r="2200" spans="6:6" ht="15">
      <c r="F2200" s="115">
        <f>+(disponibilidad[[#This Row],[Fecha y hora fin]]-disponibilidad[[#This Row],[Fecha y hora inicio]])*1440</f>
        <v>0</v>
      </c>
    </row>
    <row r="2201" spans="6:6" ht="15">
      <c r="F2201" s="115">
        <f>+(disponibilidad[[#This Row],[Fecha y hora fin]]-disponibilidad[[#This Row],[Fecha y hora inicio]])*1440</f>
        <v>0</v>
      </c>
    </row>
    <row r="2202" spans="6:6" ht="15">
      <c r="F2202" s="115">
        <f>+(disponibilidad[[#This Row],[Fecha y hora fin]]-disponibilidad[[#This Row],[Fecha y hora inicio]])*1440</f>
        <v>0</v>
      </c>
    </row>
    <row r="2203" spans="6:6" ht="15">
      <c r="F2203" s="115">
        <f>+(disponibilidad[[#This Row],[Fecha y hora fin]]-disponibilidad[[#This Row],[Fecha y hora inicio]])*1440</f>
        <v>0</v>
      </c>
    </row>
    <row r="2204" spans="6:6" ht="15">
      <c r="F2204" s="115">
        <f>+(disponibilidad[[#This Row],[Fecha y hora fin]]-disponibilidad[[#This Row],[Fecha y hora inicio]])*1440</f>
        <v>0</v>
      </c>
    </row>
    <row r="2205" spans="6:6" ht="15">
      <c r="F2205" s="115">
        <f>+(disponibilidad[[#This Row],[Fecha y hora fin]]-disponibilidad[[#This Row],[Fecha y hora inicio]])*1440</f>
        <v>0</v>
      </c>
    </row>
    <row r="2206" spans="6:6" ht="15">
      <c r="F2206" s="115">
        <f>+(disponibilidad[[#This Row],[Fecha y hora fin]]-disponibilidad[[#This Row],[Fecha y hora inicio]])*1440</f>
        <v>0</v>
      </c>
    </row>
    <row r="2207" spans="6:6" ht="15">
      <c r="F2207" s="115">
        <f>+(disponibilidad[[#This Row],[Fecha y hora fin]]-disponibilidad[[#This Row],[Fecha y hora inicio]])*1440</f>
        <v>0</v>
      </c>
    </row>
    <row r="2208" spans="6:6" ht="15">
      <c r="F2208" s="115">
        <f>+(disponibilidad[[#This Row],[Fecha y hora fin]]-disponibilidad[[#This Row],[Fecha y hora inicio]])*1440</f>
        <v>0</v>
      </c>
    </row>
    <row r="2209" spans="6:6" ht="15">
      <c r="F2209" s="115">
        <f>+(disponibilidad[[#This Row],[Fecha y hora fin]]-disponibilidad[[#This Row],[Fecha y hora inicio]])*1440</f>
        <v>0</v>
      </c>
    </row>
    <row r="2210" spans="6:6" ht="15">
      <c r="F2210" s="115">
        <f>+(disponibilidad[[#This Row],[Fecha y hora fin]]-disponibilidad[[#This Row],[Fecha y hora inicio]])*1440</f>
        <v>0</v>
      </c>
    </row>
    <row r="2211" spans="6:6" ht="15">
      <c r="F2211" s="115">
        <f>+(disponibilidad[[#This Row],[Fecha y hora fin]]-disponibilidad[[#This Row],[Fecha y hora inicio]])*1440</f>
        <v>0</v>
      </c>
    </row>
    <row r="2212" spans="6:6" ht="15">
      <c r="F2212" s="115">
        <f>+(disponibilidad[[#This Row],[Fecha y hora fin]]-disponibilidad[[#This Row],[Fecha y hora inicio]])*1440</f>
        <v>0</v>
      </c>
    </row>
    <row r="2213" spans="6:6" ht="15">
      <c r="F2213" s="115">
        <f>+(disponibilidad[[#This Row],[Fecha y hora fin]]-disponibilidad[[#This Row],[Fecha y hora inicio]])*1440</f>
        <v>0</v>
      </c>
    </row>
    <row r="2214" spans="6:6" ht="15">
      <c r="F2214" s="115">
        <f>+(disponibilidad[[#This Row],[Fecha y hora fin]]-disponibilidad[[#This Row],[Fecha y hora inicio]])*1440</f>
        <v>0</v>
      </c>
    </row>
    <row r="2215" spans="6:6" ht="15">
      <c r="F2215" s="115">
        <f>+(disponibilidad[[#This Row],[Fecha y hora fin]]-disponibilidad[[#This Row],[Fecha y hora inicio]])*1440</f>
        <v>0</v>
      </c>
    </row>
    <row r="2216" spans="6:6" ht="15">
      <c r="F2216" s="115">
        <f>+(disponibilidad[[#This Row],[Fecha y hora fin]]-disponibilidad[[#This Row],[Fecha y hora inicio]])*1440</f>
        <v>0</v>
      </c>
    </row>
    <row r="2217" spans="6:6" ht="15">
      <c r="F2217" s="115">
        <f>+(disponibilidad[[#This Row],[Fecha y hora fin]]-disponibilidad[[#This Row],[Fecha y hora inicio]])*1440</f>
        <v>0</v>
      </c>
    </row>
    <row r="2218" spans="6:6" ht="15">
      <c r="F2218" s="115">
        <f>+(disponibilidad[[#This Row],[Fecha y hora fin]]-disponibilidad[[#This Row],[Fecha y hora inicio]])*1440</f>
        <v>0</v>
      </c>
    </row>
    <row r="2219" spans="6:6" ht="15">
      <c r="F2219" s="115">
        <f>+(disponibilidad[[#This Row],[Fecha y hora fin]]-disponibilidad[[#This Row],[Fecha y hora inicio]])*1440</f>
        <v>0</v>
      </c>
    </row>
    <row r="2220" spans="6:6" ht="15">
      <c r="F2220" s="115">
        <f>+(disponibilidad[[#This Row],[Fecha y hora fin]]-disponibilidad[[#This Row],[Fecha y hora inicio]])*1440</f>
        <v>0</v>
      </c>
    </row>
    <row r="2221" spans="6:6" ht="15">
      <c r="F2221" s="115">
        <f>+(disponibilidad[[#This Row],[Fecha y hora fin]]-disponibilidad[[#This Row],[Fecha y hora inicio]])*1440</f>
        <v>0</v>
      </c>
    </row>
    <row r="2222" spans="6:6" ht="15">
      <c r="F2222" s="115">
        <f>+(disponibilidad[[#This Row],[Fecha y hora fin]]-disponibilidad[[#This Row],[Fecha y hora inicio]])*1440</f>
        <v>0</v>
      </c>
    </row>
    <row r="2223" spans="6:6" ht="15">
      <c r="F2223" s="115">
        <f>+(disponibilidad[[#This Row],[Fecha y hora fin]]-disponibilidad[[#This Row],[Fecha y hora inicio]])*1440</f>
        <v>0</v>
      </c>
    </row>
    <row r="2224" spans="6:6" ht="15">
      <c r="F2224" s="115">
        <f>+(disponibilidad[[#This Row],[Fecha y hora fin]]-disponibilidad[[#This Row],[Fecha y hora inicio]])*1440</f>
        <v>0</v>
      </c>
    </row>
    <row r="2225" spans="6:6" ht="15">
      <c r="F2225" s="115">
        <f>+(disponibilidad[[#This Row],[Fecha y hora fin]]-disponibilidad[[#This Row],[Fecha y hora inicio]])*1440</f>
        <v>0</v>
      </c>
    </row>
    <row r="2226" spans="6:6" ht="15">
      <c r="F2226" s="115">
        <f>+(disponibilidad[[#This Row],[Fecha y hora fin]]-disponibilidad[[#This Row],[Fecha y hora inicio]])*1440</f>
        <v>0</v>
      </c>
    </row>
    <row r="2227" spans="6:6" ht="15">
      <c r="F2227" s="115">
        <f>+(disponibilidad[[#This Row],[Fecha y hora fin]]-disponibilidad[[#This Row],[Fecha y hora inicio]])*1440</f>
        <v>0</v>
      </c>
    </row>
    <row r="2228" spans="6:6" ht="15">
      <c r="F2228" s="115">
        <f>+(disponibilidad[[#This Row],[Fecha y hora fin]]-disponibilidad[[#This Row],[Fecha y hora inicio]])*1440</f>
        <v>0</v>
      </c>
    </row>
    <row r="2229" spans="6:6" ht="15">
      <c r="F2229" s="115">
        <f>+(disponibilidad[[#This Row],[Fecha y hora fin]]-disponibilidad[[#This Row],[Fecha y hora inicio]])*1440</f>
        <v>0</v>
      </c>
    </row>
    <row r="2230" spans="6:6" ht="15">
      <c r="F2230" s="115">
        <f>+(disponibilidad[[#This Row],[Fecha y hora fin]]-disponibilidad[[#This Row],[Fecha y hora inicio]])*1440</f>
        <v>0</v>
      </c>
    </row>
    <row r="2231" spans="6:6" ht="15">
      <c r="F2231" s="115">
        <f>+(disponibilidad[[#This Row],[Fecha y hora fin]]-disponibilidad[[#This Row],[Fecha y hora inicio]])*1440</f>
        <v>0</v>
      </c>
    </row>
    <row r="2232" spans="6:6" ht="15">
      <c r="F2232" s="115">
        <f>+(disponibilidad[[#This Row],[Fecha y hora fin]]-disponibilidad[[#This Row],[Fecha y hora inicio]])*1440</f>
        <v>0</v>
      </c>
    </row>
    <row r="2233" spans="6:6" ht="15">
      <c r="F2233" s="115">
        <f>+(disponibilidad[[#This Row],[Fecha y hora fin]]-disponibilidad[[#This Row],[Fecha y hora inicio]])*1440</f>
        <v>0</v>
      </c>
    </row>
    <row r="2234" spans="6:6" ht="15">
      <c r="F2234" s="115">
        <f>+(disponibilidad[[#This Row],[Fecha y hora fin]]-disponibilidad[[#This Row],[Fecha y hora inicio]])*1440</f>
        <v>0</v>
      </c>
    </row>
    <row r="2235" spans="6:6" ht="15">
      <c r="F2235" s="115">
        <f>+(disponibilidad[[#This Row],[Fecha y hora fin]]-disponibilidad[[#This Row],[Fecha y hora inicio]])*1440</f>
        <v>0</v>
      </c>
    </row>
    <row r="2236" spans="6:6" ht="15">
      <c r="F2236" s="115">
        <f>+(disponibilidad[[#This Row],[Fecha y hora fin]]-disponibilidad[[#This Row],[Fecha y hora inicio]])*1440</f>
        <v>0</v>
      </c>
    </row>
    <row r="2237" spans="6:6" ht="15">
      <c r="F2237" s="115">
        <f>+(disponibilidad[[#This Row],[Fecha y hora fin]]-disponibilidad[[#This Row],[Fecha y hora inicio]])*1440</f>
        <v>0</v>
      </c>
    </row>
    <row r="2238" spans="6:6" ht="15">
      <c r="F2238" s="115">
        <f>+(disponibilidad[[#This Row],[Fecha y hora fin]]-disponibilidad[[#This Row],[Fecha y hora inicio]])*1440</f>
        <v>0</v>
      </c>
    </row>
    <row r="2239" spans="6:6" ht="15">
      <c r="F2239" s="115">
        <f>+(disponibilidad[[#This Row],[Fecha y hora fin]]-disponibilidad[[#This Row],[Fecha y hora inicio]])*1440</f>
        <v>0</v>
      </c>
    </row>
    <row r="2240" spans="6:6" ht="15">
      <c r="F2240" s="115">
        <f>+(disponibilidad[[#This Row],[Fecha y hora fin]]-disponibilidad[[#This Row],[Fecha y hora inicio]])*1440</f>
        <v>0</v>
      </c>
    </row>
    <row r="2241" spans="6:6" ht="15">
      <c r="F2241" s="115">
        <f>+(disponibilidad[[#This Row],[Fecha y hora fin]]-disponibilidad[[#This Row],[Fecha y hora inicio]])*1440</f>
        <v>0</v>
      </c>
    </row>
    <row r="2242" spans="6:6" ht="15">
      <c r="F2242" s="115">
        <f>+(disponibilidad[[#This Row],[Fecha y hora fin]]-disponibilidad[[#This Row],[Fecha y hora inicio]])*1440</f>
        <v>0</v>
      </c>
    </row>
    <row r="2243" spans="6:6" ht="15">
      <c r="F2243" s="115">
        <f>+(disponibilidad[[#This Row],[Fecha y hora fin]]-disponibilidad[[#This Row],[Fecha y hora inicio]])*1440</f>
        <v>0</v>
      </c>
    </row>
    <row r="2244" spans="6:6" ht="15">
      <c r="F2244" s="115">
        <f>+(disponibilidad[[#This Row],[Fecha y hora fin]]-disponibilidad[[#This Row],[Fecha y hora inicio]])*1440</f>
        <v>0</v>
      </c>
    </row>
    <row r="2245" spans="6:6" ht="15">
      <c r="F2245" s="115">
        <f>+(disponibilidad[[#This Row],[Fecha y hora fin]]-disponibilidad[[#This Row],[Fecha y hora inicio]])*1440</f>
        <v>0</v>
      </c>
    </row>
    <row r="2246" spans="6:6" ht="15">
      <c r="F2246" s="115">
        <f>+(disponibilidad[[#This Row],[Fecha y hora fin]]-disponibilidad[[#This Row],[Fecha y hora inicio]])*1440</f>
        <v>0</v>
      </c>
    </row>
    <row r="2247" spans="6:6" ht="15">
      <c r="F2247" s="115">
        <f>+(disponibilidad[[#This Row],[Fecha y hora fin]]-disponibilidad[[#This Row],[Fecha y hora inicio]])*1440</f>
        <v>0</v>
      </c>
    </row>
    <row r="2248" spans="6:6" ht="15">
      <c r="F2248" s="115">
        <f>+(disponibilidad[[#This Row],[Fecha y hora fin]]-disponibilidad[[#This Row],[Fecha y hora inicio]])*1440</f>
        <v>0</v>
      </c>
    </row>
    <row r="2249" spans="6:6" ht="15">
      <c r="F2249" s="115">
        <f>+(disponibilidad[[#This Row],[Fecha y hora fin]]-disponibilidad[[#This Row],[Fecha y hora inicio]])*1440</f>
        <v>0</v>
      </c>
    </row>
    <row r="2250" spans="6:6" ht="15">
      <c r="F2250" s="115">
        <f>+(disponibilidad[[#This Row],[Fecha y hora fin]]-disponibilidad[[#This Row],[Fecha y hora inicio]])*1440</f>
        <v>0</v>
      </c>
    </row>
    <row r="2251" spans="6:6" ht="15">
      <c r="F2251" s="115">
        <f>+(disponibilidad[[#This Row],[Fecha y hora fin]]-disponibilidad[[#This Row],[Fecha y hora inicio]])*1440</f>
        <v>0</v>
      </c>
    </row>
    <row r="2252" spans="6:6" ht="15">
      <c r="F2252" s="115">
        <f>+(disponibilidad[[#This Row],[Fecha y hora fin]]-disponibilidad[[#This Row],[Fecha y hora inicio]])*1440</f>
        <v>0</v>
      </c>
    </row>
    <row r="2253" spans="6:6" ht="15">
      <c r="F2253" s="115">
        <f>+(disponibilidad[[#This Row],[Fecha y hora fin]]-disponibilidad[[#This Row],[Fecha y hora inicio]])*1440</f>
        <v>0</v>
      </c>
    </row>
    <row r="2254" spans="6:6" ht="15">
      <c r="F2254" s="115">
        <f>+(disponibilidad[[#This Row],[Fecha y hora fin]]-disponibilidad[[#This Row],[Fecha y hora inicio]])*1440</f>
        <v>0</v>
      </c>
    </row>
    <row r="2255" spans="6:6" ht="15">
      <c r="F2255" s="115">
        <f>+(disponibilidad[[#This Row],[Fecha y hora fin]]-disponibilidad[[#This Row],[Fecha y hora inicio]])*1440</f>
        <v>0</v>
      </c>
    </row>
    <row r="2256" spans="6:6" ht="15">
      <c r="F2256" s="115">
        <f>+(disponibilidad[[#This Row],[Fecha y hora fin]]-disponibilidad[[#This Row],[Fecha y hora inicio]])*1440</f>
        <v>0</v>
      </c>
    </row>
    <row r="2257" spans="6:6" ht="15">
      <c r="F2257" s="115">
        <f>+(disponibilidad[[#This Row],[Fecha y hora fin]]-disponibilidad[[#This Row],[Fecha y hora inicio]])*1440</f>
        <v>0</v>
      </c>
    </row>
    <row r="2258" spans="6:6" ht="15">
      <c r="F2258" s="115">
        <f>+(disponibilidad[[#This Row],[Fecha y hora fin]]-disponibilidad[[#This Row],[Fecha y hora inicio]])*1440</f>
        <v>0</v>
      </c>
    </row>
    <row r="2259" spans="6:6" ht="15">
      <c r="F2259" s="115">
        <f>+(disponibilidad[[#This Row],[Fecha y hora fin]]-disponibilidad[[#This Row],[Fecha y hora inicio]])*1440</f>
        <v>0</v>
      </c>
    </row>
    <row r="2260" spans="6:6" ht="15">
      <c r="F2260" s="115">
        <f>+(disponibilidad[[#This Row],[Fecha y hora fin]]-disponibilidad[[#This Row],[Fecha y hora inicio]])*1440</f>
        <v>0</v>
      </c>
    </row>
    <row r="2261" spans="6:6" ht="15">
      <c r="F2261" s="115">
        <f>+(disponibilidad[[#This Row],[Fecha y hora fin]]-disponibilidad[[#This Row],[Fecha y hora inicio]])*1440</f>
        <v>0</v>
      </c>
    </row>
    <row r="2262" spans="6:6" ht="15">
      <c r="F2262" s="115">
        <f>+(disponibilidad[[#This Row],[Fecha y hora fin]]-disponibilidad[[#This Row],[Fecha y hora inicio]])*1440</f>
        <v>0</v>
      </c>
    </row>
    <row r="2263" spans="6:6" ht="15">
      <c r="F2263" s="115">
        <f>+(disponibilidad[[#This Row],[Fecha y hora fin]]-disponibilidad[[#This Row],[Fecha y hora inicio]])*1440</f>
        <v>0</v>
      </c>
    </row>
    <row r="2264" spans="6:6" ht="15">
      <c r="F2264" s="115">
        <f>+(disponibilidad[[#This Row],[Fecha y hora fin]]-disponibilidad[[#This Row],[Fecha y hora inicio]])*1440</f>
        <v>0</v>
      </c>
    </row>
    <row r="2265" spans="6:6" ht="15">
      <c r="F2265" s="115">
        <f>+(disponibilidad[[#This Row],[Fecha y hora fin]]-disponibilidad[[#This Row],[Fecha y hora inicio]])*1440</f>
        <v>0</v>
      </c>
    </row>
    <row r="2266" spans="6:6" ht="15">
      <c r="F2266" s="115">
        <f>+(disponibilidad[[#This Row],[Fecha y hora fin]]-disponibilidad[[#This Row],[Fecha y hora inicio]])*1440</f>
        <v>0</v>
      </c>
    </row>
    <row r="2267" spans="6:6" ht="15">
      <c r="F2267" s="115">
        <f>+(disponibilidad[[#This Row],[Fecha y hora fin]]-disponibilidad[[#This Row],[Fecha y hora inicio]])*1440</f>
        <v>0</v>
      </c>
    </row>
    <row r="2268" spans="6:6" ht="15">
      <c r="F2268" s="115">
        <f>+(disponibilidad[[#This Row],[Fecha y hora fin]]-disponibilidad[[#This Row],[Fecha y hora inicio]])*1440</f>
        <v>0</v>
      </c>
    </row>
    <row r="2269" spans="6:6" ht="15">
      <c r="F2269" s="115">
        <f>+(disponibilidad[[#This Row],[Fecha y hora fin]]-disponibilidad[[#This Row],[Fecha y hora inicio]])*1440</f>
        <v>0</v>
      </c>
    </row>
    <row r="2270" spans="6:6" ht="15">
      <c r="F2270" s="115">
        <f>+(disponibilidad[[#This Row],[Fecha y hora fin]]-disponibilidad[[#This Row],[Fecha y hora inicio]])*1440</f>
        <v>0</v>
      </c>
    </row>
    <row r="2271" spans="6:6" ht="15">
      <c r="F2271" s="115">
        <f>+(disponibilidad[[#This Row],[Fecha y hora fin]]-disponibilidad[[#This Row],[Fecha y hora inicio]])*1440</f>
        <v>0</v>
      </c>
    </row>
    <row r="2272" spans="6:6" ht="15">
      <c r="F2272" s="115">
        <f>+(disponibilidad[[#This Row],[Fecha y hora fin]]-disponibilidad[[#This Row],[Fecha y hora inicio]])*1440</f>
        <v>0</v>
      </c>
    </row>
    <row r="2273" spans="6:6" ht="15">
      <c r="F2273" s="115">
        <f>+(disponibilidad[[#This Row],[Fecha y hora fin]]-disponibilidad[[#This Row],[Fecha y hora inicio]])*1440</f>
        <v>0</v>
      </c>
    </row>
    <row r="2274" spans="6:6" ht="15">
      <c r="F2274" s="115">
        <f>+(disponibilidad[[#This Row],[Fecha y hora fin]]-disponibilidad[[#This Row],[Fecha y hora inicio]])*1440</f>
        <v>0</v>
      </c>
    </row>
    <row r="2275" spans="6:6" ht="15">
      <c r="F2275" s="115">
        <f>+(disponibilidad[[#This Row],[Fecha y hora fin]]-disponibilidad[[#This Row],[Fecha y hora inicio]])*1440</f>
        <v>0</v>
      </c>
    </row>
    <row r="2276" spans="6:6" ht="15">
      <c r="F2276" s="115">
        <f>+(disponibilidad[[#This Row],[Fecha y hora fin]]-disponibilidad[[#This Row],[Fecha y hora inicio]])*1440</f>
        <v>0</v>
      </c>
    </row>
    <row r="2277" spans="6:6" ht="15">
      <c r="F2277" s="115">
        <f>+(disponibilidad[[#This Row],[Fecha y hora fin]]-disponibilidad[[#This Row],[Fecha y hora inicio]])*1440</f>
        <v>0</v>
      </c>
    </row>
    <row r="2278" spans="6:6" ht="15">
      <c r="F2278" s="115">
        <f>+(disponibilidad[[#This Row],[Fecha y hora fin]]-disponibilidad[[#This Row],[Fecha y hora inicio]])*1440</f>
        <v>0</v>
      </c>
    </row>
    <row r="2279" spans="6:6" ht="15">
      <c r="F2279" s="115">
        <f>+(disponibilidad[[#This Row],[Fecha y hora fin]]-disponibilidad[[#This Row],[Fecha y hora inicio]])*1440</f>
        <v>0</v>
      </c>
    </row>
    <row r="2280" spans="6:6" ht="15">
      <c r="F2280" s="115">
        <f>+(disponibilidad[[#This Row],[Fecha y hora fin]]-disponibilidad[[#This Row],[Fecha y hora inicio]])*1440</f>
        <v>0</v>
      </c>
    </row>
    <row r="2281" spans="6:6" ht="15">
      <c r="F2281" s="115">
        <f>+(disponibilidad[[#This Row],[Fecha y hora fin]]-disponibilidad[[#This Row],[Fecha y hora inicio]])*1440</f>
        <v>0</v>
      </c>
    </row>
    <row r="2282" spans="6:6" ht="15">
      <c r="F2282" s="115">
        <f>+(disponibilidad[[#This Row],[Fecha y hora fin]]-disponibilidad[[#This Row],[Fecha y hora inicio]])*1440</f>
        <v>0</v>
      </c>
    </row>
    <row r="2283" spans="6:6" ht="15">
      <c r="F2283" s="115">
        <f>+(disponibilidad[[#This Row],[Fecha y hora fin]]-disponibilidad[[#This Row],[Fecha y hora inicio]])*1440</f>
        <v>0</v>
      </c>
    </row>
    <row r="2284" spans="6:6" ht="15">
      <c r="F2284" s="115">
        <f>+(disponibilidad[[#This Row],[Fecha y hora fin]]-disponibilidad[[#This Row],[Fecha y hora inicio]])*1440</f>
        <v>0</v>
      </c>
    </row>
    <row r="2285" spans="6:6" ht="15">
      <c r="F2285" s="115">
        <f>+(disponibilidad[[#This Row],[Fecha y hora fin]]-disponibilidad[[#This Row],[Fecha y hora inicio]])*1440</f>
        <v>0</v>
      </c>
    </row>
    <row r="2286" spans="6:6" ht="15">
      <c r="F2286" s="115">
        <f>+(disponibilidad[[#This Row],[Fecha y hora fin]]-disponibilidad[[#This Row],[Fecha y hora inicio]])*1440</f>
        <v>0</v>
      </c>
    </row>
    <row r="2287" spans="6:6" ht="15">
      <c r="F2287" s="115">
        <f>+(disponibilidad[[#This Row],[Fecha y hora fin]]-disponibilidad[[#This Row],[Fecha y hora inicio]])*1440</f>
        <v>0</v>
      </c>
    </row>
    <row r="2288" spans="6:6" ht="15">
      <c r="F2288" s="115">
        <f>+(disponibilidad[[#This Row],[Fecha y hora fin]]-disponibilidad[[#This Row],[Fecha y hora inicio]])*1440</f>
        <v>0</v>
      </c>
    </row>
    <row r="2289" spans="6:6" ht="15">
      <c r="F2289" s="115">
        <f>+(disponibilidad[[#This Row],[Fecha y hora fin]]-disponibilidad[[#This Row],[Fecha y hora inicio]])*1440</f>
        <v>0</v>
      </c>
    </row>
    <row r="2290" spans="6:6" ht="15">
      <c r="F2290" s="115">
        <f>+(disponibilidad[[#This Row],[Fecha y hora fin]]-disponibilidad[[#This Row],[Fecha y hora inicio]])*1440</f>
        <v>0</v>
      </c>
    </row>
    <row r="2291" spans="6:6" ht="15">
      <c r="F2291" s="115">
        <f>+(disponibilidad[[#This Row],[Fecha y hora fin]]-disponibilidad[[#This Row],[Fecha y hora inicio]])*1440</f>
        <v>0</v>
      </c>
    </row>
    <row r="2292" spans="6:6" ht="15">
      <c r="F2292" s="115">
        <f>+(disponibilidad[[#This Row],[Fecha y hora fin]]-disponibilidad[[#This Row],[Fecha y hora inicio]])*1440</f>
        <v>0</v>
      </c>
    </row>
    <row r="2293" spans="6:6" ht="15">
      <c r="F2293" s="115">
        <f>+(disponibilidad[[#This Row],[Fecha y hora fin]]-disponibilidad[[#This Row],[Fecha y hora inicio]])*1440</f>
        <v>0</v>
      </c>
    </row>
    <row r="2294" spans="6:6" ht="15">
      <c r="F2294" s="115">
        <f>+(disponibilidad[[#This Row],[Fecha y hora fin]]-disponibilidad[[#This Row],[Fecha y hora inicio]])*1440</f>
        <v>0</v>
      </c>
    </row>
    <row r="2295" spans="6:6" ht="15">
      <c r="F2295" s="115">
        <f>+(disponibilidad[[#This Row],[Fecha y hora fin]]-disponibilidad[[#This Row],[Fecha y hora inicio]])*1440</f>
        <v>0</v>
      </c>
    </row>
    <row r="2296" spans="6:6" ht="15">
      <c r="F2296" s="115">
        <f>+(disponibilidad[[#This Row],[Fecha y hora fin]]-disponibilidad[[#This Row],[Fecha y hora inicio]])*1440</f>
        <v>0</v>
      </c>
    </row>
    <row r="2297" spans="6:6" ht="15">
      <c r="F2297" s="115">
        <f>+(disponibilidad[[#This Row],[Fecha y hora fin]]-disponibilidad[[#This Row],[Fecha y hora inicio]])*1440</f>
        <v>0</v>
      </c>
    </row>
    <row r="2298" spans="6:6" ht="15">
      <c r="F2298" s="115">
        <f>+(disponibilidad[[#This Row],[Fecha y hora fin]]-disponibilidad[[#This Row],[Fecha y hora inicio]])*1440</f>
        <v>0</v>
      </c>
    </row>
    <row r="2299" spans="6:6" ht="15">
      <c r="F2299" s="115">
        <f>+(disponibilidad[[#This Row],[Fecha y hora fin]]-disponibilidad[[#This Row],[Fecha y hora inicio]])*1440</f>
        <v>0</v>
      </c>
    </row>
    <row r="2300" spans="6:6" ht="15">
      <c r="F2300" s="115">
        <f>+(disponibilidad[[#This Row],[Fecha y hora fin]]-disponibilidad[[#This Row],[Fecha y hora inicio]])*1440</f>
        <v>0</v>
      </c>
    </row>
    <row r="2301" spans="6:6" ht="15">
      <c r="F2301" s="115">
        <f>+(disponibilidad[[#This Row],[Fecha y hora fin]]-disponibilidad[[#This Row],[Fecha y hora inicio]])*1440</f>
        <v>0</v>
      </c>
    </row>
    <row r="2302" spans="6:6" ht="15">
      <c r="F2302" s="115">
        <f>+(disponibilidad[[#This Row],[Fecha y hora fin]]-disponibilidad[[#This Row],[Fecha y hora inicio]])*1440</f>
        <v>0</v>
      </c>
    </row>
    <row r="2303" spans="6:6" ht="15">
      <c r="F2303" s="115">
        <f>+(disponibilidad[[#This Row],[Fecha y hora fin]]-disponibilidad[[#This Row],[Fecha y hora inicio]])*1440</f>
        <v>0</v>
      </c>
    </row>
    <row r="2304" spans="6:6" ht="15">
      <c r="F2304" s="115">
        <f>+(disponibilidad[[#This Row],[Fecha y hora fin]]-disponibilidad[[#This Row],[Fecha y hora inicio]])*1440</f>
        <v>0</v>
      </c>
    </row>
    <row r="2305" spans="6:6" ht="15">
      <c r="F2305" s="115">
        <f>+(disponibilidad[[#This Row],[Fecha y hora fin]]-disponibilidad[[#This Row],[Fecha y hora inicio]])*1440</f>
        <v>0</v>
      </c>
    </row>
    <row r="2306" spans="6:6" ht="15">
      <c r="F2306" s="115">
        <f>+(disponibilidad[[#This Row],[Fecha y hora fin]]-disponibilidad[[#This Row],[Fecha y hora inicio]])*1440</f>
        <v>0</v>
      </c>
    </row>
    <row r="2307" spans="6:6" ht="15">
      <c r="F2307" s="115">
        <f>+(disponibilidad[[#This Row],[Fecha y hora fin]]-disponibilidad[[#This Row],[Fecha y hora inicio]])*1440</f>
        <v>0</v>
      </c>
    </row>
    <row r="2308" spans="6:6" ht="15">
      <c r="F2308" s="115">
        <f>+(disponibilidad[[#This Row],[Fecha y hora fin]]-disponibilidad[[#This Row],[Fecha y hora inicio]])*1440</f>
        <v>0</v>
      </c>
    </row>
    <row r="2309" spans="6:6" ht="15">
      <c r="F2309" s="115">
        <f>+(disponibilidad[[#This Row],[Fecha y hora fin]]-disponibilidad[[#This Row],[Fecha y hora inicio]])*1440</f>
        <v>0</v>
      </c>
    </row>
    <row r="2310" spans="6:6" ht="15">
      <c r="F2310" s="115">
        <f>+(disponibilidad[[#This Row],[Fecha y hora fin]]-disponibilidad[[#This Row],[Fecha y hora inicio]])*1440</f>
        <v>0</v>
      </c>
    </row>
    <row r="2311" spans="6:6" ht="15">
      <c r="F2311" s="115">
        <f>+(disponibilidad[[#This Row],[Fecha y hora fin]]-disponibilidad[[#This Row],[Fecha y hora inicio]])*1440</f>
        <v>0</v>
      </c>
    </row>
    <row r="2312" spans="6:6" ht="15">
      <c r="F2312" s="115">
        <f>+(disponibilidad[[#This Row],[Fecha y hora fin]]-disponibilidad[[#This Row],[Fecha y hora inicio]])*1440</f>
        <v>0</v>
      </c>
    </row>
    <row r="2313" spans="6:6" ht="15">
      <c r="F2313" s="115">
        <f>+(disponibilidad[[#This Row],[Fecha y hora fin]]-disponibilidad[[#This Row],[Fecha y hora inicio]])*1440</f>
        <v>0</v>
      </c>
    </row>
    <row r="2314" spans="6:6" ht="15">
      <c r="F2314" s="115">
        <f>+(disponibilidad[[#This Row],[Fecha y hora fin]]-disponibilidad[[#This Row],[Fecha y hora inicio]])*1440</f>
        <v>0</v>
      </c>
    </row>
    <row r="2315" spans="6:6" ht="15">
      <c r="F2315" s="115">
        <f>+(disponibilidad[[#This Row],[Fecha y hora fin]]-disponibilidad[[#This Row],[Fecha y hora inicio]])*1440</f>
        <v>0</v>
      </c>
    </row>
    <row r="2316" spans="6:6" ht="15">
      <c r="F2316" s="115">
        <f>+(disponibilidad[[#This Row],[Fecha y hora fin]]-disponibilidad[[#This Row],[Fecha y hora inicio]])*1440</f>
        <v>0</v>
      </c>
    </row>
    <row r="2317" spans="6:6" ht="15">
      <c r="F2317" s="115">
        <f>+(disponibilidad[[#This Row],[Fecha y hora fin]]-disponibilidad[[#This Row],[Fecha y hora inicio]])*1440</f>
        <v>0</v>
      </c>
    </row>
    <row r="2318" spans="6:6" ht="15">
      <c r="F2318" s="115">
        <f>+(disponibilidad[[#This Row],[Fecha y hora fin]]-disponibilidad[[#This Row],[Fecha y hora inicio]])*1440</f>
        <v>0</v>
      </c>
    </row>
    <row r="2319" spans="6:6" ht="15">
      <c r="F2319" s="115">
        <f>+(disponibilidad[[#This Row],[Fecha y hora fin]]-disponibilidad[[#This Row],[Fecha y hora inicio]])*1440</f>
        <v>0</v>
      </c>
    </row>
    <row r="2320" spans="6:6" ht="15">
      <c r="F2320" s="115">
        <f>+(disponibilidad[[#This Row],[Fecha y hora fin]]-disponibilidad[[#This Row],[Fecha y hora inicio]])*1440</f>
        <v>0</v>
      </c>
    </row>
    <row r="2321" spans="6:6" ht="15">
      <c r="F2321" s="115">
        <f>+(disponibilidad[[#This Row],[Fecha y hora fin]]-disponibilidad[[#This Row],[Fecha y hora inicio]])*1440</f>
        <v>0</v>
      </c>
    </row>
    <row r="2322" spans="6:6" ht="15">
      <c r="F2322" s="115">
        <f>+(disponibilidad[[#This Row],[Fecha y hora fin]]-disponibilidad[[#This Row],[Fecha y hora inicio]])*1440</f>
        <v>0</v>
      </c>
    </row>
    <row r="2323" spans="6:6" ht="15">
      <c r="F2323" s="115">
        <f>+(disponibilidad[[#This Row],[Fecha y hora fin]]-disponibilidad[[#This Row],[Fecha y hora inicio]])*1440</f>
        <v>0</v>
      </c>
    </row>
    <row r="2324" spans="6:6" ht="15">
      <c r="F2324" s="115">
        <f>+(disponibilidad[[#This Row],[Fecha y hora fin]]-disponibilidad[[#This Row],[Fecha y hora inicio]])*1440</f>
        <v>0</v>
      </c>
    </row>
    <row r="2325" spans="6:6" ht="15">
      <c r="F2325" s="115">
        <f>+(disponibilidad[[#This Row],[Fecha y hora fin]]-disponibilidad[[#This Row],[Fecha y hora inicio]])*1440</f>
        <v>0</v>
      </c>
    </row>
    <row r="2326" spans="6:6" ht="15">
      <c r="F2326" s="115">
        <f>+(disponibilidad[[#This Row],[Fecha y hora fin]]-disponibilidad[[#This Row],[Fecha y hora inicio]])*1440</f>
        <v>0</v>
      </c>
    </row>
    <row r="2327" spans="6:6" ht="15">
      <c r="F2327" s="115">
        <f>+(disponibilidad[[#This Row],[Fecha y hora fin]]-disponibilidad[[#This Row],[Fecha y hora inicio]])*1440</f>
        <v>0</v>
      </c>
    </row>
    <row r="2328" spans="6:6" ht="15">
      <c r="F2328" s="115">
        <f>+(disponibilidad[[#This Row],[Fecha y hora fin]]-disponibilidad[[#This Row],[Fecha y hora inicio]])*1440</f>
        <v>0</v>
      </c>
    </row>
    <row r="2329" spans="6:6" ht="15">
      <c r="F2329" s="115">
        <f>+(disponibilidad[[#This Row],[Fecha y hora fin]]-disponibilidad[[#This Row],[Fecha y hora inicio]])*1440</f>
        <v>0</v>
      </c>
    </row>
    <row r="2330" spans="6:6" ht="15">
      <c r="F2330" s="115">
        <f>+(disponibilidad[[#This Row],[Fecha y hora fin]]-disponibilidad[[#This Row],[Fecha y hora inicio]])*1440</f>
        <v>0</v>
      </c>
    </row>
    <row r="2331" spans="6:6" ht="15">
      <c r="F2331" s="115">
        <f>+(disponibilidad[[#This Row],[Fecha y hora fin]]-disponibilidad[[#This Row],[Fecha y hora inicio]])*1440</f>
        <v>0</v>
      </c>
    </row>
    <row r="2332" spans="6:6" ht="15">
      <c r="F2332" s="115">
        <f>+(disponibilidad[[#This Row],[Fecha y hora fin]]-disponibilidad[[#This Row],[Fecha y hora inicio]])*1440</f>
        <v>0</v>
      </c>
    </row>
    <row r="2333" spans="6:6" ht="15">
      <c r="F2333" s="115">
        <f>+(disponibilidad[[#This Row],[Fecha y hora fin]]-disponibilidad[[#This Row],[Fecha y hora inicio]])*1440</f>
        <v>0</v>
      </c>
    </row>
    <row r="2334" spans="6:6" ht="15">
      <c r="F2334" s="115">
        <f>+(disponibilidad[[#This Row],[Fecha y hora fin]]-disponibilidad[[#This Row],[Fecha y hora inicio]])*1440</f>
        <v>0</v>
      </c>
    </row>
    <row r="2335" spans="6:6" ht="15">
      <c r="F2335" s="115">
        <f>+(disponibilidad[[#This Row],[Fecha y hora fin]]-disponibilidad[[#This Row],[Fecha y hora inicio]])*1440</f>
        <v>0</v>
      </c>
    </row>
    <row r="2336" spans="6:6" ht="15">
      <c r="F2336" s="115">
        <f>+(disponibilidad[[#This Row],[Fecha y hora fin]]-disponibilidad[[#This Row],[Fecha y hora inicio]])*1440</f>
        <v>0</v>
      </c>
    </row>
    <row r="2337" spans="6:6" ht="15">
      <c r="F2337" s="115">
        <f>+(disponibilidad[[#This Row],[Fecha y hora fin]]-disponibilidad[[#This Row],[Fecha y hora inicio]])*1440</f>
        <v>0</v>
      </c>
    </row>
    <row r="2338" spans="6:6" ht="15">
      <c r="F2338" s="115">
        <f>+(disponibilidad[[#This Row],[Fecha y hora fin]]-disponibilidad[[#This Row],[Fecha y hora inicio]])*1440</f>
        <v>0</v>
      </c>
    </row>
    <row r="2339" spans="6:6" ht="15">
      <c r="F2339" s="115">
        <f>+(disponibilidad[[#This Row],[Fecha y hora fin]]-disponibilidad[[#This Row],[Fecha y hora inicio]])*1440</f>
        <v>0</v>
      </c>
    </row>
    <row r="2340" spans="6:6" ht="15">
      <c r="F2340" s="115">
        <f>+(disponibilidad[[#This Row],[Fecha y hora fin]]-disponibilidad[[#This Row],[Fecha y hora inicio]])*1440</f>
        <v>0</v>
      </c>
    </row>
    <row r="2341" spans="6:6" ht="15">
      <c r="F2341" s="115">
        <f>+(disponibilidad[[#This Row],[Fecha y hora fin]]-disponibilidad[[#This Row],[Fecha y hora inicio]])*1440</f>
        <v>0</v>
      </c>
    </row>
    <row r="2342" spans="6:6" ht="15">
      <c r="F2342" s="115">
        <f>+(disponibilidad[[#This Row],[Fecha y hora fin]]-disponibilidad[[#This Row],[Fecha y hora inicio]])*1440</f>
        <v>0</v>
      </c>
    </row>
    <row r="2343" spans="6:6" ht="15">
      <c r="F2343" s="115">
        <f>+(disponibilidad[[#This Row],[Fecha y hora fin]]-disponibilidad[[#This Row],[Fecha y hora inicio]])*1440</f>
        <v>0</v>
      </c>
    </row>
    <row r="2344" spans="6:6" ht="15">
      <c r="F2344" s="115">
        <f>+(disponibilidad[[#This Row],[Fecha y hora fin]]-disponibilidad[[#This Row],[Fecha y hora inicio]])*1440</f>
        <v>0</v>
      </c>
    </row>
    <row r="2345" spans="6:6" ht="15">
      <c r="F2345" s="115">
        <f>+(disponibilidad[[#This Row],[Fecha y hora fin]]-disponibilidad[[#This Row],[Fecha y hora inicio]])*1440</f>
        <v>0</v>
      </c>
    </row>
    <row r="2346" spans="6:6" ht="15">
      <c r="F2346" s="115">
        <f>+(disponibilidad[[#This Row],[Fecha y hora fin]]-disponibilidad[[#This Row],[Fecha y hora inicio]])*1440</f>
        <v>0</v>
      </c>
    </row>
    <row r="2347" spans="6:6" ht="15">
      <c r="F2347" s="115">
        <f>+(disponibilidad[[#This Row],[Fecha y hora fin]]-disponibilidad[[#This Row],[Fecha y hora inicio]])*1440</f>
        <v>0</v>
      </c>
    </row>
    <row r="2348" spans="6:6" ht="15">
      <c r="F2348" s="115">
        <f>+(disponibilidad[[#This Row],[Fecha y hora fin]]-disponibilidad[[#This Row],[Fecha y hora inicio]])*1440</f>
        <v>0</v>
      </c>
    </row>
    <row r="2349" spans="6:6" ht="15">
      <c r="F2349" s="115">
        <f>+(disponibilidad[[#This Row],[Fecha y hora fin]]-disponibilidad[[#This Row],[Fecha y hora inicio]])*1440</f>
        <v>0</v>
      </c>
    </row>
    <row r="2350" spans="6:6" ht="15">
      <c r="F2350" s="115">
        <f>+(disponibilidad[[#This Row],[Fecha y hora fin]]-disponibilidad[[#This Row],[Fecha y hora inicio]])*1440</f>
        <v>0</v>
      </c>
    </row>
    <row r="2351" spans="6:6" ht="15">
      <c r="F2351" s="115">
        <f>+(disponibilidad[[#This Row],[Fecha y hora fin]]-disponibilidad[[#This Row],[Fecha y hora inicio]])*1440</f>
        <v>0</v>
      </c>
    </row>
    <row r="2352" spans="6:6" ht="15">
      <c r="F2352" s="115">
        <f>+(disponibilidad[[#This Row],[Fecha y hora fin]]-disponibilidad[[#This Row],[Fecha y hora inicio]])*1440</f>
        <v>0</v>
      </c>
    </row>
    <row r="2353" spans="6:6" ht="15">
      <c r="F2353" s="115">
        <f>+(disponibilidad[[#This Row],[Fecha y hora fin]]-disponibilidad[[#This Row],[Fecha y hora inicio]])*1440</f>
        <v>0</v>
      </c>
    </row>
    <row r="2354" spans="6:6" ht="15">
      <c r="F2354" s="115">
        <f>+(disponibilidad[[#This Row],[Fecha y hora fin]]-disponibilidad[[#This Row],[Fecha y hora inicio]])*1440</f>
        <v>0</v>
      </c>
    </row>
    <row r="2355" spans="6:6" ht="15">
      <c r="F2355" s="115">
        <f>+(disponibilidad[[#This Row],[Fecha y hora fin]]-disponibilidad[[#This Row],[Fecha y hora inicio]])*1440</f>
        <v>0</v>
      </c>
    </row>
    <row r="2356" spans="6:6" ht="15">
      <c r="F2356" s="115">
        <f>+(disponibilidad[[#This Row],[Fecha y hora fin]]-disponibilidad[[#This Row],[Fecha y hora inicio]])*1440</f>
        <v>0</v>
      </c>
    </row>
    <row r="2357" spans="6:6" ht="15">
      <c r="F2357" s="115">
        <f>+(disponibilidad[[#This Row],[Fecha y hora fin]]-disponibilidad[[#This Row],[Fecha y hora inicio]])*1440</f>
        <v>0</v>
      </c>
    </row>
    <row r="2358" spans="6:6" ht="15">
      <c r="F2358" s="115">
        <f>+(disponibilidad[[#This Row],[Fecha y hora fin]]-disponibilidad[[#This Row],[Fecha y hora inicio]])*1440</f>
        <v>0</v>
      </c>
    </row>
    <row r="2359" spans="6:6" ht="15">
      <c r="F2359" s="115">
        <f>+(disponibilidad[[#This Row],[Fecha y hora fin]]-disponibilidad[[#This Row],[Fecha y hora inicio]])*1440</f>
        <v>0</v>
      </c>
    </row>
    <row r="2360" spans="6:6" ht="15">
      <c r="F2360" s="115">
        <f>+(disponibilidad[[#This Row],[Fecha y hora fin]]-disponibilidad[[#This Row],[Fecha y hora inicio]])*1440</f>
        <v>0</v>
      </c>
    </row>
    <row r="2361" spans="6:6" ht="15">
      <c r="F2361" s="115">
        <f>+(disponibilidad[[#This Row],[Fecha y hora fin]]-disponibilidad[[#This Row],[Fecha y hora inicio]])*1440</f>
        <v>0</v>
      </c>
    </row>
    <row r="2362" spans="6:6" ht="15">
      <c r="F2362" s="115">
        <f>+(disponibilidad[[#This Row],[Fecha y hora fin]]-disponibilidad[[#This Row],[Fecha y hora inicio]])*1440</f>
        <v>0</v>
      </c>
    </row>
    <row r="2363" spans="6:6" ht="15">
      <c r="F2363" s="115">
        <f>+(disponibilidad[[#This Row],[Fecha y hora fin]]-disponibilidad[[#This Row],[Fecha y hora inicio]])*1440</f>
        <v>0</v>
      </c>
    </row>
    <row r="2364" spans="6:6" ht="15">
      <c r="F2364" s="115">
        <f>+(disponibilidad[[#This Row],[Fecha y hora fin]]-disponibilidad[[#This Row],[Fecha y hora inicio]])*1440</f>
        <v>0</v>
      </c>
    </row>
    <row r="2365" spans="6:6" ht="15">
      <c r="F2365" s="115">
        <f>+(disponibilidad[[#This Row],[Fecha y hora fin]]-disponibilidad[[#This Row],[Fecha y hora inicio]])*1440</f>
        <v>0</v>
      </c>
    </row>
    <row r="2366" spans="6:6" ht="15">
      <c r="F2366" s="115">
        <f>+(disponibilidad[[#This Row],[Fecha y hora fin]]-disponibilidad[[#This Row],[Fecha y hora inicio]])*1440</f>
        <v>0</v>
      </c>
    </row>
    <row r="2367" spans="6:6" ht="15">
      <c r="F2367" s="115">
        <f>+(disponibilidad[[#This Row],[Fecha y hora fin]]-disponibilidad[[#This Row],[Fecha y hora inicio]])*1440</f>
        <v>0</v>
      </c>
    </row>
    <row r="2368" spans="6:6" ht="15">
      <c r="F2368" s="115">
        <f>+(disponibilidad[[#This Row],[Fecha y hora fin]]-disponibilidad[[#This Row],[Fecha y hora inicio]])*1440</f>
        <v>0</v>
      </c>
    </row>
    <row r="2369" spans="6:6" ht="15">
      <c r="F2369" s="115">
        <f>+(disponibilidad[[#This Row],[Fecha y hora fin]]-disponibilidad[[#This Row],[Fecha y hora inicio]])*1440</f>
        <v>0</v>
      </c>
    </row>
    <row r="2370" spans="6:6" ht="15">
      <c r="F2370" s="115">
        <f>+(disponibilidad[[#This Row],[Fecha y hora fin]]-disponibilidad[[#This Row],[Fecha y hora inicio]])*1440</f>
        <v>0</v>
      </c>
    </row>
    <row r="2371" spans="6:6" ht="15">
      <c r="F2371" s="115">
        <f>+(disponibilidad[[#This Row],[Fecha y hora fin]]-disponibilidad[[#This Row],[Fecha y hora inicio]])*1440</f>
        <v>0</v>
      </c>
    </row>
    <row r="2372" spans="6:6" ht="15">
      <c r="F2372" s="115">
        <f>+(disponibilidad[[#This Row],[Fecha y hora fin]]-disponibilidad[[#This Row],[Fecha y hora inicio]])*1440</f>
        <v>0</v>
      </c>
    </row>
    <row r="2373" spans="6:6" ht="15">
      <c r="F2373" s="115">
        <f>+(disponibilidad[[#This Row],[Fecha y hora fin]]-disponibilidad[[#This Row],[Fecha y hora inicio]])*1440</f>
        <v>0</v>
      </c>
    </row>
    <row r="2374" spans="6:6" ht="15">
      <c r="F2374" s="115">
        <f>+(disponibilidad[[#This Row],[Fecha y hora fin]]-disponibilidad[[#This Row],[Fecha y hora inicio]])*1440</f>
        <v>0</v>
      </c>
    </row>
    <row r="2375" spans="6:6" ht="15">
      <c r="F2375" s="115">
        <f>+(disponibilidad[[#This Row],[Fecha y hora fin]]-disponibilidad[[#This Row],[Fecha y hora inicio]])*1440</f>
        <v>0</v>
      </c>
    </row>
    <row r="2376" spans="6:6" ht="15">
      <c r="F2376" s="115">
        <f>+(disponibilidad[[#This Row],[Fecha y hora fin]]-disponibilidad[[#This Row],[Fecha y hora inicio]])*1440</f>
        <v>0</v>
      </c>
    </row>
    <row r="2377" spans="6:6" ht="15">
      <c r="F2377" s="115">
        <f>+(disponibilidad[[#This Row],[Fecha y hora fin]]-disponibilidad[[#This Row],[Fecha y hora inicio]])*1440</f>
        <v>0</v>
      </c>
    </row>
    <row r="2378" spans="6:6" ht="15">
      <c r="F2378" s="115">
        <f>+(disponibilidad[[#This Row],[Fecha y hora fin]]-disponibilidad[[#This Row],[Fecha y hora inicio]])*1440</f>
        <v>0</v>
      </c>
    </row>
    <row r="2379" spans="6:6" ht="15">
      <c r="F2379" s="115">
        <f>+(disponibilidad[[#This Row],[Fecha y hora fin]]-disponibilidad[[#This Row],[Fecha y hora inicio]])*1440</f>
        <v>0</v>
      </c>
    </row>
    <row r="2380" spans="6:6" ht="15">
      <c r="F2380" s="115">
        <f>+(disponibilidad[[#This Row],[Fecha y hora fin]]-disponibilidad[[#This Row],[Fecha y hora inicio]])*1440</f>
        <v>0</v>
      </c>
    </row>
    <row r="2381" spans="6:6" ht="15">
      <c r="F2381" s="115">
        <f>+(disponibilidad[[#This Row],[Fecha y hora fin]]-disponibilidad[[#This Row],[Fecha y hora inicio]])*1440</f>
        <v>0</v>
      </c>
    </row>
    <row r="2382" spans="6:6" ht="15">
      <c r="F2382" s="115">
        <f>+(disponibilidad[[#This Row],[Fecha y hora fin]]-disponibilidad[[#This Row],[Fecha y hora inicio]])*1440</f>
        <v>0</v>
      </c>
    </row>
    <row r="2383" spans="6:6" ht="15">
      <c r="F2383" s="115">
        <f>+(disponibilidad[[#This Row],[Fecha y hora fin]]-disponibilidad[[#This Row],[Fecha y hora inicio]])*1440</f>
        <v>0</v>
      </c>
    </row>
    <row r="2384" spans="6:6" ht="15">
      <c r="F2384" s="115">
        <f>+(disponibilidad[[#This Row],[Fecha y hora fin]]-disponibilidad[[#This Row],[Fecha y hora inicio]])*1440</f>
        <v>0</v>
      </c>
    </row>
    <row r="2385" spans="6:6" ht="15">
      <c r="F2385" s="115">
        <f>+(disponibilidad[[#This Row],[Fecha y hora fin]]-disponibilidad[[#This Row],[Fecha y hora inicio]])*1440</f>
        <v>0</v>
      </c>
    </row>
    <row r="2386" spans="6:6" ht="15">
      <c r="F2386" s="115">
        <f>+(disponibilidad[[#This Row],[Fecha y hora fin]]-disponibilidad[[#This Row],[Fecha y hora inicio]])*1440</f>
        <v>0</v>
      </c>
    </row>
    <row r="2387" spans="6:6" ht="15">
      <c r="F2387" s="115">
        <f>+(disponibilidad[[#This Row],[Fecha y hora fin]]-disponibilidad[[#This Row],[Fecha y hora inicio]])*1440</f>
        <v>0</v>
      </c>
    </row>
    <row r="2388" spans="6:6" ht="15">
      <c r="F2388" s="115">
        <f>+(disponibilidad[[#This Row],[Fecha y hora fin]]-disponibilidad[[#This Row],[Fecha y hora inicio]])*1440</f>
        <v>0</v>
      </c>
    </row>
    <row r="2389" spans="6:6" ht="15">
      <c r="F2389" s="115">
        <f>+(disponibilidad[[#This Row],[Fecha y hora fin]]-disponibilidad[[#This Row],[Fecha y hora inicio]])*1440</f>
        <v>0</v>
      </c>
    </row>
    <row r="2390" spans="6:6" ht="15">
      <c r="F2390" s="115">
        <f>+(disponibilidad[[#This Row],[Fecha y hora fin]]-disponibilidad[[#This Row],[Fecha y hora inicio]])*1440</f>
        <v>0</v>
      </c>
    </row>
    <row r="2391" spans="6:6" ht="15">
      <c r="F2391" s="115">
        <f>+(disponibilidad[[#This Row],[Fecha y hora fin]]-disponibilidad[[#This Row],[Fecha y hora inicio]])*1440</f>
        <v>0</v>
      </c>
    </row>
    <row r="2392" spans="6:6" ht="15">
      <c r="F2392" s="115">
        <f>+(disponibilidad[[#This Row],[Fecha y hora fin]]-disponibilidad[[#This Row],[Fecha y hora inicio]])*1440</f>
        <v>0</v>
      </c>
    </row>
    <row r="2393" spans="6:6" ht="15">
      <c r="F2393" s="115">
        <f>+(disponibilidad[[#This Row],[Fecha y hora fin]]-disponibilidad[[#This Row],[Fecha y hora inicio]])*1440</f>
        <v>0</v>
      </c>
    </row>
    <row r="2394" spans="6:6" ht="15">
      <c r="F2394" s="115">
        <f>+(disponibilidad[[#This Row],[Fecha y hora fin]]-disponibilidad[[#This Row],[Fecha y hora inicio]])*1440</f>
        <v>0</v>
      </c>
    </row>
    <row r="2395" spans="6:6" ht="15">
      <c r="F2395" s="115">
        <f>+(disponibilidad[[#This Row],[Fecha y hora fin]]-disponibilidad[[#This Row],[Fecha y hora inicio]])*1440</f>
        <v>0</v>
      </c>
    </row>
    <row r="2396" spans="6:6" ht="15">
      <c r="F2396" s="115">
        <f>+(disponibilidad[[#This Row],[Fecha y hora fin]]-disponibilidad[[#This Row],[Fecha y hora inicio]])*1440</f>
        <v>0</v>
      </c>
    </row>
    <row r="2397" spans="6:6" ht="15">
      <c r="F2397" s="115">
        <f>+(disponibilidad[[#This Row],[Fecha y hora fin]]-disponibilidad[[#This Row],[Fecha y hora inicio]])*1440</f>
        <v>0</v>
      </c>
    </row>
    <row r="2398" spans="6:6" ht="15">
      <c r="F2398" s="115">
        <f>+(disponibilidad[[#This Row],[Fecha y hora fin]]-disponibilidad[[#This Row],[Fecha y hora inicio]])*1440</f>
        <v>0</v>
      </c>
    </row>
    <row r="2399" spans="6:6" ht="15">
      <c r="F2399" s="115">
        <f>+(disponibilidad[[#This Row],[Fecha y hora fin]]-disponibilidad[[#This Row],[Fecha y hora inicio]])*1440</f>
        <v>0</v>
      </c>
    </row>
    <row r="2400" spans="6:6" ht="15">
      <c r="F2400" s="115">
        <f>+(disponibilidad[[#This Row],[Fecha y hora fin]]-disponibilidad[[#This Row],[Fecha y hora inicio]])*1440</f>
        <v>0</v>
      </c>
    </row>
    <row r="2401" spans="6:6" ht="15">
      <c r="F2401" s="115">
        <f>+(disponibilidad[[#This Row],[Fecha y hora fin]]-disponibilidad[[#This Row],[Fecha y hora inicio]])*1440</f>
        <v>0</v>
      </c>
    </row>
    <row r="2402" spans="6:6" ht="15">
      <c r="F2402" s="115">
        <f>+(disponibilidad[[#This Row],[Fecha y hora fin]]-disponibilidad[[#This Row],[Fecha y hora inicio]])*1440</f>
        <v>0</v>
      </c>
    </row>
    <row r="2403" spans="6:6" ht="15">
      <c r="F2403" s="115">
        <f>+(disponibilidad[[#This Row],[Fecha y hora fin]]-disponibilidad[[#This Row],[Fecha y hora inicio]])*1440</f>
        <v>0</v>
      </c>
    </row>
    <row r="2404" spans="6:6" ht="15">
      <c r="F2404" s="115">
        <f>+(disponibilidad[[#This Row],[Fecha y hora fin]]-disponibilidad[[#This Row],[Fecha y hora inicio]])*1440</f>
        <v>0</v>
      </c>
    </row>
    <row r="2405" spans="6:6" ht="15">
      <c r="F2405" s="115">
        <f>+(disponibilidad[[#This Row],[Fecha y hora fin]]-disponibilidad[[#This Row],[Fecha y hora inicio]])*1440</f>
        <v>0</v>
      </c>
    </row>
    <row r="2406" spans="6:6" ht="15">
      <c r="F2406" s="115">
        <f>+(disponibilidad[[#This Row],[Fecha y hora fin]]-disponibilidad[[#This Row],[Fecha y hora inicio]])*1440</f>
        <v>0</v>
      </c>
    </row>
    <row r="2407" spans="6:6" ht="15">
      <c r="F2407" s="115">
        <f>+(disponibilidad[[#This Row],[Fecha y hora fin]]-disponibilidad[[#This Row],[Fecha y hora inicio]])*1440</f>
        <v>0</v>
      </c>
    </row>
    <row r="2408" spans="6:6" ht="15">
      <c r="F2408" s="115">
        <f>+(disponibilidad[[#This Row],[Fecha y hora fin]]-disponibilidad[[#This Row],[Fecha y hora inicio]])*1440</f>
        <v>0</v>
      </c>
    </row>
    <row r="2409" spans="6:6" ht="15">
      <c r="F2409" s="115">
        <f>+(disponibilidad[[#This Row],[Fecha y hora fin]]-disponibilidad[[#This Row],[Fecha y hora inicio]])*1440</f>
        <v>0</v>
      </c>
    </row>
    <row r="2410" spans="6:6" ht="15">
      <c r="F2410" s="115">
        <f>+(disponibilidad[[#This Row],[Fecha y hora fin]]-disponibilidad[[#This Row],[Fecha y hora inicio]])*1440</f>
        <v>0</v>
      </c>
    </row>
    <row r="2411" spans="6:6" ht="15">
      <c r="F2411" s="115">
        <f>+(disponibilidad[[#This Row],[Fecha y hora fin]]-disponibilidad[[#This Row],[Fecha y hora inicio]])*1440</f>
        <v>0</v>
      </c>
    </row>
    <row r="2412" spans="6:6" ht="15">
      <c r="F2412" s="115">
        <f>+(disponibilidad[[#This Row],[Fecha y hora fin]]-disponibilidad[[#This Row],[Fecha y hora inicio]])*1440</f>
        <v>0</v>
      </c>
    </row>
    <row r="2413" spans="6:6" ht="15">
      <c r="F2413" s="115">
        <f>+(disponibilidad[[#This Row],[Fecha y hora fin]]-disponibilidad[[#This Row],[Fecha y hora inicio]])*1440</f>
        <v>0</v>
      </c>
    </row>
    <row r="2414" spans="6:6" ht="15">
      <c r="F2414" s="115">
        <f>+(disponibilidad[[#This Row],[Fecha y hora fin]]-disponibilidad[[#This Row],[Fecha y hora inicio]])*1440</f>
        <v>0</v>
      </c>
    </row>
    <row r="2415" spans="6:6" ht="15">
      <c r="F2415" s="115">
        <f>+(disponibilidad[[#This Row],[Fecha y hora fin]]-disponibilidad[[#This Row],[Fecha y hora inicio]])*1440</f>
        <v>0</v>
      </c>
    </row>
    <row r="2416" spans="6:6" ht="15">
      <c r="F2416" s="115">
        <f>+(disponibilidad[[#This Row],[Fecha y hora fin]]-disponibilidad[[#This Row],[Fecha y hora inicio]])*1440</f>
        <v>0</v>
      </c>
    </row>
    <row r="2417" spans="6:6" ht="15">
      <c r="F2417" s="115">
        <f>+(disponibilidad[[#This Row],[Fecha y hora fin]]-disponibilidad[[#This Row],[Fecha y hora inicio]])*1440</f>
        <v>0</v>
      </c>
    </row>
    <row r="2418" spans="6:6" ht="15">
      <c r="F2418" s="115">
        <f>+(disponibilidad[[#This Row],[Fecha y hora fin]]-disponibilidad[[#This Row],[Fecha y hora inicio]])*1440</f>
        <v>0</v>
      </c>
    </row>
    <row r="2419" spans="6:6" ht="15">
      <c r="F2419" s="115">
        <f>+(disponibilidad[[#This Row],[Fecha y hora fin]]-disponibilidad[[#This Row],[Fecha y hora inicio]])*1440</f>
        <v>0</v>
      </c>
    </row>
    <row r="2420" spans="6:6" ht="15">
      <c r="F2420" s="115">
        <f>+(disponibilidad[[#This Row],[Fecha y hora fin]]-disponibilidad[[#This Row],[Fecha y hora inicio]])*1440</f>
        <v>0</v>
      </c>
    </row>
    <row r="2421" spans="6:6" ht="15">
      <c r="F2421" s="115">
        <f>+(disponibilidad[[#This Row],[Fecha y hora fin]]-disponibilidad[[#This Row],[Fecha y hora inicio]])*1440</f>
        <v>0</v>
      </c>
    </row>
    <row r="2422" spans="6:6" ht="15">
      <c r="F2422" s="115">
        <f>+(disponibilidad[[#This Row],[Fecha y hora fin]]-disponibilidad[[#This Row],[Fecha y hora inicio]])*1440</f>
        <v>0</v>
      </c>
    </row>
    <row r="2423" spans="6:6" ht="15">
      <c r="F2423" s="115">
        <f>+(disponibilidad[[#This Row],[Fecha y hora fin]]-disponibilidad[[#This Row],[Fecha y hora inicio]])*1440</f>
        <v>0</v>
      </c>
    </row>
    <row r="2424" spans="6:6" ht="15">
      <c r="F2424" s="115">
        <f>+(disponibilidad[[#This Row],[Fecha y hora fin]]-disponibilidad[[#This Row],[Fecha y hora inicio]])*1440</f>
        <v>0</v>
      </c>
    </row>
    <row r="2425" spans="6:6" ht="15">
      <c r="F2425" s="115">
        <f>+(disponibilidad[[#This Row],[Fecha y hora fin]]-disponibilidad[[#This Row],[Fecha y hora inicio]])*1440</f>
        <v>0</v>
      </c>
    </row>
    <row r="2426" spans="6:6" ht="15">
      <c r="F2426" s="115">
        <f>+(disponibilidad[[#This Row],[Fecha y hora fin]]-disponibilidad[[#This Row],[Fecha y hora inicio]])*1440</f>
        <v>0</v>
      </c>
    </row>
    <row r="2427" spans="6:6" ht="15">
      <c r="F2427" s="115">
        <f>+(disponibilidad[[#This Row],[Fecha y hora fin]]-disponibilidad[[#This Row],[Fecha y hora inicio]])*1440</f>
        <v>0</v>
      </c>
    </row>
    <row r="2428" spans="6:6" ht="15">
      <c r="F2428" s="115">
        <f>+(disponibilidad[[#This Row],[Fecha y hora fin]]-disponibilidad[[#This Row],[Fecha y hora inicio]])*1440</f>
        <v>0</v>
      </c>
    </row>
    <row r="2429" spans="6:6" ht="15">
      <c r="F2429" s="115">
        <f>+(disponibilidad[[#This Row],[Fecha y hora fin]]-disponibilidad[[#This Row],[Fecha y hora inicio]])*1440</f>
        <v>0</v>
      </c>
    </row>
    <row r="2430" spans="6:6" ht="15">
      <c r="F2430" s="115">
        <f>+(disponibilidad[[#This Row],[Fecha y hora fin]]-disponibilidad[[#This Row],[Fecha y hora inicio]])*1440</f>
        <v>0</v>
      </c>
    </row>
    <row r="2431" spans="6:6" ht="15">
      <c r="F2431" s="115">
        <f>+(disponibilidad[[#This Row],[Fecha y hora fin]]-disponibilidad[[#This Row],[Fecha y hora inicio]])*1440</f>
        <v>0</v>
      </c>
    </row>
    <row r="2432" spans="6:6" ht="15">
      <c r="F2432" s="115">
        <f>+(disponibilidad[[#This Row],[Fecha y hora fin]]-disponibilidad[[#This Row],[Fecha y hora inicio]])*1440</f>
        <v>0</v>
      </c>
    </row>
    <row r="2433" spans="6:6" ht="15">
      <c r="F2433" s="115">
        <f>+(disponibilidad[[#This Row],[Fecha y hora fin]]-disponibilidad[[#This Row],[Fecha y hora inicio]])*1440</f>
        <v>0</v>
      </c>
    </row>
    <row r="2434" spans="6:6" ht="15">
      <c r="F2434" s="115">
        <f>+(disponibilidad[[#This Row],[Fecha y hora fin]]-disponibilidad[[#This Row],[Fecha y hora inicio]])*1440</f>
        <v>0</v>
      </c>
    </row>
    <row r="2435" spans="6:6" ht="15">
      <c r="F2435" s="115">
        <f>+(disponibilidad[[#This Row],[Fecha y hora fin]]-disponibilidad[[#This Row],[Fecha y hora inicio]])*1440</f>
        <v>0</v>
      </c>
    </row>
    <row r="2436" spans="6:6" ht="15">
      <c r="F2436" s="115">
        <f>+(disponibilidad[[#This Row],[Fecha y hora fin]]-disponibilidad[[#This Row],[Fecha y hora inicio]])*1440</f>
        <v>0</v>
      </c>
    </row>
    <row r="2437" spans="6:6" ht="15">
      <c r="F2437" s="115">
        <f>+(disponibilidad[[#This Row],[Fecha y hora fin]]-disponibilidad[[#This Row],[Fecha y hora inicio]])*1440</f>
        <v>0</v>
      </c>
    </row>
    <row r="2438" spans="6:6" ht="15">
      <c r="F2438" s="115">
        <f>+(disponibilidad[[#This Row],[Fecha y hora fin]]-disponibilidad[[#This Row],[Fecha y hora inicio]])*1440</f>
        <v>0</v>
      </c>
    </row>
    <row r="2439" spans="6:6" ht="15">
      <c r="F2439" s="115">
        <f>+(disponibilidad[[#This Row],[Fecha y hora fin]]-disponibilidad[[#This Row],[Fecha y hora inicio]])*1440</f>
        <v>0</v>
      </c>
    </row>
    <row r="2440" spans="6:6" ht="15">
      <c r="F2440" s="115">
        <f>+(disponibilidad[[#This Row],[Fecha y hora fin]]-disponibilidad[[#This Row],[Fecha y hora inicio]])*1440</f>
        <v>0</v>
      </c>
    </row>
    <row r="2441" spans="6:6" ht="15">
      <c r="F2441" s="115">
        <f>+(disponibilidad[[#This Row],[Fecha y hora fin]]-disponibilidad[[#This Row],[Fecha y hora inicio]])*1440</f>
        <v>0</v>
      </c>
    </row>
    <row r="2442" spans="6:6" ht="15">
      <c r="F2442" s="115">
        <f>+(disponibilidad[[#This Row],[Fecha y hora fin]]-disponibilidad[[#This Row],[Fecha y hora inicio]])*1440</f>
        <v>0</v>
      </c>
    </row>
    <row r="2443" spans="6:6" ht="15">
      <c r="F2443" s="115">
        <f>+(disponibilidad[[#This Row],[Fecha y hora fin]]-disponibilidad[[#This Row],[Fecha y hora inicio]])*1440</f>
        <v>0</v>
      </c>
    </row>
    <row r="2444" spans="6:6" ht="15">
      <c r="F2444" s="115">
        <f>+(disponibilidad[[#This Row],[Fecha y hora fin]]-disponibilidad[[#This Row],[Fecha y hora inicio]])*1440</f>
        <v>0</v>
      </c>
    </row>
    <row r="2445" spans="6:6" ht="15">
      <c r="F2445" s="115">
        <f>+(disponibilidad[[#This Row],[Fecha y hora fin]]-disponibilidad[[#This Row],[Fecha y hora inicio]])*1440</f>
        <v>0</v>
      </c>
    </row>
    <row r="2446" spans="6:6" ht="15">
      <c r="F2446" s="115">
        <f>+(disponibilidad[[#This Row],[Fecha y hora fin]]-disponibilidad[[#This Row],[Fecha y hora inicio]])*1440</f>
        <v>0</v>
      </c>
    </row>
    <row r="2447" spans="6:6" ht="15">
      <c r="F2447" s="115">
        <f>+(disponibilidad[[#This Row],[Fecha y hora fin]]-disponibilidad[[#This Row],[Fecha y hora inicio]])*1440</f>
        <v>0</v>
      </c>
    </row>
    <row r="2448" spans="6:6" ht="15">
      <c r="F2448" s="115">
        <f>+(disponibilidad[[#This Row],[Fecha y hora fin]]-disponibilidad[[#This Row],[Fecha y hora inicio]])*1440</f>
        <v>0</v>
      </c>
    </row>
    <row r="2449" spans="6:6" ht="15">
      <c r="F2449" s="115">
        <f>+(disponibilidad[[#This Row],[Fecha y hora fin]]-disponibilidad[[#This Row],[Fecha y hora inicio]])*1440</f>
        <v>0</v>
      </c>
    </row>
    <row r="2450" spans="6:6" ht="15">
      <c r="F2450" s="115">
        <f>+(disponibilidad[[#This Row],[Fecha y hora fin]]-disponibilidad[[#This Row],[Fecha y hora inicio]])*1440</f>
        <v>0</v>
      </c>
    </row>
    <row r="2451" spans="6:6" ht="15">
      <c r="F2451" s="115">
        <f>+(disponibilidad[[#This Row],[Fecha y hora fin]]-disponibilidad[[#This Row],[Fecha y hora inicio]])*1440</f>
        <v>0</v>
      </c>
    </row>
    <row r="2452" spans="6:6" ht="15">
      <c r="F2452" s="115">
        <f>+(disponibilidad[[#This Row],[Fecha y hora fin]]-disponibilidad[[#This Row],[Fecha y hora inicio]])*1440</f>
        <v>0</v>
      </c>
    </row>
    <row r="2453" spans="6:6" ht="15">
      <c r="F2453" s="115">
        <f>+(disponibilidad[[#This Row],[Fecha y hora fin]]-disponibilidad[[#This Row],[Fecha y hora inicio]])*1440</f>
        <v>0</v>
      </c>
    </row>
    <row r="2454" spans="6:6" ht="15">
      <c r="F2454" s="115">
        <f>+(disponibilidad[[#This Row],[Fecha y hora fin]]-disponibilidad[[#This Row],[Fecha y hora inicio]])*1440</f>
        <v>0</v>
      </c>
    </row>
    <row r="2455" spans="6:6" ht="15">
      <c r="F2455" s="115">
        <f>+(disponibilidad[[#This Row],[Fecha y hora fin]]-disponibilidad[[#This Row],[Fecha y hora inicio]])*1440</f>
        <v>0</v>
      </c>
    </row>
    <row r="2456" spans="6:6" ht="15">
      <c r="F2456" s="115">
        <f>+(disponibilidad[[#This Row],[Fecha y hora fin]]-disponibilidad[[#This Row],[Fecha y hora inicio]])*1440</f>
        <v>0</v>
      </c>
    </row>
    <row r="2457" spans="6:6" ht="15">
      <c r="F2457" s="115">
        <f>+(disponibilidad[[#This Row],[Fecha y hora fin]]-disponibilidad[[#This Row],[Fecha y hora inicio]])*1440</f>
        <v>0</v>
      </c>
    </row>
    <row r="2458" spans="6:6" ht="15">
      <c r="F2458" s="115">
        <f>+(disponibilidad[[#This Row],[Fecha y hora fin]]-disponibilidad[[#This Row],[Fecha y hora inicio]])*1440</f>
        <v>0</v>
      </c>
    </row>
    <row r="2459" spans="6:6" ht="15">
      <c r="F2459" s="115">
        <f>+(disponibilidad[[#This Row],[Fecha y hora fin]]-disponibilidad[[#This Row],[Fecha y hora inicio]])*1440</f>
        <v>0</v>
      </c>
    </row>
    <row r="2460" spans="6:6" ht="15">
      <c r="F2460" s="115">
        <f>+(disponibilidad[[#This Row],[Fecha y hora fin]]-disponibilidad[[#This Row],[Fecha y hora inicio]])*1440</f>
        <v>0</v>
      </c>
    </row>
    <row r="2461" spans="6:6" ht="15">
      <c r="F2461" s="115">
        <f>+(disponibilidad[[#This Row],[Fecha y hora fin]]-disponibilidad[[#This Row],[Fecha y hora inicio]])*1440</f>
        <v>0</v>
      </c>
    </row>
    <row r="2462" spans="6:6" ht="15">
      <c r="F2462" s="115">
        <f>+(disponibilidad[[#This Row],[Fecha y hora fin]]-disponibilidad[[#This Row],[Fecha y hora inicio]])*1440</f>
        <v>0</v>
      </c>
    </row>
    <row r="2463" spans="6:6" ht="15">
      <c r="F2463" s="115">
        <f>+(disponibilidad[[#This Row],[Fecha y hora fin]]-disponibilidad[[#This Row],[Fecha y hora inicio]])*1440</f>
        <v>0</v>
      </c>
    </row>
    <row r="2464" spans="6:6" ht="15">
      <c r="F2464" s="115">
        <f>+(disponibilidad[[#This Row],[Fecha y hora fin]]-disponibilidad[[#This Row],[Fecha y hora inicio]])*1440</f>
        <v>0</v>
      </c>
    </row>
    <row r="2465" spans="6:6" ht="15">
      <c r="F2465" s="115">
        <f>+(disponibilidad[[#This Row],[Fecha y hora fin]]-disponibilidad[[#This Row],[Fecha y hora inicio]])*1440</f>
        <v>0</v>
      </c>
    </row>
    <row r="2466" spans="6:6" ht="15">
      <c r="F2466" s="115">
        <f>+(disponibilidad[[#This Row],[Fecha y hora fin]]-disponibilidad[[#This Row],[Fecha y hora inicio]])*1440</f>
        <v>0</v>
      </c>
    </row>
    <row r="2467" spans="6:6" ht="15">
      <c r="F2467" s="115">
        <f>+(disponibilidad[[#This Row],[Fecha y hora fin]]-disponibilidad[[#This Row],[Fecha y hora inicio]])*1440</f>
        <v>0</v>
      </c>
    </row>
    <row r="2468" spans="6:6" ht="15">
      <c r="F2468" s="115">
        <f>+(disponibilidad[[#This Row],[Fecha y hora fin]]-disponibilidad[[#This Row],[Fecha y hora inicio]])*1440</f>
        <v>0</v>
      </c>
    </row>
    <row r="2469" spans="6:6" ht="15">
      <c r="F2469" s="115">
        <f>+(disponibilidad[[#This Row],[Fecha y hora fin]]-disponibilidad[[#This Row],[Fecha y hora inicio]])*1440</f>
        <v>0</v>
      </c>
    </row>
    <row r="2470" spans="6:6" ht="15">
      <c r="F2470" s="115">
        <f>+(disponibilidad[[#This Row],[Fecha y hora fin]]-disponibilidad[[#This Row],[Fecha y hora inicio]])*1440</f>
        <v>0</v>
      </c>
    </row>
    <row r="2471" spans="6:6" ht="15">
      <c r="F2471" s="115">
        <f>+(disponibilidad[[#This Row],[Fecha y hora fin]]-disponibilidad[[#This Row],[Fecha y hora inicio]])*1440</f>
        <v>0</v>
      </c>
    </row>
    <row r="2472" spans="6:6" ht="15">
      <c r="F2472" s="115">
        <f>+(disponibilidad[[#This Row],[Fecha y hora fin]]-disponibilidad[[#This Row],[Fecha y hora inicio]])*1440</f>
        <v>0</v>
      </c>
    </row>
    <row r="2473" spans="6:6" ht="15">
      <c r="F2473" s="115">
        <f>+(disponibilidad[[#This Row],[Fecha y hora fin]]-disponibilidad[[#This Row],[Fecha y hora inicio]])*1440</f>
        <v>0</v>
      </c>
    </row>
    <row r="2474" spans="6:6" ht="15">
      <c r="F2474" s="115">
        <f>+(disponibilidad[[#This Row],[Fecha y hora fin]]-disponibilidad[[#This Row],[Fecha y hora inicio]])*1440</f>
        <v>0</v>
      </c>
    </row>
    <row r="2475" spans="6:6" ht="15">
      <c r="F2475" s="115">
        <f>+(disponibilidad[[#This Row],[Fecha y hora fin]]-disponibilidad[[#This Row],[Fecha y hora inicio]])*1440</f>
        <v>0</v>
      </c>
    </row>
    <row r="2476" spans="6:6" ht="15">
      <c r="F2476" s="115">
        <f>+(disponibilidad[[#This Row],[Fecha y hora fin]]-disponibilidad[[#This Row],[Fecha y hora inicio]])*1440</f>
        <v>0</v>
      </c>
    </row>
    <row r="2477" spans="6:6" ht="15">
      <c r="F2477" s="115">
        <f>+(disponibilidad[[#This Row],[Fecha y hora fin]]-disponibilidad[[#This Row],[Fecha y hora inicio]])*1440</f>
        <v>0</v>
      </c>
    </row>
    <row r="2478" spans="6:6" ht="15">
      <c r="F2478" s="115">
        <f>+(disponibilidad[[#This Row],[Fecha y hora fin]]-disponibilidad[[#This Row],[Fecha y hora inicio]])*1440</f>
        <v>0</v>
      </c>
    </row>
    <row r="2479" spans="6:6" ht="15">
      <c r="F2479" s="115">
        <f>+(disponibilidad[[#This Row],[Fecha y hora fin]]-disponibilidad[[#This Row],[Fecha y hora inicio]])*1440</f>
        <v>0</v>
      </c>
    </row>
    <row r="2480" spans="6:6" ht="15">
      <c r="F2480" s="115">
        <f>+(disponibilidad[[#This Row],[Fecha y hora fin]]-disponibilidad[[#This Row],[Fecha y hora inicio]])*1440</f>
        <v>0</v>
      </c>
    </row>
    <row r="2481" spans="6:6" ht="15">
      <c r="F2481" s="115">
        <f>+(disponibilidad[[#This Row],[Fecha y hora fin]]-disponibilidad[[#This Row],[Fecha y hora inicio]])*1440</f>
        <v>0</v>
      </c>
    </row>
    <row r="2482" spans="6:6" ht="15">
      <c r="F2482" s="115">
        <f>+(disponibilidad[[#This Row],[Fecha y hora fin]]-disponibilidad[[#This Row],[Fecha y hora inicio]])*1440</f>
        <v>0</v>
      </c>
    </row>
    <row r="2483" spans="6:6" ht="15">
      <c r="F2483" s="115">
        <f>+(disponibilidad[[#This Row],[Fecha y hora fin]]-disponibilidad[[#This Row],[Fecha y hora inicio]])*1440</f>
        <v>0</v>
      </c>
    </row>
    <row r="2484" spans="6:6" ht="15">
      <c r="F2484" s="115">
        <f>+(disponibilidad[[#This Row],[Fecha y hora fin]]-disponibilidad[[#This Row],[Fecha y hora inicio]])*1440</f>
        <v>0</v>
      </c>
    </row>
    <row r="2485" spans="6:6" ht="15">
      <c r="F2485" s="115">
        <f>+(disponibilidad[[#This Row],[Fecha y hora fin]]-disponibilidad[[#This Row],[Fecha y hora inicio]])*1440</f>
        <v>0</v>
      </c>
    </row>
    <row r="2486" spans="6:6" ht="15">
      <c r="F2486" s="115">
        <f>+(disponibilidad[[#This Row],[Fecha y hora fin]]-disponibilidad[[#This Row],[Fecha y hora inicio]])*1440</f>
        <v>0</v>
      </c>
    </row>
    <row r="2487" spans="6:6" ht="15">
      <c r="F2487" s="115">
        <f>+(disponibilidad[[#This Row],[Fecha y hora fin]]-disponibilidad[[#This Row],[Fecha y hora inicio]])*1440</f>
        <v>0</v>
      </c>
    </row>
    <row r="2488" spans="6:6" ht="15">
      <c r="F2488" s="115">
        <f>+(disponibilidad[[#This Row],[Fecha y hora fin]]-disponibilidad[[#This Row],[Fecha y hora inicio]])*1440</f>
        <v>0</v>
      </c>
    </row>
    <row r="2489" spans="6:6" ht="15">
      <c r="F2489" s="115">
        <f>+(disponibilidad[[#This Row],[Fecha y hora fin]]-disponibilidad[[#This Row],[Fecha y hora inicio]])*1440</f>
        <v>0</v>
      </c>
    </row>
    <row r="2490" spans="6:6" ht="15">
      <c r="F2490" s="115">
        <f>+(disponibilidad[[#This Row],[Fecha y hora fin]]-disponibilidad[[#This Row],[Fecha y hora inicio]])*1440</f>
        <v>0</v>
      </c>
    </row>
    <row r="2491" spans="6:6" ht="15">
      <c r="F2491" s="115">
        <f>+(disponibilidad[[#This Row],[Fecha y hora fin]]-disponibilidad[[#This Row],[Fecha y hora inicio]])*1440</f>
        <v>0</v>
      </c>
    </row>
    <row r="2492" spans="6:6" ht="15">
      <c r="F2492" s="115">
        <f>+(disponibilidad[[#This Row],[Fecha y hora fin]]-disponibilidad[[#This Row],[Fecha y hora inicio]])*1440</f>
        <v>0</v>
      </c>
    </row>
    <row r="2493" spans="6:6" ht="15">
      <c r="F2493" s="115">
        <f>+(disponibilidad[[#This Row],[Fecha y hora fin]]-disponibilidad[[#This Row],[Fecha y hora inicio]])*1440</f>
        <v>0</v>
      </c>
    </row>
    <row r="2494" spans="6:6" ht="15">
      <c r="F2494" s="115">
        <f>+(disponibilidad[[#This Row],[Fecha y hora fin]]-disponibilidad[[#This Row],[Fecha y hora inicio]])*1440</f>
        <v>0</v>
      </c>
    </row>
    <row r="2495" spans="6:6" ht="15">
      <c r="F2495" s="115">
        <f>+(disponibilidad[[#This Row],[Fecha y hora fin]]-disponibilidad[[#This Row],[Fecha y hora inicio]])*1440</f>
        <v>0</v>
      </c>
    </row>
    <row r="2496" spans="6:6" ht="15">
      <c r="F2496" s="115">
        <f>+(disponibilidad[[#This Row],[Fecha y hora fin]]-disponibilidad[[#This Row],[Fecha y hora inicio]])*1440</f>
        <v>0</v>
      </c>
    </row>
    <row r="2497" spans="6:6" ht="15">
      <c r="F2497" s="115">
        <f>+(disponibilidad[[#This Row],[Fecha y hora fin]]-disponibilidad[[#This Row],[Fecha y hora inicio]])*1440</f>
        <v>0</v>
      </c>
    </row>
    <row r="2498" spans="6:6" ht="15">
      <c r="F2498" s="115">
        <f>+(disponibilidad[[#This Row],[Fecha y hora fin]]-disponibilidad[[#This Row],[Fecha y hora inicio]])*1440</f>
        <v>0</v>
      </c>
    </row>
    <row r="2499" spans="6:6" ht="15">
      <c r="F2499" s="115">
        <f>+(disponibilidad[[#This Row],[Fecha y hora fin]]-disponibilidad[[#This Row],[Fecha y hora inicio]])*1440</f>
        <v>0</v>
      </c>
    </row>
    <row r="2500" spans="6:6" ht="15">
      <c r="F2500" s="115">
        <f>+(disponibilidad[[#This Row],[Fecha y hora fin]]-disponibilidad[[#This Row],[Fecha y hora inicio]])*1440</f>
        <v>0</v>
      </c>
    </row>
    <row r="2501" spans="6:6" ht="15">
      <c r="F2501" s="115">
        <f>+(disponibilidad[[#This Row],[Fecha y hora fin]]-disponibilidad[[#This Row],[Fecha y hora inicio]])*1440</f>
        <v>0</v>
      </c>
    </row>
    <row r="2502" spans="6:6" ht="15">
      <c r="F2502" s="115">
        <f>+(disponibilidad[[#This Row],[Fecha y hora fin]]-disponibilidad[[#This Row],[Fecha y hora inicio]])*1440</f>
        <v>0</v>
      </c>
    </row>
    <row r="2503" spans="6:6" ht="15">
      <c r="F2503" s="115">
        <f>+(disponibilidad[[#This Row],[Fecha y hora fin]]-disponibilidad[[#This Row],[Fecha y hora inicio]])*1440</f>
        <v>0</v>
      </c>
    </row>
    <row r="2504" spans="6:6" ht="15">
      <c r="F2504" s="115">
        <f>+(disponibilidad[[#This Row],[Fecha y hora fin]]-disponibilidad[[#This Row],[Fecha y hora inicio]])*1440</f>
        <v>0</v>
      </c>
    </row>
    <row r="2505" spans="6:6" ht="15">
      <c r="F2505" s="115">
        <f>+(disponibilidad[[#This Row],[Fecha y hora fin]]-disponibilidad[[#This Row],[Fecha y hora inicio]])*1440</f>
        <v>0</v>
      </c>
    </row>
    <row r="2506" spans="6:6" ht="15">
      <c r="F2506" s="115">
        <f>+(disponibilidad[[#This Row],[Fecha y hora fin]]-disponibilidad[[#This Row],[Fecha y hora inicio]])*1440</f>
        <v>0</v>
      </c>
    </row>
    <row r="2507" spans="6:6" ht="15">
      <c r="F2507" s="115">
        <f>+(disponibilidad[[#This Row],[Fecha y hora fin]]-disponibilidad[[#This Row],[Fecha y hora inicio]])*1440</f>
        <v>0</v>
      </c>
    </row>
    <row r="2508" spans="6:6" ht="15">
      <c r="F2508" s="115">
        <f>+(disponibilidad[[#This Row],[Fecha y hora fin]]-disponibilidad[[#This Row],[Fecha y hora inicio]])*1440</f>
        <v>0</v>
      </c>
    </row>
    <row r="2509" spans="6:6" ht="15">
      <c r="F2509" s="115">
        <f>+(disponibilidad[[#This Row],[Fecha y hora fin]]-disponibilidad[[#This Row],[Fecha y hora inicio]])*1440</f>
        <v>0</v>
      </c>
    </row>
    <row r="2510" spans="6:6" ht="15">
      <c r="F2510" s="115">
        <f>+(disponibilidad[[#This Row],[Fecha y hora fin]]-disponibilidad[[#This Row],[Fecha y hora inicio]])*1440</f>
        <v>0</v>
      </c>
    </row>
    <row r="2511" spans="6:6" ht="15">
      <c r="F2511" s="115">
        <f>+(disponibilidad[[#This Row],[Fecha y hora fin]]-disponibilidad[[#This Row],[Fecha y hora inicio]])*1440</f>
        <v>0</v>
      </c>
    </row>
    <row r="2512" spans="6:6" ht="15">
      <c r="F2512" s="115">
        <f>+(disponibilidad[[#This Row],[Fecha y hora fin]]-disponibilidad[[#This Row],[Fecha y hora inicio]])*1440</f>
        <v>0</v>
      </c>
    </row>
    <row r="2513" spans="6:6" ht="15">
      <c r="F2513" s="115">
        <f>+(disponibilidad[[#This Row],[Fecha y hora fin]]-disponibilidad[[#This Row],[Fecha y hora inicio]])*1440</f>
        <v>0</v>
      </c>
    </row>
    <row r="2514" spans="6:6" ht="15">
      <c r="F2514" s="115">
        <f>+(disponibilidad[[#This Row],[Fecha y hora fin]]-disponibilidad[[#This Row],[Fecha y hora inicio]])*1440</f>
        <v>0</v>
      </c>
    </row>
    <row r="2515" spans="6:6" ht="15">
      <c r="F2515" s="115">
        <f>+(disponibilidad[[#This Row],[Fecha y hora fin]]-disponibilidad[[#This Row],[Fecha y hora inicio]])*1440</f>
        <v>0</v>
      </c>
    </row>
    <row r="2516" spans="6:6" ht="15">
      <c r="F2516" s="115">
        <f>+(disponibilidad[[#This Row],[Fecha y hora fin]]-disponibilidad[[#This Row],[Fecha y hora inicio]])*1440</f>
        <v>0</v>
      </c>
    </row>
    <row r="2517" spans="6:6" ht="15">
      <c r="F2517" s="115">
        <f>+(disponibilidad[[#This Row],[Fecha y hora fin]]-disponibilidad[[#This Row],[Fecha y hora inicio]])*1440</f>
        <v>0</v>
      </c>
    </row>
    <row r="2518" spans="6:6" ht="15">
      <c r="F2518" s="115">
        <f>+(disponibilidad[[#This Row],[Fecha y hora fin]]-disponibilidad[[#This Row],[Fecha y hora inicio]])*1440</f>
        <v>0</v>
      </c>
    </row>
    <row r="2519" spans="6:6" ht="15">
      <c r="F2519" s="115">
        <f>+(disponibilidad[[#This Row],[Fecha y hora fin]]-disponibilidad[[#This Row],[Fecha y hora inicio]])*1440</f>
        <v>0</v>
      </c>
    </row>
    <row r="2520" spans="6:6" ht="15">
      <c r="F2520" s="115">
        <f>+(disponibilidad[[#This Row],[Fecha y hora fin]]-disponibilidad[[#This Row],[Fecha y hora inicio]])*1440</f>
        <v>0</v>
      </c>
    </row>
    <row r="2521" spans="6:6" ht="15">
      <c r="F2521" s="115">
        <f>+(disponibilidad[[#This Row],[Fecha y hora fin]]-disponibilidad[[#This Row],[Fecha y hora inicio]])*1440</f>
        <v>0</v>
      </c>
    </row>
    <row r="2522" spans="6:6" ht="15">
      <c r="F2522" s="115">
        <f>+(disponibilidad[[#This Row],[Fecha y hora fin]]-disponibilidad[[#This Row],[Fecha y hora inicio]])*1440</f>
        <v>0</v>
      </c>
    </row>
    <row r="2523" spans="6:6" ht="15">
      <c r="F2523" s="115">
        <f>+(disponibilidad[[#This Row],[Fecha y hora fin]]-disponibilidad[[#This Row],[Fecha y hora inicio]])*1440</f>
        <v>0</v>
      </c>
    </row>
    <row r="2524" spans="6:6" ht="15">
      <c r="F2524" s="115">
        <f>+(disponibilidad[[#This Row],[Fecha y hora fin]]-disponibilidad[[#This Row],[Fecha y hora inicio]])*1440</f>
        <v>0</v>
      </c>
    </row>
    <row r="2525" spans="6:6" ht="15">
      <c r="F2525" s="115">
        <f>+(disponibilidad[[#This Row],[Fecha y hora fin]]-disponibilidad[[#This Row],[Fecha y hora inicio]])*1440</f>
        <v>0</v>
      </c>
    </row>
    <row r="2526" spans="6:6" ht="15">
      <c r="F2526" s="115">
        <f>+(disponibilidad[[#This Row],[Fecha y hora fin]]-disponibilidad[[#This Row],[Fecha y hora inicio]])*1440</f>
        <v>0</v>
      </c>
    </row>
    <row r="2527" spans="6:6" ht="15">
      <c r="F2527" s="115">
        <f>+(disponibilidad[[#This Row],[Fecha y hora fin]]-disponibilidad[[#This Row],[Fecha y hora inicio]])*1440</f>
        <v>0</v>
      </c>
    </row>
    <row r="2528" spans="6:6" ht="15">
      <c r="F2528" s="115">
        <f>+(disponibilidad[[#This Row],[Fecha y hora fin]]-disponibilidad[[#This Row],[Fecha y hora inicio]])*1440</f>
        <v>0</v>
      </c>
    </row>
    <row r="2529" spans="6:6" ht="15">
      <c r="F2529" s="115">
        <f>+(disponibilidad[[#This Row],[Fecha y hora fin]]-disponibilidad[[#This Row],[Fecha y hora inicio]])*1440</f>
        <v>0</v>
      </c>
    </row>
    <row r="2530" spans="6:6" ht="15">
      <c r="F2530" s="115">
        <f>+(disponibilidad[[#This Row],[Fecha y hora fin]]-disponibilidad[[#This Row],[Fecha y hora inicio]])*1440</f>
        <v>0</v>
      </c>
    </row>
    <row r="2531" spans="6:6" ht="15">
      <c r="F2531" s="115">
        <f>+(disponibilidad[[#This Row],[Fecha y hora fin]]-disponibilidad[[#This Row],[Fecha y hora inicio]])*1440</f>
        <v>0</v>
      </c>
    </row>
    <row r="2532" spans="6:6" ht="15">
      <c r="F2532" s="115">
        <f>+(disponibilidad[[#This Row],[Fecha y hora fin]]-disponibilidad[[#This Row],[Fecha y hora inicio]])*1440</f>
        <v>0</v>
      </c>
    </row>
    <row r="2533" spans="6:6" ht="15">
      <c r="F2533" s="115">
        <f>+(disponibilidad[[#This Row],[Fecha y hora fin]]-disponibilidad[[#This Row],[Fecha y hora inicio]])*1440</f>
        <v>0</v>
      </c>
    </row>
    <row r="2534" spans="6:6" ht="15">
      <c r="F2534" s="115">
        <f>+(disponibilidad[[#This Row],[Fecha y hora fin]]-disponibilidad[[#This Row],[Fecha y hora inicio]])*1440</f>
        <v>0</v>
      </c>
    </row>
    <row r="2535" spans="6:6" ht="15">
      <c r="F2535" s="115">
        <f>+(disponibilidad[[#This Row],[Fecha y hora fin]]-disponibilidad[[#This Row],[Fecha y hora inicio]])*1440</f>
        <v>0</v>
      </c>
    </row>
    <row r="2536" spans="6:6" ht="15">
      <c r="F2536" s="115">
        <f>+(disponibilidad[[#This Row],[Fecha y hora fin]]-disponibilidad[[#This Row],[Fecha y hora inicio]])*1440</f>
        <v>0</v>
      </c>
    </row>
    <row r="2537" spans="6:6" ht="15">
      <c r="F2537" s="115">
        <f>+(disponibilidad[[#This Row],[Fecha y hora fin]]-disponibilidad[[#This Row],[Fecha y hora inicio]])*1440</f>
        <v>0</v>
      </c>
    </row>
    <row r="2538" spans="6:6" ht="15">
      <c r="F2538" s="115">
        <f>+(disponibilidad[[#This Row],[Fecha y hora fin]]-disponibilidad[[#This Row],[Fecha y hora inicio]])*1440</f>
        <v>0</v>
      </c>
    </row>
    <row r="2539" spans="6:6" ht="15">
      <c r="F2539" s="115">
        <f>+(disponibilidad[[#This Row],[Fecha y hora fin]]-disponibilidad[[#This Row],[Fecha y hora inicio]])*1440</f>
        <v>0</v>
      </c>
    </row>
    <row r="2540" spans="6:6" ht="15">
      <c r="F2540" s="115">
        <f>+(disponibilidad[[#This Row],[Fecha y hora fin]]-disponibilidad[[#This Row],[Fecha y hora inicio]])*1440</f>
        <v>0</v>
      </c>
    </row>
    <row r="2541" spans="6:6" ht="15">
      <c r="F2541" s="115">
        <f>+(disponibilidad[[#This Row],[Fecha y hora fin]]-disponibilidad[[#This Row],[Fecha y hora inicio]])*1440</f>
        <v>0</v>
      </c>
    </row>
    <row r="2542" spans="6:6" ht="15">
      <c r="F2542" s="115">
        <f>+(disponibilidad[[#This Row],[Fecha y hora fin]]-disponibilidad[[#This Row],[Fecha y hora inicio]])*1440</f>
        <v>0</v>
      </c>
    </row>
    <row r="2543" spans="6:6" ht="15">
      <c r="F2543" s="115">
        <f>+(disponibilidad[[#This Row],[Fecha y hora fin]]-disponibilidad[[#This Row],[Fecha y hora inicio]])*1440</f>
        <v>0</v>
      </c>
    </row>
    <row r="2544" spans="6:6" ht="15">
      <c r="F2544" s="115">
        <f>+(disponibilidad[[#This Row],[Fecha y hora fin]]-disponibilidad[[#This Row],[Fecha y hora inicio]])*1440</f>
        <v>0</v>
      </c>
    </row>
    <row r="2545" spans="6:6" ht="15">
      <c r="F2545" s="115">
        <f>+(disponibilidad[[#This Row],[Fecha y hora fin]]-disponibilidad[[#This Row],[Fecha y hora inicio]])*1440</f>
        <v>0</v>
      </c>
    </row>
    <row r="2546" spans="6:6" ht="15">
      <c r="F2546" s="115">
        <f>+(disponibilidad[[#This Row],[Fecha y hora fin]]-disponibilidad[[#This Row],[Fecha y hora inicio]])*1440</f>
        <v>0</v>
      </c>
    </row>
    <row r="2547" spans="6:6" ht="15">
      <c r="F2547" s="115">
        <f>+(disponibilidad[[#This Row],[Fecha y hora fin]]-disponibilidad[[#This Row],[Fecha y hora inicio]])*1440</f>
        <v>0</v>
      </c>
    </row>
    <row r="2548" spans="6:6" ht="15">
      <c r="F2548" s="115">
        <f>+(disponibilidad[[#This Row],[Fecha y hora fin]]-disponibilidad[[#This Row],[Fecha y hora inicio]])*1440</f>
        <v>0</v>
      </c>
    </row>
    <row r="2549" spans="6:6" ht="15">
      <c r="F2549" s="115">
        <f>+(disponibilidad[[#This Row],[Fecha y hora fin]]-disponibilidad[[#This Row],[Fecha y hora inicio]])*1440</f>
        <v>0</v>
      </c>
    </row>
    <row r="2550" spans="6:6" ht="15">
      <c r="F2550" s="115">
        <f>+(disponibilidad[[#This Row],[Fecha y hora fin]]-disponibilidad[[#This Row],[Fecha y hora inicio]])*1440</f>
        <v>0</v>
      </c>
    </row>
    <row r="2551" spans="6:6" ht="15">
      <c r="F2551" s="115">
        <f>+(disponibilidad[[#This Row],[Fecha y hora fin]]-disponibilidad[[#This Row],[Fecha y hora inicio]])*1440</f>
        <v>0</v>
      </c>
    </row>
    <row r="2552" spans="6:6" ht="15">
      <c r="F2552" s="115">
        <f>+(disponibilidad[[#This Row],[Fecha y hora fin]]-disponibilidad[[#This Row],[Fecha y hora inicio]])*1440</f>
        <v>0</v>
      </c>
    </row>
    <row r="2553" spans="6:6" ht="15">
      <c r="F2553" s="115">
        <f>+(disponibilidad[[#This Row],[Fecha y hora fin]]-disponibilidad[[#This Row],[Fecha y hora inicio]])*1440</f>
        <v>0</v>
      </c>
    </row>
    <row r="2554" spans="6:6" ht="15">
      <c r="F2554" s="115">
        <f>+(disponibilidad[[#This Row],[Fecha y hora fin]]-disponibilidad[[#This Row],[Fecha y hora inicio]])*1440</f>
        <v>0</v>
      </c>
    </row>
    <row r="2555" spans="6:6" ht="15">
      <c r="F2555" s="115">
        <f>+(disponibilidad[[#This Row],[Fecha y hora fin]]-disponibilidad[[#This Row],[Fecha y hora inicio]])*1440</f>
        <v>0</v>
      </c>
    </row>
    <row r="2556" spans="6:6" ht="15">
      <c r="F2556" s="115">
        <f>+(disponibilidad[[#This Row],[Fecha y hora fin]]-disponibilidad[[#This Row],[Fecha y hora inicio]])*1440</f>
        <v>0</v>
      </c>
    </row>
    <row r="2557" spans="6:6" ht="15">
      <c r="F2557" s="115">
        <f>+(disponibilidad[[#This Row],[Fecha y hora fin]]-disponibilidad[[#This Row],[Fecha y hora inicio]])*1440</f>
        <v>0</v>
      </c>
    </row>
    <row r="2558" spans="6:6" ht="15">
      <c r="F2558" s="115">
        <f>+(disponibilidad[[#This Row],[Fecha y hora fin]]-disponibilidad[[#This Row],[Fecha y hora inicio]])*1440</f>
        <v>0</v>
      </c>
    </row>
    <row r="2559" spans="6:6" ht="15">
      <c r="F2559" s="115">
        <f>+(disponibilidad[[#This Row],[Fecha y hora fin]]-disponibilidad[[#This Row],[Fecha y hora inicio]])*1440</f>
        <v>0</v>
      </c>
    </row>
    <row r="2560" spans="6:6" ht="15">
      <c r="F2560" s="115">
        <f>+(disponibilidad[[#This Row],[Fecha y hora fin]]-disponibilidad[[#This Row],[Fecha y hora inicio]])*1440</f>
        <v>0</v>
      </c>
    </row>
    <row r="2561" spans="6:6" ht="15">
      <c r="F2561" s="115">
        <f>+(disponibilidad[[#This Row],[Fecha y hora fin]]-disponibilidad[[#This Row],[Fecha y hora inicio]])*1440</f>
        <v>0</v>
      </c>
    </row>
    <row r="2562" spans="6:6" ht="15">
      <c r="F2562" s="115">
        <f>+(disponibilidad[[#This Row],[Fecha y hora fin]]-disponibilidad[[#This Row],[Fecha y hora inicio]])*1440</f>
        <v>0</v>
      </c>
    </row>
    <row r="2563" spans="6:6" ht="15">
      <c r="F2563" s="115">
        <f>+(disponibilidad[[#This Row],[Fecha y hora fin]]-disponibilidad[[#This Row],[Fecha y hora inicio]])*1440</f>
        <v>0</v>
      </c>
    </row>
    <row r="2564" spans="6:6" ht="15">
      <c r="F2564" s="115">
        <f>+(disponibilidad[[#This Row],[Fecha y hora fin]]-disponibilidad[[#This Row],[Fecha y hora inicio]])*1440</f>
        <v>0</v>
      </c>
    </row>
    <row r="2565" spans="6:6" ht="15">
      <c r="F2565" s="115">
        <f>+(disponibilidad[[#This Row],[Fecha y hora fin]]-disponibilidad[[#This Row],[Fecha y hora inicio]])*1440</f>
        <v>0</v>
      </c>
    </row>
    <row r="2566" spans="6:6" ht="15">
      <c r="F2566" s="115">
        <f>+(disponibilidad[[#This Row],[Fecha y hora fin]]-disponibilidad[[#This Row],[Fecha y hora inicio]])*1440</f>
        <v>0</v>
      </c>
    </row>
    <row r="2567" spans="6:6" ht="15">
      <c r="F2567" s="115">
        <f>+(disponibilidad[[#This Row],[Fecha y hora fin]]-disponibilidad[[#This Row],[Fecha y hora inicio]])*1440</f>
        <v>0</v>
      </c>
    </row>
    <row r="2568" spans="6:6" ht="15">
      <c r="F2568" s="115">
        <f>+(disponibilidad[[#This Row],[Fecha y hora fin]]-disponibilidad[[#This Row],[Fecha y hora inicio]])*1440</f>
        <v>0</v>
      </c>
    </row>
    <row r="2569" spans="6:6" ht="15">
      <c r="F2569" s="115">
        <f>+(disponibilidad[[#This Row],[Fecha y hora fin]]-disponibilidad[[#This Row],[Fecha y hora inicio]])*1440</f>
        <v>0</v>
      </c>
    </row>
    <row r="2570" spans="6:6" ht="15">
      <c r="F2570" s="115">
        <f>+(disponibilidad[[#This Row],[Fecha y hora fin]]-disponibilidad[[#This Row],[Fecha y hora inicio]])*1440</f>
        <v>0</v>
      </c>
    </row>
    <row r="2571" spans="6:6" ht="15">
      <c r="F2571" s="115">
        <f>+(disponibilidad[[#This Row],[Fecha y hora fin]]-disponibilidad[[#This Row],[Fecha y hora inicio]])*1440</f>
        <v>0</v>
      </c>
    </row>
    <row r="2572" spans="6:6" ht="15">
      <c r="F2572" s="115">
        <f>+(disponibilidad[[#This Row],[Fecha y hora fin]]-disponibilidad[[#This Row],[Fecha y hora inicio]])*1440</f>
        <v>0</v>
      </c>
    </row>
    <row r="2573" spans="6:6" ht="15">
      <c r="F2573" s="115">
        <f>+(disponibilidad[[#This Row],[Fecha y hora fin]]-disponibilidad[[#This Row],[Fecha y hora inicio]])*1440</f>
        <v>0</v>
      </c>
    </row>
    <row r="2574" spans="6:6" ht="15">
      <c r="F2574" s="115">
        <f>+(disponibilidad[[#This Row],[Fecha y hora fin]]-disponibilidad[[#This Row],[Fecha y hora inicio]])*1440</f>
        <v>0</v>
      </c>
    </row>
    <row r="2575" spans="6:6" ht="15">
      <c r="F2575" s="115">
        <f>+(disponibilidad[[#This Row],[Fecha y hora fin]]-disponibilidad[[#This Row],[Fecha y hora inicio]])*1440</f>
        <v>0</v>
      </c>
    </row>
    <row r="2576" spans="6:6" ht="15">
      <c r="F2576" s="115">
        <f>+(disponibilidad[[#This Row],[Fecha y hora fin]]-disponibilidad[[#This Row],[Fecha y hora inicio]])*1440</f>
        <v>0</v>
      </c>
    </row>
    <row r="2577" spans="6:6" ht="15">
      <c r="F2577" s="115">
        <f>+(disponibilidad[[#This Row],[Fecha y hora fin]]-disponibilidad[[#This Row],[Fecha y hora inicio]])*1440</f>
        <v>0</v>
      </c>
    </row>
    <row r="2578" spans="6:6" ht="15">
      <c r="F2578" s="115">
        <f>+(disponibilidad[[#This Row],[Fecha y hora fin]]-disponibilidad[[#This Row],[Fecha y hora inicio]])*1440</f>
        <v>0</v>
      </c>
    </row>
    <row r="2579" spans="6:6" ht="15">
      <c r="F2579" s="115">
        <f>+(disponibilidad[[#This Row],[Fecha y hora fin]]-disponibilidad[[#This Row],[Fecha y hora inicio]])*1440</f>
        <v>0</v>
      </c>
    </row>
    <row r="2580" spans="6:6" ht="15">
      <c r="F2580" s="115">
        <f>+(disponibilidad[[#This Row],[Fecha y hora fin]]-disponibilidad[[#This Row],[Fecha y hora inicio]])*1440</f>
        <v>0</v>
      </c>
    </row>
    <row r="2581" spans="6:6" ht="15">
      <c r="F2581" s="115">
        <f>+(disponibilidad[[#This Row],[Fecha y hora fin]]-disponibilidad[[#This Row],[Fecha y hora inicio]])*1440</f>
        <v>0</v>
      </c>
    </row>
    <row r="2582" spans="6:6" ht="15">
      <c r="F2582" s="115">
        <f>+(disponibilidad[[#This Row],[Fecha y hora fin]]-disponibilidad[[#This Row],[Fecha y hora inicio]])*1440</f>
        <v>0</v>
      </c>
    </row>
    <row r="2583" spans="6:6" ht="15">
      <c r="F2583" s="115">
        <f>+(disponibilidad[[#This Row],[Fecha y hora fin]]-disponibilidad[[#This Row],[Fecha y hora inicio]])*1440</f>
        <v>0</v>
      </c>
    </row>
    <row r="2584" spans="6:6" ht="15">
      <c r="F2584" s="115">
        <f>+(disponibilidad[[#This Row],[Fecha y hora fin]]-disponibilidad[[#This Row],[Fecha y hora inicio]])*1440</f>
        <v>0</v>
      </c>
    </row>
    <row r="2585" spans="6:6" ht="15">
      <c r="F2585" s="115">
        <f>+(disponibilidad[[#This Row],[Fecha y hora fin]]-disponibilidad[[#This Row],[Fecha y hora inicio]])*1440</f>
        <v>0</v>
      </c>
    </row>
    <row r="2586" spans="6:6" ht="15">
      <c r="F2586" s="115">
        <f>+(disponibilidad[[#This Row],[Fecha y hora fin]]-disponibilidad[[#This Row],[Fecha y hora inicio]])*1440</f>
        <v>0</v>
      </c>
    </row>
    <row r="2587" spans="6:6" ht="15">
      <c r="F2587" s="115">
        <f>+(disponibilidad[[#This Row],[Fecha y hora fin]]-disponibilidad[[#This Row],[Fecha y hora inicio]])*1440</f>
        <v>0</v>
      </c>
    </row>
    <row r="2588" spans="6:6" ht="15">
      <c r="F2588" s="115">
        <f>+(disponibilidad[[#This Row],[Fecha y hora fin]]-disponibilidad[[#This Row],[Fecha y hora inicio]])*1440</f>
        <v>0</v>
      </c>
    </row>
    <row r="2589" spans="6:6" ht="15">
      <c r="F2589" s="115">
        <f>+(disponibilidad[[#This Row],[Fecha y hora fin]]-disponibilidad[[#This Row],[Fecha y hora inicio]])*1440</f>
        <v>0</v>
      </c>
    </row>
    <row r="2590" spans="6:6" ht="15">
      <c r="F2590" s="115">
        <f>+(disponibilidad[[#This Row],[Fecha y hora fin]]-disponibilidad[[#This Row],[Fecha y hora inicio]])*1440</f>
        <v>0</v>
      </c>
    </row>
    <row r="2591" spans="6:6" ht="15">
      <c r="F2591" s="115">
        <f>+(disponibilidad[[#This Row],[Fecha y hora fin]]-disponibilidad[[#This Row],[Fecha y hora inicio]])*1440</f>
        <v>0</v>
      </c>
    </row>
    <row r="2592" spans="6:6" ht="15">
      <c r="F2592" s="115">
        <f>+(disponibilidad[[#This Row],[Fecha y hora fin]]-disponibilidad[[#This Row],[Fecha y hora inicio]])*1440</f>
        <v>0</v>
      </c>
    </row>
    <row r="2593" spans="6:6" ht="15">
      <c r="F2593" s="115">
        <f>+(disponibilidad[[#This Row],[Fecha y hora fin]]-disponibilidad[[#This Row],[Fecha y hora inicio]])*1440</f>
        <v>0</v>
      </c>
    </row>
    <row r="2594" spans="6:6" ht="15">
      <c r="F2594" s="115">
        <f>+(disponibilidad[[#This Row],[Fecha y hora fin]]-disponibilidad[[#This Row],[Fecha y hora inicio]])*1440</f>
        <v>0</v>
      </c>
    </row>
    <row r="2595" spans="6:6" ht="15">
      <c r="F2595" s="115">
        <f>+(disponibilidad[[#This Row],[Fecha y hora fin]]-disponibilidad[[#This Row],[Fecha y hora inicio]])*1440</f>
        <v>0</v>
      </c>
    </row>
    <row r="2596" spans="6:6" ht="15">
      <c r="F2596" s="115">
        <f>+(disponibilidad[[#This Row],[Fecha y hora fin]]-disponibilidad[[#This Row],[Fecha y hora inicio]])*1440</f>
        <v>0</v>
      </c>
    </row>
    <row r="2597" spans="6:6" ht="15">
      <c r="F2597" s="115">
        <f>+(disponibilidad[[#This Row],[Fecha y hora fin]]-disponibilidad[[#This Row],[Fecha y hora inicio]])*1440</f>
        <v>0</v>
      </c>
    </row>
    <row r="2598" spans="6:6" ht="15">
      <c r="F2598" s="115">
        <f>+(disponibilidad[[#This Row],[Fecha y hora fin]]-disponibilidad[[#This Row],[Fecha y hora inicio]])*1440</f>
        <v>0</v>
      </c>
    </row>
    <row r="2599" spans="6:6" ht="15">
      <c r="F2599" s="115">
        <f>+(disponibilidad[[#This Row],[Fecha y hora fin]]-disponibilidad[[#This Row],[Fecha y hora inicio]])*1440</f>
        <v>0</v>
      </c>
    </row>
    <row r="2600" spans="6:6" ht="15">
      <c r="F2600" s="115">
        <f>+(disponibilidad[[#This Row],[Fecha y hora fin]]-disponibilidad[[#This Row],[Fecha y hora inicio]])*1440</f>
        <v>0</v>
      </c>
    </row>
    <row r="2601" spans="6:6" ht="15">
      <c r="F2601" s="115">
        <f>+(disponibilidad[[#This Row],[Fecha y hora fin]]-disponibilidad[[#This Row],[Fecha y hora inicio]])*1440</f>
        <v>0</v>
      </c>
    </row>
    <row r="2602" spans="6:6" ht="15">
      <c r="F2602" s="115">
        <f>+(disponibilidad[[#This Row],[Fecha y hora fin]]-disponibilidad[[#This Row],[Fecha y hora inicio]])*1440</f>
        <v>0</v>
      </c>
    </row>
    <row r="2603" spans="6:6" ht="15">
      <c r="F2603" s="115">
        <f>+(disponibilidad[[#This Row],[Fecha y hora fin]]-disponibilidad[[#This Row],[Fecha y hora inicio]])*1440</f>
        <v>0</v>
      </c>
    </row>
    <row r="2604" spans="6:6" ht="15">
      <c r="F2604" s="115">
        <f>+(disponibilidad[[#This Row],[Fecha y hora fin]]-disponibilidad[[#This Row],[Fecha y hora inicio]])*1440</f>
        <v>0</v>
      </c>
    </row>
    <row r="2605" spans="6:6" ht="15">
      <c r="F2605" s="115">
        <f>+(disponibilidad[[#This Row],[Fecha y hora fin]]-disponibilidad[[#This Row],[Fecha y hora inicio]])*1440</f>
        <v>0</v>
      </c>
    </row>
    <row r="2606" spans="6:6" ht="15">
      <c r="F2606" s="115">
        <f>+(disponibilidad[[#This Row],[Fecha y hora fin]]-disponibilidad[[#This Row],[Fecha y hora inicio]])*1440</f>
        <v>0</v>
      </c>
    </row>
    <row r="2607" spans="6:6" ht="15">
      <c r="F2607" s="115">
        <f>+(disponibilidad[[#This Row],[Fecha y hora fin]]-disponibilidad[[#This Row],[Fecha y hora inicio]])*1440</f>
        <v>0</v>
      </c>
    </row>
    <row r="2608" spans="6:6" ht="15">
      <c r="F2608" s="115">
        <f>+(disponibilidad[[#This Row],[Fecha y hora fin]]-disponibilidad[[#This Row],[Fecha y hora inicio]])*1440</f>
        <v>0</v>
      </c>
    </row>
    <row r="2609" spans="6:6" ht="15">
      <c r="F2609" s="115">
        <f>+(disponibilidad[[#This Row],[Fecha y hora fin]]-disponibilidad[[#This Row],[Fecha y hora inicio]])*1440</f>
        <v>0</v>
      </c>
    </row>
    <row r="2610" spans="6:6" ht="15">
      <c r="F2610" s="115">
        <f>+(disponibilidad[[#This Row],[Fecha y hora fin]]-disponibilidad[[#This Row],[Fecha y hora inicio]])*1440</f>
        <v>0</v>
      </c>
    </row>
    <row r="2611" spans="6:6" ht="15">
      <c r="F2611" s="115">
        <f>+(disponibilidad[[#This Row],[Fecha y hora fin]]-disponibilidad[[#This Row],[Fecha y hora inicio]])*1440</f>
        <v>0</v>
      </c>
    </row>
    <row r="2612" spans="6:6" ht="15">
      <c r="F2612" s="115">
        <f>+(disponibilidad[[#This Row],[Fecha y hora fin]]-disponibilidad[[#This Row],[Fecha y hora inicio]])*1440</f>
        <v>0</v>
      </c>
    </row>
    <row r="2613" spans="6:6" ht="15">
      <c r="F2613" s="115">
        <f>+(disponibilidad[[#This Row],[Fecha y hora fin]]-disponibilidad[[#This Row],[Fecha y hora inicio]])*1440</f>
        <v>0</v>
      </c>
    </row>
    <row r="2614" spans="6:6" ht="15">
      <c r="F2614" s="115">
        <f>+(disponibilidad[[#This Row],[Fecha y hora fin]]-disponibilidad[[#This Row],[Fecha y hora inicio]])*1440</f>
        <v>0</v>
      </c>
    </row>
    <row r="2615" spans="6:6" ht="15">
      <c r="F2615" s="115">
        <f>+(disponibilidad[[#This Row],[Fecha y hora fin]]-disponibilidad[[#This Row],[Fecha y hora inicio]])*1440</f>
        <v>0</v>
      </c>
    </row>
    <row r="2616" spans="6:6" ht="15">
      <c r="F2616" s="115">
        <f>+(disponibilidad[[#This Row],[Fecha y hora fin]]-disponibilidad[[#This Row],[Fecha y hora inicio]])*1440</f>
        <v>0</v>
      </c>
    </row>
    <row r="2617" spans="6:6" ht="15">
      <c r="F2617" s="115">
        <f>+(disponibilidad[[#This Row],[Fecha y hora fin]]-disponibilidad[[#This Row],[Fecha y hora inicio]])*1440</f>
        <v>0</v>
      </c>
    </row>
    <row r="2618" spans="6:6" ht="15">
      <c r="F2618" s="115">
        <f>+(disponibilidad[[#This Row],[Fecha y hora fin]]-disponibilidad[[#This Row],[Fecha y hora inicio]])*1440</f>
        <v>0</v>
      </c>
    </row>
    <row r="2619" spans="6:6" ht="15">
      <c r="F2619" s="115">
        <f>+(disponibilidad[[#This Row],[Fecha y hora fin]]-disponibilidad[[#This Row],[Fecha y hora inicio]])*1440</f>
        <v>0</v>
      </c>
    </row>
    <row r="2620" spans="6:6" ht="15">
      <c r="F2620" s="115">
        <f>+(disponibilidad[[#This Row],[Fecha y hora fin]]-disponibilidad[[#This Row],[Fecha y hora inicio]])*1440</f>
        <v>0</v>
      </c>
    </row>
    <row r="2621" spans="6:6" ht="15">
      <c r="F2621" s="115">
        <f>+(disponibilidad[[#This Row],[Fecha y hora fin]]-disponibilidad[[#This Row],[Fecha y hora inicio]])*1440</f>
        <v>0</v>
      </c>
    </row>
    <row r="2622" spans="6:6" ht="15">
      <c r="F2622" s="115">
        <f>+(disponibilidad[[#This Row],[Fecha y hora fin]]-disponibilidad[[#This Row],[Fecha y hora inicio]])*1440</f>
        <v>0</v>
      </c>
    </row>
    <row r="2623" spans="6:6" ht="15">
      <c r="F2623" s="115">
        <f>+(disponibilidad[[#This Row],[Fecha y hora fin]]-disponibilidad[[#This Row],[Fecha y hora inicio]])*1440</f>
        <v>0</v>
      </c>
    </row>
    <row r="2624" spans="6:6" ht="15">
      <c r="F2624" s="115">
        <f>+(disponibilidad[[#This Row],[Fecha y hora fin]]-disponibilidad[[#This Row],[Fecha y hora inicio]])*1440</f>
        <v>0</v>
      </c>
    </row>
    <row r="2625" spans="6:6" ht="15">
      <c r="F2625" s="115">
        <f>+(disponibilidad[[#This Row],[Fecha y hora fin]]-disponibilidad[[#This Row],[Fecha y hora inicio]])*1440</f>
        <v>0</v>
      </c>
    </row>
    <row r="2626" spans="6:6" ht="15">
      <c r="F2626" s="115">
        <f>+(disponibilidad[[#This Row],[Fecha y hora fin]]-disponibilidad[[#This Row],[Fecha y hora inicio]])*1440</f>
        <v>0</v>
      </c>
    </row>
    <row r="2627" spans="6:6" ht="15">
      <c r="F2627" s="115">
        <f>+(disponibilidad[[#This Row],[Fecha y hora fin]]-disponibilidad[[#This Row],[Fecha y hora inicio]])*1440</f>
        <v>0</v>
      </c>
    </row>
    <row r="2628" spans="6:6" ht="15">
      <c r="F2628" s="115">
        <f>+(disponibilidad[[#This Row],[Fecha y hora fin]]-disponibilidad[[#This Row],[Fecha y hora inicio]])*1440</f>
        <v>0</v>
      </c>
    </row>
    <row r="2629" spans="6:6" ht="15">
      <c r="F2629" s="115">
        <f>+(disponibilidad[[#This Row],[Fecha y hora fin]]-disponibilidad[[#This Row],[Fecha y hora inicio]])*1440</f>
        <v>0</v>
      </c>
    </row>
    <row r="2630" spans="6:6" ht="15">
      <c r="F2630" s="115">
        <f>+(disponibilidad[[#This Row],[Fecha y hora fin]]-disponibilidad[[#This Row],[Fecha y hora inicio]])*1440</f>
        <v>0</v>
      </c>
    </row>
    <row r="2631" spans="6:6" ht="15">
      <c r="F2631" s="115">
        <f>+(disponibilidad[[#This Row],[Fecha y hora fin]]-disponibilidad[[#This Row],[Fecha y hora inicio]])*1440</f>
        <v>0</v>
      </c>
    </row>
    <row r="2632" spans="6:6" ht="15">
      <c r="F2632" s="115">
        <f>+(disponibilidad[[#This Row],[Fecha y hora fin]]-disponibilidad[[#This Row],[Fecha y hora inicio]])*1440</f>
        <v>0</v>
      </c>
    </row>
    <row r="2633" spans="6:6" ht="15">
      <c r="F2633" s="115">
        <f>+(disponibilidad[[#This Row],[Fecha y hora fin]]-disponibilidad[[#This Row],[Fecha y hora inicio]])*1440</f>
        <v>0</v>
      </c>
    </row>
    <row r="2634" spans="6:6" ht="15">
      <c r="F2634" s="115">
        <f>+(disponibilidad[[#This Row],[Fecha y hora fin]]-disponibilidad[[#This Row],[Fecha y hora inicio]])*1440</f>
        <v>0</v>
      </c>
    </row>
    <row r="2635" spans="6:6" ht="15">
      <c r="F2635" s="115">
        <f>+(disponibilidad[[#This Row],[Fecha y hora fin]]-disponibilidad[[#This Row],[Fecha y hora inicio]])*1440</f>
        <v>0</v>
      </c>
    </row>
    <row r="2636" spans="6:6" ht="15">
      <c r="F2636" s="115">
        <f>+(disponibilidad[[#This Row],[Fecha y hora fin]]-disponibilidad[[#This Row],[Fecha y hora inicio]])*1440</f>
        <v>0</v>
      </c>
    </row>
    <row r="2637" spans="6:6" ht="15">
      <c r="F2637" s="115">
        <f>+(disponibilidad[[#This Row],[Fecha y hora fin]]-disponibilidad[[#This Row],[Fecha y hora inicio]])*1440</f>
        <v>0</v>
      </c>
    </row>
    <row r="2638" spans="6:6" ht="15">
      <c r="F2638" s="115">
        <f>+(disponibilidad[[#This Row],[Fecha y hora fin]]-disponibilidad[[#This Row],[Fecha y hora inicio]])*1440</f>
        <v>0</v>
      </c>
    </row>
    <row r="2639" spans="6:6" ht="15">
      <c r="F2639" s="115">
        <f>+(disponibilidad[[#This Row],[Fecha y hora fin]]-disponibilidad[[#This Row],[Fecha y hora inicio]])*1440</f>
        <v>0</v>
      </c>
    </row>
    <row r="2640" spans="6:6" ht="15">
      <c r="F2640" s="115">
        <f>+(disponibilidad[[#This Row],[Fecha y hora fin]]-disponibilidad[[#This Row],[Fecha y hora inicio]])*1440</f>
        <v>0</v>
      </c>
    </row>
    <row r="2641" spans="6:6" ht="15">
      <c r="F2641" s="115">
        <f>+(disponibilidad[[#This Row],[Fecha y hora fin]]-disponibilidad[[#This Row],[Fecha y hora inicio]])*1440</f>
        <v>0</v>
      </c>
    </row>
    <row r="2642" spans="6:6" ht="15">
      <c r="F2642" s="115">
        <f>+(disponibilidad[[#This Row],[Fecha y hora fin]]-disponibilidad[[#This Row],[Fecha y hora inicio]])*1440</f>
        <v>0</v>
      </c>
    </row>
    <row r="2643" spans="6:6" ht="15">
      <c r="F2643" s="115">
        <f>+(disponibilidad[[#This Row],[Fecha y hora fin]]-disponibilidad[[#This Row],[Fecha y hora inicio]])*1440</f>
        <v>0</v>
      </c>
    </row>
    <row r="2644" spans="6:6" ht="15">
      <c r="F2644" s="115">
        <f>+(disponibilidad[[#This Row],[Fecha y hora fin]]-disponibilidad[[#This Row],[Fecha y hora inicio]])*1440</f>
        <v>0</v>
      </c>
    </row>
    <row r="2645" spans="6:6" ht="15">
      <c r="F2645" s="115">
        <f>+(disponibilidad[[#This Row],[Fecha y hora fin]]-disponibilidad[[#This Row],[Fecha y hora inicio]])*1440</f>
        <v>0</v>
      </c>
    </row>
    <row r="2646" spans="6:6" ht="15">
      <c r="F2646" s="115">
        <f>+(disponibilidad[[#This Row],[Fecha y hora fin]]-disponibilidad[[#This Row],[Fecha y hora inicio]])*1440</f>
        <v>0</v>
      </c>
    </row>
    <row r="2647" spans="6:6" ht="15">
      <c r="F2647" s="115">
        <f>+(disponibilidad[[#This Row],[Fecha y hora fin]]-disponibilidad[[#This Row],[Fecha y hora inicio]])*1440</f>
        <v>0</v>
      </c>
    </row>
    <row r="2648" spans="6:6" ht="15">
      <c r="F2648" s="115">
        <f>+(disponibilidad[[#This Row],[Fecha y hora fin]]-disponibilidad[[#This Row],[Fecha y hora inicio]])*1440</f>
        <v>0</v>
      </c>
    </row>
    <row r="2649" spans="6:6" ht="15">
      <c r="F2649" s="115">
        <f>+(disponibilidad[[#This Row],[Fecha y hora fin]]-disponibilidad[[#This Row],[Fecha y hora inicio]])*1440</f>
        <v>0</v>
      </c>
    </row>
    <row r="2650" spans="6:6" ht="15">
      <c r="F2650" s="115">
        <f>+(disponibilidad[[#This Row],[Fecha y hora fin]]-disponibilidad[[#This Row],[Fecha y hora inicio]])*1440</f>
        <v>0</v>
      </c>
    </row>
    <row r="2651" spans="6:6" ht="15">
      <c r="F2651" s="115">
        <f>+(disponibilidad[[#This Row],[Fecha y hora fin]]-disponibilidad[[#This Row],[Fecha y hora inicio]])*1440</f>
        <v>0</v>
      </c>
    </row>
    <row r="2652" spans="6:6" ht="15">
      <c r="F2652" s="115">
        <f>+(disponibilidad[[#This Row],[Fecha y hora fin]]-disponibilidad[[#This Row],[Fecha y hora inicio]])*1440</f>
        <v>0</v>
      </c>
    </row>
    <row r="2653" spans="6:6" ht="15">
      <c r="F2653" s="115">
        <f>+(disponibilidad[[#This Row],[Fecha y hora fin]]-disponibilidad[[#This Row],[Fecha y hora inicio]])*1440</f>
        <v>0</v>
      </c>
    </row>
    <row r="2654" spans="6:6" ht="15">
      <c r="F2654" s="115">
        <f>+(disponibilidad[[#This Row],[Fecha y hora fin]]-disponibilidad[[#This Row],[Fecha y hora inicio]])*1440</f>
        <v>0</v>
      </c>
    </row>
    <row r="2655" spans="6:6" ht="15">
      <c r="F2655" s="115">
        <f>+(disponibilidad[[#This Row],[Fecha y hora fin]]-disponibilidad[[#This Row],[Fecha y hora inicio]])*1440</f>
        <v>0</v>
      </c>
    </row>
    <row r="2656" spans="6:6" ht="15">
      <c r="F2656" s="115">
        <f>+(disponibilidad[[#This Row],[Fecha y hora fin]]-disponibilidad[[#This Row],[Fecha y hora inicio]])*1440</f>
        <v>0</v>
      </c>
    </row>
    <row r="2657" spans="6:6" ht="15">
      <c r="F2657" s="115">
        <f>+(disponibilidad[[#This Row],[Fecha y hora fin]]-disponibilidad[[#This Row],[Fecha y hora inicio]])*1440</f>
        <v>0</v>
      </c>
    </row>
    <row r="2658" spans="6:6" ht="15">
      <c r="F2658" s="115">
        <f>+(disponibilidad[[#This Row],[Fecha y hora fin]]-disponibilidad[[#This Row],[Fecha y hora inicio]])*1440</f>
        <v>0</v>
      </c>
    </row>
    <row r="2659" spans="6:6" ht="15">
      <c r="F2659" s="115">
        <f>+(disponibilidad[[#This Row],[Fecha y hora fin]]-disponibilidad[[#This Row],[Fecha y hora inicio]])*1440</f>
        <v>0</v>
      </c>
    </row>
    <row r="2660" spans="6:6" ht="15">
      <c r="F2660" s="115">
        <f>+(disponibilidad[[#This Row],[Fecha y hora fin]]-disponibilidad[[#This Row],[Fecha y hora inicio]])*1440</f>
        <v>0</v>
      </c>
    </row>
    <row r="2661" spans="6:6" ht="15">
      <c r="F2661" s="115">
        <f>+(disponibilidad[[#This Row],[Fecha y hora fin]]-disponibilidad[[#This Row],[Fecha y hora inicio]])*1440</f>
        <v>0</v>
      </c>
    </row>
    <row r="2662" spans="6:6" ht="15">
      <c r="F2662" s="115">
        <f>+(disponibilidad[[#This Row],[Fecha y hora fin]]-disponibilidad[[#This Row],[Fecha y hora inicio]])*1440</f>
        <v>0</v>
      </c>
    </row>
    <row r="2663" spans="6:6" ht="15">
      <c r="F2663" s="115">
        <f>+(disponibilidad[[#This Row],[Fecha y hora fin]]-disponibilidad[[#This Row],[Fecha y hora inicio]])*1440</f>
        <v>0</v>
      </c>
    </row>
    <row r="2664" spans="6:6" ht="15">
      <c r="F2664" s="115">
        <f>+(disponibilidad[[#This Row],[Fecha y hora fin]]-disponibilidad[[#This Row],[Fecha y hora inicio]])*1440</f>
        <v>0</v>
      </c>
    </row>
    <row r="2665" spans="6:6" ht="15">
      <c r="F2665" s="115">
        <f>+(disponibilidad[[#This Row],[Fecha y hora fin]]-disponibilidad[[#This Row],[Fecha y hora inicio]])*1440</f>
        <v>0</v>
      </c>
    </row>
    <row r="2666" spans="6:6" ht="15">
      <c r="F2666" s="115">
        <f>+(disponibilidad[[#This Row],[Fecha y hora fin]]-disponibilidad[[#This Row],[Fecha y hora inicio]])*1440</f>
        <v>0</v>
      </c>
    </row>
    <row r="2667" spans="6:6" ht="15">
      <c r="F2667" s="115">
        <f>+(disponibilidad[[#This Row],[Fecha y hora fin]]-disponibilidad[[#This Row],[Fecha y hora inicio]])*1440</f>
        <v>0</v>
      </c>
    </row>
    <row r="2668" spans="6:6" ht="15">
      <c r="F2668" s="115">
        <f>+(disponibilidad[[#This Row],[Fecha y hora fin]]-disponibilidad[[#This Row],[Fecha y hora inicio]])*1440</f>
        <v>0</v>
      </c>
    </row>
    <row r="2669" spans="6:6" ht="15">
      <c r="F2669" s="115">
        <f>+(disponibilidad[[#This Row],[Fecha y hora fin]]-disponibilidad[[#This Row],[Fecha y hora inicio]])*1440</f>
        <v>0</v>
      </c>
    </row>
    <row r="2670" spans="6:6" ht="15">
      <c r="F2670" s="115">
        <f>+(disponibilidad[[#This Row],[Fecha y hora fin]]-disponibilidad[[#This Row],[Fecha y hora inicio]])*1440</f>
        <v>0</v>
      </c>
    </row>
    <row r="2671" spans="6:6" ht="15">
      <c r="F2671" s="115">
        <f>+(disponibilidad[[#This Row],[Fecha y hora fin]]-disponibilidad[[#This Row],[Fecha y hora inicio]])*1440</f>
        <v>0</v>
      </c>
    </row>
    <row r="2672" spans="6:6" ht="15">
      <c r="F2672" s="115">
        <f>+(disponibilidad[[#This Row],[Fecha y hora fin]]-disponibilidad[[#This Row],[Fecha y hora inicio]])*1440</f>
        <v>0</v>
      </c>
    </row>
    <row r="2673" spans="6:6" ht="15">
      <c r="F2673" s="115">
        <f>+(disponibilidad[[#This Row],[Fecha y hora fin]]-disponibilidad[[#This Row],[Fecha y hora inicio]])*1440</f>
        <v>0</v>
      </c>
    </row>
    <row r="2674" spans="6:6" ht="15">
      <c r="F2674" s="115">
        <f>+(disponibilidad[[#This Row],[Fecha y hora fin]]-disponibilidad[[#This Row],[Fecha y hora inicio]])*1440</f>
        <v>0</v>
      </c>
    </row>
    <row r="2675" spans="6:6" ht="15">
      <c r="F2675" s="115">
        <f>+(disponibilidad[[#This Row],[Fecha y hora fin]]-disponibilidad[[#This Row],[Fecha y hora inicio]])*1440</f>
        <v>0</v>
      </c>
    </row>
    <row r="2676" spans="6:6" ht="15">
      <c r="F2676" s="115">
        <f>+(disponibilidad[[#This Row],[Fecha y hora fin]]-disponibilidad[[#This Row],[Fecha y hora inicio]])*1440</f>
        <v>0</v>
      </c>
    </row>
    <row r="2677" spans="6:6" ht="15">
      <c r="F2677" s="115">
        <f>+(disponibilidad[[#This Row],[Fecha y hora fin]]-disponibilidad[[#This Row],[Fecha y hora inicio]])*1440</f>
        <v>0</v>
      </c>
    </row>
    <row r="2678" spans="6:6" ht="15">
      <c r="F2678" s="115">
        <f>+(disponibilidad[[#This Row],[Fecha y hora fin]]-disponibilidad[[#This Row],[Fecha y hora inicio]])*1440</f>
        <v>0</v>
      </c>
    </row>
    <row r="2679" spans="6:6" ht="15">
      <c r="F2679" s="115">
        <f>+(disponibilidad[[#This Row],[Fecha y hora fin]]-disponibilidad[[#This Row],[Fecha y hora inicio]])*1440</f>
        <v>0</v>
      </c>
    </row>
    <row r="2680" spans="6:6" ht="15">
      <c r="F2680" s="115">
        <f>+(disponibilidad[[#This Row],[Fecha y hora fin]]-disponibilidad[[#This Row],[Fecha y hora inicio]])*1440</f>
        <v>0</v>
      </c>
    </row>
    <row r="2681" spans="6:6" ht="15">
      <c r="F2681" s="115">
        <f>+(disponibilidad[[#This Row],[Fecha y hora fin]]-disponibilidad[[#This Row],[Fecha y hora inicio]])*1440</f>
        <v>0</v>
      </c>
    </row>
    <row r="2682" spans="6:6" ht="15">
      <c r="F2682" s="115">
        <f>+(disponibilidad[[#This Row],[Fecha y hora fin]]-disponibilidad[[#This Row],[Fecha y hora inicio]])*1440</f>
        <v>0</v>
      </c>
    </row>
    <row r="2683" spans="6:6" ht="15">
      <c r="F2683" s="115">
        <f>+(disponibilidad[[#This Row],[Fecha y hora fin]]-disponibilidad[[#This Row],[Fecha y hora inicio]])*1440</f>
        <v>0</v>
      </c>
    </row>
    <row r="2684" spans="6:6" ht="15">
      <c r="F2684" s="115">
        <f>+(disponibilidad[[#This Row],[Fecha y hora fin]]-disponibilidad[[#This Row],[Fecha y hora inicio]])*1440</f>
        <v>0</v>
      </c>
    </row>
    <row r="2685" spans="6:6" ht="15">
      <c r="F2685" s="115">
        <f>+(disponibilidad[[#This Row],[Fecha y hora fin]]-disponibilidad[[#This Row],[Fecha y hora inicio]])*1440</f>
        <v>0</v>
      </c>
    </row>
    <row r="2686" spans="6:6" ht="15">
      <c r="F2686" s="115">
        <f>+(disponibilidad[[#This Row],[Fecha y hora fin]]-disponibilidad[[#This Row],[Fecha y hora inicio]])*1440</f>
        <v>0</v>
      </c>
    </row>
    <row r="2687" spans="6:6" ht="15">
      <c r="F2687" s="115">
        <f>+(disponibilidad[[#This Row],[Fecha y hora fin]]-disponibilidad[[#This Row],[Fecha y hora inicio]])*1440</f>
        <v>0</v>
      </c>
    </row>
    <row r="2688" spans="6:6" ht="15">
      <c r="F2688" s="115">
        <f>+(disponibilidad[[#This Row],[Fecha y hora fin]]-disponibilidad[[#This Row],[Fecha y hora inicio]])*1440</f>
        <v>0</v>
      </c>
    </row>
    <row r="2689" spans="6:6" ht="15">
      <c r="F2689" s="115">
        <f>+(disponibilidad[[#This Row],[Fecha y hora fin]]-disponibilidad[[#This Row],[Fecha y hora inicio]])*1440</f>
        <v>0</v>
      </c>
    </row>
    <row r="2690" spans="6:6" ht="15">
      <c r="F2690" s="115">
        <f>+(disponibilidad[[#This Row],[Fecha y hora fin]]-disponibilidad[[#This Row],[Fecha y hora inicio]])*1440</f>
        <v>0</v>
      </c>
    </row>
    <row r="2691" spans="6:6" ht="15">
      <c r="F2691" s="115">
        <f>+(disponibilidad[[#This Row],[Fecha y hora fin]]-disponibilidad[[#This Row],[Fecha y hora inicio]])*1440</f>
        <v>0</v>
      </c>
    </row>
    <row r="2692" spans="6:6" ht="15">
      <c r="F2692" s="115">
        <f>+(disponibilidad[[#This Row],[Fecha y hora fin]]-disponibilidad[[#This Row],[Fecha y hora inicio]])*1440</f>
        <v>0</v>
      </c>
    </row>
    <row r="2693" spans="6:6" ht="15">
      <c r="F2693" s="115">
        <f>+(disponibilidad[[#This Row],[Fecha y hora fin]]-disponibilidad[[#This Row],[Fecha y hora inicio]])*1440</f>
        <v>0</v>
      </c>
    </row>
    <row r="2694" spans="6:6" ht="15">
      <c r="F2694" s="115">
        <f>+(disponibilidad[[#This Row],[Fecha y hora fin]]-disponibilidad[[#This Row],[Fecha y hora inicio]])*1440</f>
        <v>0</v>
      </c>
    </row>
    <row r="2695" spans="6:6" ht="15">
      <c r="F2695" s="115">
        <f>+(disponibilidad[[#This Row],[Fecha y hora fin]]-disponibilidad[[#This Row],[Fecha y hora inicio]])*1440</f>
        <v>0</v>
      </c>
    </row>
    <row r="2696" spans="6:6" ht="15">
      <c r="F2696" s="115">
        <f>+(disponibilidad[[#This Row],[Fecha y hora fin]]-disponibilidad[[#This Row],[Fecha y hora inicio]])*1440</f>
        <v>0</v>
      </c>
    </row>
    <row r="2697" spans="6:6" ht="15">
      <c r="F2697" s="115">
        <f>+(disponibilidad[[#This Row],[Fecha y hora fin]]-disponibilidad[[#This Row],[Fecha y hora inicio]])*1440</f>
        <v>0</v>
      </c>
    </row>
    <row r="2698" spans="6:6" ht="15">
      <c r="F2698" s="115">
        <f>+(disponibilidad[[#This Row],[Fecha y hora fin]]-disponibilidad[[#This Row],[Fecha y hora inicio]])*1440</f>
        <v>0</v>
      </c>
    </row>
    <row r="2699" spans="6:6" ht="15">
      <c r="F2699" s="115">
        <f>+(disponibilidad[[#This Row],[Fecha y hora fin]]-disponibilidad[[#This Row],[Fecha y hora inicio]])*1440</f>
        <v>0</v>
      </c>
    </row>
    <row r="2700" spans="6:6" ht="15">
      <c r="F2700" s="115">
        <f>+(disponibilidad[[#This Row],[Fecha y hora fin]]-disponibilidad[[#This Row],[Fecha y hora inicio]])*1440</f>
        <v>0</v>
      </c>
    </row>
    <row r="2701" spans="6:6" ht="15">
      <c r="F2701" s="115">
        <f>+(disponibilidad[[#This Row],[Fecha y hora fin]]-disponibilidad[[#This Row],[Fecha y hora inicio]])*1440</f>
        <v>0</v>
      </c>
    </row>
    <row r="2702" spans="6:6" ht="15">
      <c r="F2702" s="115">
        <f>+(disponibilidad[[#This Row],[Fecha y hora fin]]-disponibilidad[[#This Row],[Fecha y hora inicio]])*1440</f>
        <v>0</v>
      </c>
    </row>
    <row r="2703" spans="6:6" ht="15">
      <c r="F2703" s="115">
        <f>+(disponibilidad[[#This Row],[Fecha y hora fin]]-disponibilidad[[#This Row],[Fecha y hora inicio]])*1440</f>
        <v>0</v>
      </c>
    </row>
    <row r="2704" spans="6:6" ht="15">
      <c r="F2704" s="115">
        <f>+(disponibilidad[[#This Row],[Fecha y hora fin]]-disponibilidad[[#This Row],[Fecha y hora inicio]])*1440</f>
        <v>0</v>
      </c>
    </row>
    <row r="2705" spans="6:6" ht="15">
      <c r="F2705" s="115">
        <f>+(disponibilidad[[#This Row],[Fecha y hora fin]]-disponibilidad[[#This Row],[Fecha y hora inicio]])*1440</f>
        <v>0</v>
      </c>
    </row>
    <row r="2706" spans="6:6" ht="15">
      <c r="F2706" s="115">
        <f>+(disponibilidad[[#This Row],[Fecha y hora fin]]-disponibilidad[[#This Row],[Fecha y hora inicio]])*1440</f>
        <v>0</v>
      </c>
    </row>
    <row r="2707" spans="6:6" ht="15">
      <c r="F2707" s="115">
        <f>+(disponibilidad[[#This Row],[Fecha y hora fin]]-disponibilidad[[#This Row],[Fecha y hora inicio]])*1440</f>
        <v>0</v>
      </c>
    </row>
    <row r="2708" spans="6:6" ht="15">
      <c r="F2708" s="115">
        <f>+(disponibilidad[[#This Row],[Fecha y hora fin]]-disponibilidad[[#This Row],[Fecha y hora inicio]])*1440</f>
        <v>0</v>
      </c>
    </row>
    <row r="2709" spans="6:6" ht="15">
      <c r="F2709" s="115">
        <f>+(disponibilidad[[#This Row],[Fecha y hora fin]]-disponibilidad[[#This Row],[Fecha y hora inicio]])*1440</f>
        <v>0</v>
      </c>
    </row>
    <row r="2710" spans="6:6" ht="15">
      <c r="F2710" s="115">
        <f>+(disponibilidad[[#This Row],[Fecha y hora fin]]-disponibilidad[[#This Row],[Fecha y hora inicio]])*1440</f>
        <v>0</v>
      </c>
    </row>
    <row r="2711" spans="6:6" ht="15">
      <c r="F2711" s="115">
        <f>+(disponibilidad[[#This Row],[Fecha y hora fin]]-disponibilidad[[#This Row],[Fecha y hora inicio]])*1440</f>
        <v>0</v>
      </c>
    </row>
    <row r="2712" spans="6:6" ht="15">
      <c r="F2712" s="115">
        <f>+(disponibilidad[[#This Row],[Fecha y hora fin]]-disponibilidad[[#This Row],[Fecha y hora inicio]])*1440</f>
        <v>0</v>
      </c>
    </row>
    <row r="2713" spans="6:6" ht="15">
      <c r="F2713" s="115">
        <f>+(disponibilidad[[#This Row],[Fecha y hora fin]]-disponibilidad[[#This Row],[Fecha y hora inicio]])*1440</f>
        <v>0</v>
      </c>
    </row>
    <row r="2714" spans="6:6" ht="15">
      <c r="F2714" s="115">
        <f>+(disponibilidad[[#This Row],[Fecha y hora fin]]-disponibilidad[[#This Row],[Fecha y hora inicio]])*1440</f>
        <v>0</v>
      </c>
    </row>
    <row r="2715" spans="6:6" ht="15">
      <c r="F2715" s="115">
        <f>+(disponibilidad[[#This Row],[Fecha y hora fin]]-disponibilidad[[#This Row],[Fecha y hora inicio]])*1440</f>
        <v>0</v>
      </c>
    </row>
    <row r="2716" spans="6:6" ht="15">
      <c r="F2716" s="115">
        <f>+(disponibilidad[[#This Row],[Fecha y hora fin]]-disponibilidad[[#This Row],[Fecha y hora inicio]])*1440</f>
        <v>0</v>
      </c>
    </row>
    <row r="2717" spans="6:6" ht="15">
      <c r="F2717" s="115">
        <f>+(disponibilidad[[#This Row],[Fecha y hora fin]]-disponibilidad[[#This Row],[Fecha y hora inicio]])*1440</f>
        <v>0</v>
      </c>
    </row>
    <row r="2718" spans="6:6" ht="15">
      <c r="F2718" s="115">
        <f>+(disponibilidad[[#This Row],[Fecha y hora fin]]-disponibilidad[[#This Row],[Fecha y hora inicio]])*1440</f>
        <v>0</v>
      </c>
    </row>
    <row r="2719" spans="6:6" ht="15">
      <c r="F2719" s="115">
        <f>+(disponibilidad[[#This Row],[Fecha y hora fin]]-disponibilidad[[#This Row],[Fecha y hora inicio]])*1440</f>
        <v>0</v>
      </c>
    </row>
    <row r="2720" spans="6:6" ht="15">
      <c r="F2720" s="115">
        <f>+(disponibilidad[[#This Row],[Fecha y hora fin]]-disponibilidad[[#This Row],[Fecha y hora inicio]])*1440</f>
        <v>0</v>
      </c>
    </row>
    <row r="2721" spans="6:6" ht="15">
      <c r="F2721" s="115">
        <f>+(disponibilidad[[#This Row],[Fecha y hora fin]]-disponibilidad[[#This Row],[Fecha y hora inicio]])*1440</f>
        <v>0</v>
      </c>
    </row>
    <row r="2722" spans="6:6" ht="15">
      <c r="F2722" s="115">
        <f>+(disponibilidad[[#This Row],[Fecha y hora fin]]-disponibilidad[[#This Row],[Fecha y hora inicio]])*1440</f>
        <v>0</v>
      </c>
    </row>
    <row r="2723" spans="6:6" ht="15">
      <c r="F2723" s="115">
        <f>+(disponibilidad[[#This Row],[Fecha y hora fin]]-disponibilidad[[#This Row],[Fecha y hora inicio]])*1440</f>
        <v>0</v>
      </c>
    </row>
    <row r="2724" spans="6:6" ht="15">
      <c r="F2724" s="115">
        <f>+(disponibilidad[[#This Row],[Fecha y hora fin]]-disponibilidad[[#This Row],[Fecha y hora inicio]])*1440</f>
        <v>0</v>
      </c>
    </row>
    <row r="2725" spans="6:6" ht="15">
      <c r="F2725" s="115">
        <f>+(disponibilidad[[#This Row],[Fecha y hora fin]]-disponibilidad[[#This Row],[Fecha y hora inicio]])*1440</f>
        <v>0</v>
      </c>
    </row>
    <row r="2726" spans="6:6" ht="15">
      <c r="F2726" s="115">
        <f>+(disponibilidad[[#This Row],[Fecha y hora fin]]-disponibilidad[[#This Row],[Fecha y hora inicio]])*1440</f>
        <v>0</v>
      </c>
    </row>
    <row r="2727" spans="6:6" ht="15">
      <c r="F2727" s="115">
        <f>+(disponibilidad[[#This Row],[Fecha y hora fin]]-disponibilidad[[#This Row],[Fecha y hora inicio]])*1440</f>
        <v>0</v>
      </c>
    </row>
    <row r="2728" spans="6:6" ht="15">
      <c r="F2728" s="115">
        <f>+(disponibilidad[[#This Row],[Fecha y hora fin]]-disponibilidad[[#This Row],[Fecha y hora inicio]])*1440</f>
        <v>0</v>
      </c>
    </row>
    <row r="2729" spans="6:6" ht="15">
      <c r="F2729" s="115">
        <f>+(disponibilidad[[#This Row],[Fecha y hora fin]]-disponibilidad[[#This Row],[Fecha y hora inicio]])*1440</f>
        <v>0</v>
      </c>
    </row>
    <row r="2730" spans="6:6" ht="15">
      <c r="F2730" s="115">
        <f>+(disponibilidad[[#This Row],[Fecha y hora fin]]-disponibilidad[[#This Row],[Fecha y hora inicio]])*1440</f>
        <v>0</v>
      </c>
    </row>
    <row r="2731" spans="6:6" ht="15">
      <c r="F2731" s="115">
        <f>+(disponibilidad[[#This Row],[Fecha y hora fin]]-disponibilidad[[#This Row],[Fecha y hora inicio]])*1440</f>
        <v>0</v>
      </c>
    </row>
    <row r="2732" spans="6:6" ht="15">
      <c r="F2732" s="115">
        <f>+(disponibilidad[[#This Row],[Fecha y hora fin]]-disponibilidad[[#This Row],[Fecha y hora inicio]])*1440</f>
        <v>0</v>
      </c>
    </row>
    <row r="2733" spans="6:6" ht="15">
      <c r="F2733" s="115">
        <f>+(disponibilidad[[#This Row],[Fecha y hora fin]]-disponibilidad[[#This Row],[Fecha y hora inicio]])*1440</f>
        <v>0</v>
      </c>
    </row>
    <row r="2734" spans="6:6" ht="15">
      <c r="F2734" s="115">
        <f>+(disponibilidad[[#This Row],[Fecha y hora fin]]-disponibilidad[[#This Row],[Fecha y hora inicio]])*1440</f>
        <v>0</v>
      </c>
    </row>
    <row r="2735" spans="6:6" ht="15">
      <c r="F2735" s="115">
        <f>+(disponibilidad[[#This Row],[Fecha y hora fin]]-disponibilidad[[#This Row],[Fecha y hora inicio]])*1440</f>
        <v>0</v>
      </c>
    </row>
    <row r="2736" spans="6:6" ht="15">
      <c r="F2736" s="115">
        <f>+(disponibilidad[[#This Row],[Fecha y hora fin]]-disponibilidad[[#This Row],[Fecha y hora inicio]])*1440</f>
        <v>0</v>
      </c>
    </row>
    <row r="2737" spans="6:6" ht="15">
      <c r="F2737" s="115">
        <f>+(disponibilidad[[#This Row],[Fecha y hora fin]]-disponibilidad[[#This Row],[Fecha y hora inicio]])*1440</f>
        <v>0</v>
      </c>
    </row>
    <row r="2738" spans="6:6" ht="15">
      <c r="F2738" s="115">
        <f>+(disponibilidad[[#This Row],[Fecha y hora fin]]-disponibilidad[[#This Row],[Fecha y hora inicio]])*1440</f>
        <v>0</v>
      </c>
    </row>
    <row r="2739" spans="6:6" ht="15">
      <c r="F2739" s="115">
        <f>+(disponibilidad[[#This Row],[Fecha y hora fin]]-disponibilidad[[#This Row],[Fecha y hora inicio]])*1440</f>
        <v>0</v>
      </c>
    </row>
    <row r="2740" spans="6:6" ht="15">
      <c r="F2740" s="115">
        <f>+(disponibilidad[[#This Row],[Fecha y hora fin]]-disponibilidad[[#This Row],[Fecha y hora inicio]])*1440</f>
        <v>0</v>
      </c>
    </row>
    <row r="2741" spans="6:6" ht="15">
      <c r="F2741" s="115">
        <f>+(disponibilidad[[#This Row],[Fecha y hora fin]]-disponibilidad[[#This Row],[Fecha y hora inicio]])*1440</f>
        <v>0</v>
      </c>
    </row>
    <row r="2742" spans="6:6" ht="15">
      <c r="F2742" s="115">
        <f>+(disponibilidad[[#This Row],[Fecha y hora fin]]-disponibilidad[[#This Row],[Fecha y hora inicio]])*1440</f>
        <v>0</v>
      </c>
    </row>
    <row r="2743" spans="6:6" ht="15">
      <c r="F2743" s="115">
        <f>+(disponibilidad[[#This Row],[Fecha y hora fin]]-disponibilidad[[#This Row],[Fecha y hora inicio]])*1440</f>
        <v>0</v>
      </c>
    </row>
    <row r="2744" spans="6:6" ht="15">
      <c r="F2744" s="115">
        <f>+(disponibilidad[[#This Row],[Fecha y hora fin]]-disponibilidad[[#This Row],[Fecha y hora inicio]])*1440</f>
        <v>0</v>
      </c>
    </row>
    <row r="2745" spans="6:6" ht="15">
      <c r="F2745" s="115">
        <f>+(disponibilidad[[#This Row],[Fecha y hora fin]]-disponibilidad[[#This Row],[Fecha y hora inicio]])*1440</f>
        <v>0</v>
      </c>
    </row>
    <row r="2746" spans="6:6" ht="15">
      <c r="F2746" s="115">
        <f>+(disponibilidad[[#This Row],[Fecha y hora fin]]-disponibilidad[[#This Row],[Fecha y hora inicio]])*1440</f>
        <v>0</v>
      </c>
    </row>
    <row r="2747" spans="6:6" ht="15">
      <c r="F2747" s="115">
        <f>+(disponibilidad[[#This Row],[Fecha y hora fin]]-disponibilidad[[#This Row],[Fecha y hora inicio]])*1440</f>
        <v>0</v>
      </c>
    </row>
    <row r="2748" spans="6:6" ht="15">
      <c r="F2748" s="115">
        <f>+(disponibilidad[[#This Row],[Fecha y hora fin]]-disponibilidad[[#This Row],[Fecha y hora inicio]])*1440</f>
        <v>0</v>
      </c>
    </row>
    <row r="2749" spans="6:6" ht="15">
      <c r="F2749" s="115">
        <f>+(disponibilidad[[#This Row],[Fecha y hora fin]]-disponibilidad[[#This Row],[Fecha y hora inicio]])*1440</f>
        <v>0</v>
      </c>
    </row>
    <row r="2750" spans="6:6" ht="15">
      <c r="F2750" s="115">
        <f>+(disponibilidad[[#This Row],[Fecha y hora fin]]-disponibilidad[[#This Row],[Fecha y hora inicio]])*1440</f>
        <v>0</v>
      </c>
    </row>
    <row r="2751" spans="6:6" ht="15">
      <c r="F2751" s="115">
        <f>+(disponibilidad[[#This Row],[Fecha y hora fin]]-disponibilidad[[#This Row],[Fecha y hora inicio]])*1440</f>
        <v>0</v>
      </c>
    </row>
    <row r="2752" spans="6:6" ht="15">
      <c r="F2752" s="115">
        <f>+(disponibilidad[[#This Row],[Fecha y hora fin]]-disponibilidad[[#This Row],[Fecha y hora inicio]])*1440</f>
        <v>0</v>
      </c>
    </row>
    <row r="2753" spans="6:6" ht="15">
      <c r="F2753" s="115">
        <f>+(disponibilidad[[#This Row],[Fecha y hora fin]]-disponibilidad[[#This Row],[Fecha y hora inicio]])*1440</f>
        <v>0</v>
      </c>
    </row>
    <row r="2754" spans="6:6" ht="15">
      <c r="F2754" s="115">
        <f>+(disponibilidad[[#This Row],[Fecha y hora fin]]-disponibilidad[[#This Row],[Fecha y hora inicio]])*1440</f>
        <v>0</v>
      </c>
    </row>
    <row r="2755" spans="6:6" ht="15">
      <c r="F2755" s="115">
        <f>+(disponibilidad[[#This Row],[Fecha y hora fin]]-disponibilidad[[#This Row],[Fecha y hora inicio]])*1440</f>
        <v>0</v>
      </c>
    </row>
    <row r="2756" spans="6:6" ht="15">
      <c r="F2756" s="115">
        <f>+(disponibilidad[[#This Row],[Fecha y hora fin]]-disponibilidad[[#This Row],[Fecha y hora inicio]])*1440</f>
        <v>0</v>
      </c>
    </row>
    <row r="2757" spans="6:6" ht="15">
      <c r="F2757" s="115">
        <f>+(disponibilidad[[#This Row],[Fecha y hora fin]]-disponibilidad[[#This Row],[Fecha y hora inicio]])*1440</f>
        <v>0</v>
      </c>
    </row>
    <row r="2758" spans="6:6" ht="15">
      <c r="F2758" s="115">
        <f>+(disponibilidad[[#This Row],[Fecha y hora fin]]-disponibilidad[[#This Row],[Fecha y hora inicio]])*1440</f>
        <v>0</v>
      </c>
    </row>
    <row r="2759" spans="6:6" ht="15">
      <c r="F2759" s="115">
        <f>+(disponibilidad[[#This Row],[Fecha y hora fin]]-disponibilidad[[#This Row],[Fecha y hora inicio]])*1440</f>
        <v>0</v>
      </c>
    </row>
    <row r="2760" spans="6:6" ht="15">
      <c r="F2760" s="115">
        <f>+(disponibilidad[[#This Row],[Fecha y hora fin]]-disponibilidad[[#This Row],[Fecha y hora inicio]])*1440</f>
        <v>0</v>
      </c>
    </row>
    <row r="2761" spans="6:6" ht="15">
      <c r="F2761" s="115">
        <f>+(disponibilidad[[#This Row],[Fecha y hora fin]]-disponibilidad[[#This Row],[Fecha y hora inicio]])*1440</f>
        <v>0</v>
      </c>
    </row>
    <row r="2762" spans="6:6" ht="15">
      <c r="F2762" s="115">
        <f>+(disponibilidad[[#This Row],[Fecha y hora fin]]-disponibilidad[[#This Row],[Fecha y hora inicio]])*1440</f>
        <v>0</v>
      </c>
    </row>
    <row r="2763" spans="6:6" ht="15">
      <c r="F2763" s="115">
        <f>+(disponibilidad[[#This Row],[Fecha y hora fin]]-disponibilidad[[#This Row],[Fecha y hora inicio]])*1440</f>
        <v>0</v>
      </c>
    </row>
    <row r="2764" spans="6:6" ht="15">
      <c r="F2764" s="115">
        <f>+(disponibilidad[[#This Row],[Fecha y hora fin]]-disponibilidad[[#This Row],[Fecha y hora inicio]])*1440</f>
        <v>0</v>
      </c>
    </row>
    <row r="2765" spans="6:6" ht="15">
      <c r="F2765" s="115">
        <f>+(disponibilidad[[#This Row],[Fecha y hora fin]]-disponibilidad[[#This Row],[Fecha y hora inicio]])*1440</f>
        <v>0</v>
      </c>
    </row>
    <row r="2766" spans="6:6" ht="15">
      <c r="F2766" s="115">
        <f>+(disponibilidad[[#This Row],[Fecha y hora fin]]-disponibilidad[[#This Row],[Fecha y hora inicio]])*1440</f>
        <v>0</v>
      </c>
    </row>
    <row r="2767" spans="6:6" ht="15">
      <c r="F2767" s="115">
        <f>+(disponibilidad[[#This Row],[Fecha y hora fin]]-disponibilidad[[#This Row],[Fecha y hora inicio]])*1440</f>
        <v>0</v>
      </c>
    </row>
    <row r="2768" spans="6:6" ht="15">
      <c r="F2768" s="115">
        <f>+(disponibilidad[[#This Row],[Fecha y hora fin]]-disponibilidad[[#This Row],[Fecha y hora inicio]])*1440</f>
        <v>0</v>
      </c>
    </row>
    <row r="2769" spans="6:6" ht="15">
      <c r="F2769" s="115">
        <f>+(disponibilidad[[#This Row],[Fecha y hora fin]]-disponibilidad[[#This Row],[Fecha y hora inicio]])*1440</f>
        <v>0</v>
      </c>
    </row>
    <row r="2770" spans="6:6" ht="15">
      <c r="F2770" s="115">
        <f>+(disponibilidad[[#This Row],[Fecha y hora fin]]-disponibilidad[[#This Row],[Fecha y hora inicio]])*1440</f>
        <v>0</v>
      </c>
    </row>
    <row r="2771" spans="6:6" ht="15">
      <c r="F2771" s="115">
        <f>+(disponibilidad[[#This Row],[Fecha y hora fin]]-disponibilidad[[#This Row],[Fecha y hora inicio]])*1440</f>
        <v>0</v>
      </c>
    </row>
    <row r="2772" spans="6:6" ht="15">
      <c r="F2772" s="115">
        <f>+(disponibilidad[[#This Row],[Fecha y hora fin]]-disponibilidad[[#This Row],[Fecha y hora inicio]])*1440</f>
        <v>0</v>
      </c>
    </row>
    <row r="2773" spans="6:6" ht="15">
      <c r="F2773" s="115">
        <f>+(disponibilidad[[#This Row],[Fecha y hora fin]]-disponibilidad[[#This Row],[Fecha y hora inicio]])*1440</f>
        <v>0</v>
      </c>
    </row>
    <row r="2774" spans="6:6" ht="15">
      <c r="F2774" s="115">
        <f>+(disponibilidad[[#This Row],[Fecha y hora fin]]-disponibilidad[[#This Row],[Fecha y hora inicio]])*1440</f>
        <v>0</v>
      </c>
    </row>
    <row r="2775" spans="6:6" ht="15">
      <c r="F2775" s="115">
        <f>+(disponibilidad[[#This Row],[Fecha y hora fin]]-disponibilidad[[#This Row],[Fecha y hora inicio]])*1440</f>
        <v>0</v>
      </c>
    </row>
    <row r="2776" spans="6:6" ht="15">
      <c r="F2776" s="115">
        <f>+(disponibilidad[[#This Row],[Fecha y hora fin]]-disponibilidad[[#This Row],[Fecha y hora inicio]])*1440</f>
        <v>0</v>
      </c>
    </row>
    <row r="2777" spans="6:6" ht="15">
      <c r="F2777" s="115">
        <f>+(disponibilidad[[#This Row],[Fecha y hora fin]]-disponibilidad[[#This Row],[Fecha y hora inicio]])*1440</f>
        <v>0</v>
      </c>
    </row>
    <row r="2778" spans="6:6" ht="15">
      <c r="F2778" s="115">
        <f>+(disponibilidad[[#This Row],[Fecha y hora fin]]-disponibilidad[[#This Row],[Fecha y hora inicio]])*1440</f>
        <v>0</v>
      </c>
    </row>
    <row r="2779" spans="6:6" ht="15">
      <c r="F2779" s="115">
        <f>+(disponibilidad[[#This Row],[Fecha y hora fin]]-disponibilidad[[#This Row],[Fecha y hora inicio]])*1440</f>
        <v>0</v>
      </c>
    </row>
    <row r="2780" spans="6:6" ht="15">
      <c r="F2780" s="115">
        <f>+(disponibilidad[[#This Row],[Fecha y hora fin]]-disponibilidad[[#This Row],[Fecha y hora inicio]])*1440</f>
        <v>0</v>
      </c>
    </row>
    <row r="2781" spans="6:6" ht="15">
      <c r="F2781" s="115">
        <f>+(disponibilidad[[#This Row],[Fecha y hora fin]]-disponibilidad[[#This Row],[Fecha y hora inicio]])*1440</f>
        <v>0</v>
      </c>
    </row>
    <row r="2782" spans="6:6" ht="15">
      <c r="F2782" s="115">
        <f>+(disponibilidad[[#This Row],[Fecha y hora fin]]-disponibilidad[[#This Row],[Fecha y hora inicio]])*1440</f>
        <v>0</v>
      </c>
    </row>
    <row r="2783" spans="6:6" ht="15">
      <c r="F2783" s="115">
        <f>+(disponibilidad[[#This Row],[Fecha y hora fin]]-disponibilidad[[#This Row],[Fecha y hora inicio]])*1440</f>
        <v>0</v>
      </c>
    </row>
    <row r="2784" spans="6:6" ht="15">
      <c r="F2784" s="115">
        <f>+(disponibilidad[[#This Row],[Fecha y hora fin]]-disponibilidad[[#This Row],[Fecha y hora inicio]])*1440</f>
        <v>0</v>
      </c>
    </row>
    <row r="2785" spans="6:6" ht="15">
      <c r="F2785" s="115">
        <f>+(disponibilidad[[#This Row],[Fecha y hora fin]]-disponibilidad[[#This Row],[Fecha y hora inicio]])*1440</f>
        <v>0</v>
      </c>
    </row>
    <row r="2786" spans="6:6" ht="15">
      <c r="F2786" s="115">
        <f>+(disponibilidad[[#This Row],[Fecha y hora fin]]-disponibilidad[[#This Row],[Fecha y hora inicio]])*1440</f>
        <v>0</v>
      </c>
    </row>
    <row r="2787" spans="6:6" ht="15">
      <c r="F2787" s="115">
        <f>+(disponibilidad[[#This Row],[Fecha y hora fin]]-disponibilidad[[#This Row],[Fecha y hora inicio]])*1440</f>
        <v>0</v>
      </c>
    </row>
    <row r="2788" spans="6:6" ht="15">
      <c r="F2788" s="115">
        <f>+(disponibilidad[[#This Row],[Fecha y hora fin]]-disponibilidad[[#This Row],[Fecha y hora inicio]])*1440</f>
        <v>0</v>
      </c>
    </row>
    <row r="2789" spans="6:6" ht="15">
      <c r="F2789" s="115">
        <f>+(disponibilidad[[#This Row],[Fecha y hora fin]]-disponibilidad[[#This Row],[Fecha y hora inicio]])*1440</f>
        <v>0</v>
      </c>
    </row>
    <row r="2790" spans="6:6" ht="15">
      <c r="F2790" s="115">
        <f>+(disponibilidad[[#This Row],[Fecha y hora fin]]-disponibilidad[[#This Row],[Fecha y hora inicio]])*1440</f>
        <v>0</v>
      </c>
    </row>
    <row r="2791" spans="6:6" ht="15">
      <c r="F2791" s="115">
        <f>+(disponibilidad[[#This Row],[Fecha y hora fin]]-disponibilidad[[#This Row],[Fecha y hora inicio]])*1440</f>
        <v>0</v>
      </c>
    </row>
    <row r="2792" spans="6:6" ht="15">
      <c r="F2792" s="115">
        <f>+(disponibilidad[[#This Row],[Fecha y hora fin]]-disponibilidad[[#This Row],[Fecha y hora inicio]])*1440</f>
        <v>0</v>
      </c>
    </row>
    <row r="2793" spans="6:6" ht="15">
      <c r="F2793" s="115">
        <f>+(disponibilidad[[#This Row],[Fecha y hora fin]]-disponibilidad[[#This Row],[Fecha y hora inicio]])*1440</f>
        <v>0</v>
      </c>
    </row>
    <row r="2794" spans="6:6" ht="15">
      <c r="F2794" s="115">
        <f>+(disponibilidad[[#This Row],[Fecha y hora fin]]-disponibilidad[[#This Row],[Fecha y hora inicio]])*1440</f>
        <v>0</v>
      </c>
    </row>
    <row r="2795" spans="6:6" ht="15">
      <c r="F2795" s="115">
        <f>+(disponibilidad[[#This Row],[Fecha y hora fin]]-disponibilidad[[#This Row],[Fecha y hora inicio]])*1440</f>
        <v>0</v>
      </c>
    </row>
    <row r="2796" spans="6:6" ht="15">
      <c r="F2796" s="115">
        <f>+(disponibilidad[[#This Row],[Fecha y hora fin]]-disponibilidad[[#This Row],[Fecha y hora inicio]])*1440</f>
        <v>0</v>
      </c>
    </row>
    <row r="2797" spans="6:6" ht="15">
      <c r="F2797" s="115">
        <f>+(disponibilidad[[#This Row],[Fecha y hora fin]]-disponibilidad[[#This Row],[Fecha y hora inicio]])*1440</f>
        <v>0</v>
      </c>
    </row>
    <row r="2798" spans="6:6" ht="15">
      <c r="F2798" s="115">
        <f>+(disponibilidad[[#This Row],[Fecha y hora fin]]-disponibilidad[[#This Row],[Fecha y hora inicio]])*1440</f>
        <v>0</v>
      </c>
    </row>
    <row r="2799" spans="6:6" ht="15">
      <c r="F2799" s="115">
        <f>+(disponibilidad[[#This Row],[Fecha y hora fin]]-disponibilidad[[#This Row],[Fecha y hora inicio]])*1440</f>
        <v>0</v>
      </c>
    </row>
    <row r="2800" spans="6:6" ht="15">
      <c r="F2800" s="115">
        <f>+(disponibilidad[[#This Row],[Fecha y hora fin]]-disponibilidad[[#This Row],[Fecha y hora inicio]])*1440</f>
        <v>0</v>
      </c>
    </row>
    <row r="2801" spans="6:6" ht="15">
      <c r="F2801" s="115">
        <f>+(disponibilidad[[#This Row],[Fecha y hora fin]]-disponibilidad[[#This Row],[Fecha y hora inicio]])*1440</f>
        <v>0</v>
      </c>
    </row>
    <row r="2802" spans="6:6" ht="15">
      <c r="F2802" s="115">
        <f>+(disponibilidad[[#This Row],[Fecha y hora fin]]-disponibilidad[[#This Row],[Fecha y hora inicio]])*1440</f>
        <v>0</v>
      </c>
    </row>
    <row r="2803" spans="6:6" ht="15">
      <c r="F2803" s="115">
        <f>+(disponibilidad[[#This Row],[Fecha y hora fin]]-disponibilidad[[#This Row],[Fecha y hora inicio]])*1440</f>
        <v>0</v>
      </c>
    </row>
    <row r="2804" spans="6:6" ht="15">
      <c r="F2804" s="115">
        <f>+(disponibilidad[[#This Row],[Fecha y hora fin]]-disponibilidad[[#This Row],[Fecha y hora inicio]])*1440</f>
        <v>0</v>
      </c>
    </row>
    <row r="2805" spans="6:6" ht="15">
      <c r="F2805" s="115">
        <f>+(disponibilidad[[#This Row],[Fecha y hora fin]]-disponibilidad[[#This Row],[Fecha y hora inicio]])*1440</f>
        <v>0</v>
      </c>
    </row>
    <row r="2806" spans="6:6" ht="15">
      <c r="F2806" s="115">
        <f>+(disponibilidad[[#This Row],[Fecha y hora fin]]-disponibilidad[[#This Row],[Fecha y hora inicio]])*1440</f>
        <v>0</v>
      </c>
    </row>
    <row r="2807" spans="6:6" ht="15">
      <c r="F2807" s="115">
        <f>+(disponibilidad[[#This Row],[Fecha y hora fin]]-disponibilidad[[#This Row],[Fecha y hora inicio]])*1440</f>
        <v>0</v>
      </c>
    </row>
    <row r="2808" spans="6:6" ht="15">
      <c r="F2808" s="115">
        <f>+(disponibilidad[[#This Row],[Fecha y hora fin]]-disponibilidad[[#This Row],[Fecha y hora inicio]])*1440</f>
        <v>0</v>
      </c>
    </row>
    <row r="2809" spans="6:6" ht="15">
      <c r="F2809" s="115">
        <f>+(disponibilidad[[#This Row],[Fecha y hora fin]]-disponibilidad[[#This Row],[Fecha y hora inicio]])*1440</f>
        <v>0</v>
      </c>
    </row>
    <row r="2810" spans="6:6" ht="15">
      <c r="F2810" s="115">
        <f>+(disponibilidad[[#This Row],[Fecha y hora fin]]-disponibilidad[[#This Row],[Fecha y hora inicio]])*1440</f>
        <v>0</v>
      </c>
    </row>
    <row r="2811" spans="6:6" ht="15">
      <c r="F2811" s="115">
        <f>+(disponibilidad[[#This Row],[Fecha y hora fin]]-disponibilidad[[#This Row],[Fecha y hora inicio]])*1440</f>
        <v>0</v>
      </c>
    </row>
    <row r="2812" spans="6:6" ht="15">
      <c r="F2812" s="115">
        <f>+(disponibilidad[[#This Row],[Fecha y hora fin]]-disponibilidad[[#This Row],[Fecha y hora inicio]])*1440</f>
        <v>0</v>
      </c>
    </row>
    <row r="2813" spans="6:6" ht="15">
      <c r="F2813" s="115">
        <f>+(disponibilidad[[#This Row],[Fecha y hora fin]]-disponibilidad[[#This Row],[Fecha y hora inicio]])*1440</f>
        <v>0</v>
      </c>
    </row>
    <row r="2814" spans="6:6" ht="15">
      <c r="F2814" s="115">
        <f>+(disponibilidad[[#This Row],[Fecha y hora fin]]-disponibilidad[[#This Row],[Fecha y hora inicio]])*1440</f>
        <v>0</v>
      </c>
    </row>
    <row r="2815" spans="6:6" ht="15">
      <c r="F2815" s="115">
        <f>+(disponibilidad[[#This Row],[Fecha y hora fin]]-disponibilidad[[#This Row],[Fecha y hora inicio]])*1440</f>
        <v>0</v>
      </c>
    </row>
    <row r="2816" spans="6:6" ht="15">
      <c r="F2816" s="115">
        <f>+(disponibilidad[[#This Row],[Fecha y hora fin]]-disponibilidad[[#This Row],[Fecha y hora inicio]])*1440</f>
        <v>0</v>
      </c>
    </row>
    <row r="2817" spans="6:6" ht="15">
      <c r="F2817" s="115">
        <f>+(disponibilidad[[#This Row],[Fecha y hora fin]]-disponibilidad[[#This Row],[Fecha y hora inicio]])*1440</f>
        <v>0</v>
      </c>
    </row>
    <row r="2818" spans="6:6" ht="15">
      <c r="F2818" s="115">
        <f>+(disponibilidad[[#This Row],[Fecha y hora fin]]-disponibilidad[[#This Row],[Fecha y hora inicio]])*1440</f>
        <v>0</v>
      </c>
    </row>
    <row r="2819" spans="6:6" ht="15">
      <c r="F2819" s="115">
        <f>+(disponibilidad[[#This Row],[Fecha y hora fin]]-disponibilidad[[#This Row],[Fecha y hora inicio]])*1440</f>
        <v>0</v>
      </c>
    </row>
    <row r="2820" spans="6:6" ht="15">
      <c r="F2820" s="115">
        <f>+(disponibilidad[[#This Row],[Fecha y hora fin]]-disponibilidad[[#This Row],[Fecha y hora inicio]])*1440</f>
        <v>0</v>
      </c>
    </row>
    <row r="2821" spans="6:6" ht="15">
      <c r="F2821" s="115">
        <f>+(disponibilidad[[#This Row],[Fecha y hora fin]]-disponibilidad[[#This Row],[Fecha y hora inicio]])*1440</f>
        <v>0</v>
      </c>
    </row>
    <row r="2822" spans="6:6" ht="15">
      <c r="F2822" s="115">
        <f>+(disponibilidad[[#This Row],[Fecha y hora fin]]-disponibilidad[[#This Row],[Fecha y hora inicio]])*1440</f>
        <v>0</v>
      </c>
    </row>
    <row r="2823" spans="6:6" ht="15">
      <c r="F2823" s="115">
        <f>+(disponibilidad[[#This Row],[Fecha y hora fin]]-disponibilidad[[#This Row],[Fecha y hora inicio]])*1440</f>
        <v>0</v>
      </c>
    </row>
    <row r="2824" spans="6:6" ht="15">
      <c r="F2824" s="115">
        <f>+(disponibilidad[[#This Row],[Fecha y hora fin]]-disponibilidad[[#This Row],[Fecha y hora inicio]])*1440</f>
        <v>0</v>
      </c>
    </row>
    <row r="2825" spans="6:6" ht="15">
      <c r="F2825" s="115">
        <f>+(disponibilidad[[#This Row],[Fecha y hora fin]]-disponibilidad[[#This Row],[Fecha y hora inicio]])*1440</f>
        <v>0</v>
      </c>
    </row>
    <row r="2826" spans="6:6" ht="15">
      <c r="F2826" s="115">
        <f>+(disponibilidad[[#This Row],[Fecha y hora fin]]-disponibilidad[[#This Row],[Fecha y hora inicio]])*1440</f>
        <v>0</v>
      </c>
    </row>
    <row r="2827" spans="6:6" ht="15">
      <c r="F2827" s="115">
        <f>+(disponibilidad[[#This Row],[Fecha y hora fin]]-disponibilidad[[#This Row],[Fecha y hora inicio]])*1440</f>
        <v>0</v>
      </c>
    </row>
    <row r="2828" spans="6:6" ht="15">
      <c r="F2828" s="115">
        <f>+(disponibilidad[[#This Row],[Fecha y hora fin]]-disponibilidad[[#This Row],[Fecha y hora inicio]])*1440</f>
        <v>0</v>
      </c>
    </row>
    <row r="2829" spans="6:6" ht="15">
      <c r="F2829" s="115">
        <f>+(disponibilidad[[#This Row],[Fecha y hora fin]]-disponibilidad[[#This Row],[Fecha y hora inicio]])*1440</f>
        <v>0</v>
      </c>
    </row>
    <row r="2830" spans="6:6" ht="15">
      <c r="F2830" s="115">
        <f>+(disponibilidad[[#This Row],[Fecha y hora fin]]-disponibilidad[[#This Row],[Fecha y hora inicio]])*1440</f>
        <v>0</v>
      </c>
    </row>
    <row r="2831" spans="6:6" ht="15">
      <c r="F2831" s="115">
        <f>+(disponibilidad[[#This Row],[Fecha y hora fin]]-disponibilidad[[#This Row],[Fecha y hora inicio]])*1440</f>
        <v>0</v>
      </c>
    </row>
    <row r="2832" spans="6:6" ht="15">
      <c r="F2832" s="115">
        <f>+(disponibilidad[[#This Row],[Fecha y hora fin]]-disponibilidad[[#This Row],[Fecha y hora inicio]])*1440</f>
        <v>0</v>
      </c>
    </row>
    <row r="2833" spans="6:6" ht="15">
      <c r="F2833" s="115">
        <f>+(disponibilidad[[#This Row],[Fecha y hora fin]]-disponibilidad[[#This Row],[Fecha y hora inicio]])*1440</f>
        <v>0</v>
      </c>
    </row>
    <row r="2834" spans="6:6" ht="15">
      <c r="F2834" s="115">
        <f>+(disponibilidad[[#This Row],[Fecha y hora fin]]-disponibilidad[[#This Row],[Fecha y hora inicio]])*1440</f>
        <v>0</v>
      </c>
    </row>
    <row r="2835" spans="6:6" ht="15">
      <c r="F2835" s="115">
        <f>+(disponibilidad[[#This Row],[Fecha y hora fin]]-disponibilidad[[#This Row],[Fecha y hora inicio]])*1440</f>
        <v>0</v>
      </c>
    </row>
    <row r="2836" spans="6:6" ht="15">
      <c r="F2836" s="115">
        <f>+(disponibilidad[[#This Row],[Fecha y hora fin]]-disponibilidad[[#This Row],[Fecha y hora inicio]])*1440</f>
        <v>0</v>
      </c>
    </row>
    <row r="2837" spans="6:6" ht="15">
      <c r="F2837" s="115">
        <f>+(disponibilidad[[#This Row],[Fecha y hora fin]]-disponibilidad[[#This Row],[Fecha y hora inicio]])*1440</f>
        <v>0</v>
      </c>
    </row>
    <row r="2838" spans="6:6" ht="15">
      <c r="F2838" s="115">
        <f>+(disponibilidad[[#This Row],[Fecha y hora fin]]-disponibilidad[[#This Row],[Fecha y hora inicio]])*1440</f>
        <v>0</v>
      </c>
    </row>
    <row r="2839" spans="6:6" ht="15">
      <c r="F2839" s="115">
        <f>+(disponibilidad[[#This Row],[Fecha y hora fin]]-disponibilidad[[#This Row],[Fecha y hora inicio]])*1440</f>
        <v>0</v>
      </c>
    </row>
    <row r="2840" spans="6:6" ht="15">
      <c r="F2840" s="115">
        <f>+(disponibilidad[[#This Row],[Fecha y hora fin]]-disponibilidad[[#This Row],[Fecha y hora inicio]])*1440</f>
        <v>0</v>
      </c>
    </row>
    <row r="2841" spans="6:6" ht="15">
      <c r="F2841" s="115">
        <f>+(disponibilidad[[#This Row],[Fecha y hora fin]]-disponibilidad[[#This Row],[Fecha y hora inicio]])*1440</f>
        <v>0</v>
      </c>
    </row>
    <row r="2842" spans="6:6" ht="15">
      <c r="F2842" s="115">
        <f>+(disponibilidad[[#This Row],[Fecha y hora fin]]-disponibilidad[[#This Row],[Fecha y hora inicio]])*1440</f>
        <v>0</v>
      </c>
    </row>
    <row r="2843" spans="6:6" ht="15">
      <c r="F2843" s="115">
        <f>+(disponibilidad[[#This Row],[Fecha y hora fin]]-disponibilidad[[#This Row],[Fecha y hora inicio]])*1440</f>
        <v>0</v>
      </c>
    </row>
    <row r="2844" spans="6:6" ht="15">
      <c r="F2844" s="115">
        <f>+(disponibilidad[[#This Row],[Fecha y hora fin]]-disponibilidad[[#This Row],[Fecha y hora inicio]])*1440</f>
        <v>0</v>
      </c>
    </row>
    <row r="2845" spans="6:6" ht="15">
      <c r="F2845" s="115">
        <f>+(disponibilidad[[#This Row],[Fecha y hora fin]]-disponibilidad[[#This Row],[Fecha y hora inicio]])*1440</f>
        <v>0</v>
      </c>
    </row>
    <row r="2846" spans="6:6" ht="15">
      <c r="F2846" s="115">
        <f>+(disponibilidad[[#This Row],[Fecha y hora fin]]-disponibilidad[[#This Row],[Fecha y hora inicio]])*1440</f>
        <v>0</v>
      </c>
    </row>
    <row r="2847" spans="6:6" ht="15">
      <c r="F2847" s="115">
        <f>+(disponibilidad[[#This Row],[Fecha y hora fin]]-disponibilidad[[#This Row],[Fecha y hora inicio]])*1440</f>
        <v>0</v>
      </c>
    </row>
    <row r="2848" spans="6:6" ht="15">
      <c r="F2848" s="115">
        <f>+(disponibilidad[[#This Row],[Fecha y hora fin]]-disponibilidad[[#This Row],[Fecha y hora inicio]])*1440</f>
        <v>0</v>
      </c>
    </row>
    <row r="2849" spans="6:6" ht="15">
      <c r="F2849" s="115">
        <f>+(disponibilidad[[#This Row],[Fecha y hora fin]]-disponibilidad[[#This Row],[Fecha y hora inicio]])*1440</f>
        <v>0</v>
      </c>
    </row>
    <row r="2850" spans="6:6" ht="15">
      <c r="F2850" s="115">
        <f>+(disponibilidad[[#This Row],[Fecha y hora fin]]-disponibilidad[[#This Row],[Fecha y hora inicio]])*1440</f>
        <v>0</v>
      </c>
    </row>
    <row r="2851" spans="6:6" ht="15">
      <c r="F2851" s="115">
        <f>+(disponibilidad[[#This Row],[Fecha y hora fin]]-disponibilidad[[#This Row],[Fecha y hora inicio]])*1440</f>
        <v>0</v>
      </c>
    </row>
    <row r="2852" spans="6:6" ht="15">
      <c r="F2852" s="115">
        <f>+(disponibilidad[[#This Row],[Fecha y hora fin]]-disponibilidad[[#This Row],[Fecha y hora inicio]])*1440</f>
        <v>0</v>
      </c>
    </row>
    <row r="2853" spans="6:6" ht="15">
      <c r="F2853" s="115">
        <f>+(disponibilidad[[#This Row],[Fecha y hora fin]]-disponibilidad[[#This Row],[Fecha y hora inicio]])*1440</f>
        <v>0</v>
      </c>
    </row>
    <row r="2854" spans="6:6" ht="15">
      <c r="F2854" s="115">
        <f>+(disponibilidad[[#This Row],[Fecha y hora fin]]-disponibilidad[[#This Row],[Fecha y hora inicio]])*1440</f>
        <v>0</v>
      </c>
    </row>
    <row r="2855" spans="6:6" ht="15">
      <c r="F2855" s="115">
        <f>+(disponibilidad[[#This Row],[Fecha y hora fin]]-disponibilidad[[#This Row],[Fecha y hora inicio]])*1440</f>
        <v>0</v>
      </c>
    </row>
    <row r="2856" spans="6:6" ht="15">
      <c r="F2856" s="115">
        <f>+(disponibilidad[[#This Row],[Fecha y hora fin]]-disponibilidad[[#This Row],[Fecha y hora inicio]])*1440</f>
        <v>0</v>
      </c>
    </row>
    <row r="2857" spans="6:6" ht="15">
      <c r="F2857" s="115">
        <f>+(disponibilidad[[#This Row],[Fecha y hora fin]]-disponibilidad[[#This Row],[Fecha y hora inicio]])*1440</f>
        <v>0</v>
      </c>
    </row>
    <row r="2858" spans="6:6" ht="15">
      <c r="F2858" s="115">
        <f>+(disponibilidad[[#This Row],[Fecha y hora fin]]-disponibilidad[[#This Row],[Fecha y hora inicio]])*1440</f>
        <v>0</v>
      </c>
    </row>
    <row r="2859" spans="6:6" ht="15">
      <c r="F2859" s="115">
        <f>+(disponibilidad[[#This Row],[Fecha y hora fin]]-disponibilidad[[#This Row],[Fecha y hora inicio]])*1440</f>
        <v>0</v>
      </c>
    </row>
    <row r="2860" spans="6:6" ht="15">
      <c r="F2860" s="115">
        <f>+(disponibilidad[[#This Row],[Fecha y hora fin]]-disponibilidad[[#This Row],[Fecha y hora inicio]])*1440</f>
        <v>0</v>
      </c>
    </row>
    <row r="2861" spans="6:6" ht="15">
      <c r="F2861" s="115">
        <f>+(disponibilidad[[#This Row],[Fecha y hora fin]]-disponibilidad[[#This Row],[Fecha y hora inicio]])*1440</f>
        <v>0</v>
      </c>
    </row>
    <row r="2862" spans="6:6" ht="15">
      <c r="F2862" s="115">
        <f>+(disponibilidad[[#This Row],[Fecha y hora fin]]-disponibilidad[[#This Row],[Fecha y hora inicio]])*1440</f>
        <v>0</v>
      </c>
    </row>
    <row r="2863" spans="6:6" ht="15">
      <c r="F2863" s="115">
        <f>+(disponibilidad[[#This Row],[Fecha y hora fin]]-disponibilidad[[#This Row],[Fecha y hora inicio]])*1440</f>
        <v>0</v>
      </c>
    </row>
    <row r="2864" spans="6:6" ht="15">
      <c r="F2864" s="115">
        <f>+(disponibilidad[[#This Row],[Fecha y hora fin]]-disponibilidad[[#This Row],[Fecha y hora inicio]])*1440</f>
        <v>0</v>
      </c>
    </row>
    <row r="2865" spans="6:6" ht="15">
      <c r="F2865" s="115">
        <f>+(disponibilidad[[#This Row],[Fecha y hora fin]]-disponibilidad[[#This Row],[Fecha y hora inicio]])*1440</f>
        <v>0</v>
      </c>
    </row>
    <row r="2866" spans="6:6" ht="15">
      <c r="F2866" s="115">
        <f>+(disponibilidad[[#This Row],[Fecha y hora fin]]-disponibilidad[[#This Row],[Fecha y hora inicio]])*1440</f>
        <v>0</v>
      </c>
    </row>
    <row r="2867" spans="6:6" ht="15">
      <c r="F2867" s="115">
        <f>+(disponibilidad[[#This Row],[Fecha y hora fin]]-disponibilidad[[#This Row],[Fecha y hora inicio]])*1440</f>
        <v>0</v>
      </c>
    </row>
    <row r="2868" spans="6:6" ht="15">
      <c r="F2868" s="115">
        <f>+(disponibilidad[[#This Row],[Fecha y hora fin]]-disponibilidad[[#This Row],[Fecha y hora inicio]])*1440</f>
        <v>0</v>
      </c>
    </row>
    <row r="2869" spans="6:6" ht="15">
      <c r="F2869" s="115">
        <f>+(disponibilidad[[#This Row],[Fecha y hora fin]]-disponibilidad[[#This Row],[Fecha y hora inicio]])*1440</f>
        <v>0</v>
      </c>
    </row>
    <row r="2870" spans="6:6" ht="15">
      <c r="F2870" s="115">
        <f>+(disponibilidad[[#This Row],[Fecha y hora fin]]-disponibilidad[[#This Row],[Fecha y hora inicio]])*1440</f>
        <v>0</v>
      </c>
    </row>
    <row r="2871" spans="6:6" ht="15">
      <c r="F2871" s="115">
        <f>+(disponibilidad[[#This Row],[Fecha y hora fin]]-disponibilidad[[#This Row],[Fecha y hora inicio]])*1440</f>
        <v>0</v>
      </c>
    </row>
    <row r="2872" spans="6:6" ht="15">
      <c r="F2872" s="115">
        <f>+(disponibilidad[[#This Row],[Fecha y hora fin]]-disponibilidad[[#This Row],[Fecha y hora inicio]])*1440</f>
        <v>0</v>
      </c>
    </row>
    <row r="2873" spans="6:6" ht="15">
      <c r="F2873" s="115">
        <f>+(disponibilidad[[#This Row],[Fecha y hora fin]]-disponibilidad[[#This Row],[Fecha y hora inicio]])*1440</f>
        <v>0</v>
      </c>
    </row>
    <row r="2874" spans="6:6" ht="15">
      <c r="F2874" s="115">
        <f>+(disponibilidad[[#This Row],[Fecha y hora fin]]-disponibilidad[[#This Row],[Fecha y hora inicio]])*1440</f>
        <v>0</v>
      </c>
    </row>
    <row r="2875" spans="6:6" ht="15">
      <c r="F2875" s="115">
        <f>+(disponibilidad[[#This Row],[Fecha y hora fin]]-disponibilidad[[#This Row],[Fecha y hora inicio]])*1440</f>
        <v>0</v>
      </c>
    </row>
    <row r="2876" spans="6:6" ht="15">
      <c r="F2876" s="115">
        <f>+(disponibilidad[[#This Row],[Fecha y hora fin]]-disponibilidad[[#This Row],[Fecha y hora inicio]])*1440</f>
        <v>0</v>
      </c>
    </row>
    <row r="2877" spans="6:6" ht="15">
      <c r="F2877" s="115">
        <f>+(disponibilidad[[#This Row],[Fecha y hora fin]]-disponibilidad[[#This Row],[Fecha y hora inicio]])*1440</f>
        <v>0</v>
      </c>
    </row>
    <row r="2878" spans="6:6" ht="15">
      <c r="F2878" s="115">
        <f>+(disponibilidad[[#This Row],[Fecha y hora fin]]-disponibilidad[[#This Row],[Fecha y hora inicio]])*1440</f>
        <v>0</v>
      </c>
    </row>
    <row r="2879" spans="6:6" ht="15">
      <c r="F2879" s="115">
        <f>+(disponibilidad[[#This Row],[Fecha y hora fin]]-disponibilidad[[#This Row],[Fecha y hora inicio]])*1440</f>
        <v>0</v>
      </c>
    </row>
    <row r="2880" spans="6:6" ht="15">
      <c r="F2880" s="115">
        <f>+(disponibilidad[[#This Row],[Fecha y hora fin]]-disponibilidad[[#This Row],[Fecha y hora inicio]])*1440</f>
        <v>0</v>
      </c>
    </row>
    <row r="2881" spans="6:6" ht="15">
      <c r="F2881" s="115">
        <f>+(disponibilidad[[#This Row],[Fecha y hora fin]]-disponibilidad[[#This Row],[Fecha y hora inicio]])*1440</f>
        <v>0</v>
      </c>
    </row>
    <row r="2882" spans="6:6" ht="15">
      <c r="F2882" s="115">
        <f>+(disponibilidad[[#This Row],[Fecha y hora fin]]-disponibilidad[[#This Row],[Fecha y hora inicio]])*1440</f>
        <v>0</v>
      </c>
    </row>
    <row r="2883" spans="6:6" ht="15">
      <c r="F2883" s="115">
        <f>+(disponibilidad[[#This Row],[Fecha y hora fin]]-disponibilidad[[#This Row],[Fecha y hora inicio]])*1440</f>
        <v>0</v>
      </c>
    </row>
    <row r="2884" spans="6:6" ht="15">
      <c r="F2884" s="115">
        <f>+(disponibilidad[[#This Row],[Fecha y hora fin]]-disponibilidad[[#This Row],[Fecha y hora inicio]])*1440</f>
        <v>0</v>
      </c>
    </row>
    <row r="2885" spans="6:6" ht="15">
      <c r="F2885" s="115">
        <f>+(disponibilidad[[#This Row],[Fecha y hora fin]]-disponibilidad[[#This Row],[Fecha y hora inicio]])*1440</f>
        <v>0</v>
      </c>
    </row>
    <row r="2886" spans="6:6" ht="15">
      <c r="F2886" s="115">
        <f>+(disponibilidad[[#This Row],[Fecha y hora fin]]-disponibilidad[[#This Row],[Fecha y hora inicio]])*1440</f>
        <v>0</v>
      </c>
    </row>
    <row r="2887" spans="6:6" ht="15">
      <c r="F2887" s="115">
        <f>+(disponibilidad[[#This Row],[Fecha y hora fin]]-disponibilidad[[#This Row],[Fecha y hora inicio]])*1440</f>
        <v>0</v>
      </c>
    </row>
    <row r="2888" spans="6:6" ht="15">
      <c r="F2888" s="115">
        <f>+(disponibilidad[[#This Row],[Fecha y hora fin]]-disponibilidad[[#This Row],[Fecha y hora inicio]])*1440</f>
        <v>0</v>
      </c>
    </row>
    <row r="2889" spans="6:6" ht="15">
      <c r="F2889" s="115">
        <f>+(disponibilidad[[#This Row],[Fecha y hora fin]]-disponibilidad[[#This Row],[Fecha y hora inicio]])*1440</f>
        <v>0</v>
      </c>
    </row>
    <row r="2890" spans="6:6" ht="15">
      <c r="F2890" s="115">
        <f>+(disponibilidad[[#This Row],[Fecha y hora fin]]-disponibilidad[[#This Row],[Fecha y hora inicio]])*1440</f>
        <v>0</v>
      </c>
    </row>
    <row r="2891" spans="6:6" ht="15">
      <c r="F2891" s="115">
        <f>+(disponibilidad[[#This Row],[Fecha y hora fin]]-disponibilidad[[#This Row],[Fecha y hora inicio]])*1440</f>
        <v>0</v>
      </c>
    </row>
    <row r="2892" spans="6:6" ht="15">
      <c r="F2892" s="115">
        <f>+(disponibilidad[[#This Row],[Fecha y hora fin]]-disponibilidad[[#This Row],[Fecha y hora inicio]])*1440</f>
        <v>0</v>
      </c>
    </row>
    <row r="2893" spans="6:6" ht="15">
      <c r="F2893" s="115">
        <f>+(disponibilidad[[#This Row],[Fecha y hora fin]]-disponibilidad[[#This Row],[Fecha y hora inicio]])*1440</f>
        <v>0</v>
      </c>
    </row>
    <row r="2894" spans="6:6" ht="15">
      <c r="F2894" s="115">
        <f>+(disponibilidad[[#This Row],[Fecha y hora fin]]-disponibilidad[[#This Row],[Fecha y hora inicio]])*1440</f>
        <v>0</v>
      </c>
    </row>
    <row r="2895" spans="6:6" ht="15">
      <c r="F2895" s="115">
        <f>+(disponibilidad[[#This Row],[Fecha y hora fin]]-disponibilidad[[#This Row],[Fecha y hora inicio]])*1440</f>
        <v>0</v>
      </c>
    </row>
    <row r="2896" spans="6:6" ht="15">
      <c r="F2896" s="115">
        <f>+(disponibilidad[[#This Row],[Fecha y hora fin]]-disponibilidad[[#This Row],[Fecha y hora inicio]])*1440</f>
        <v>0</v>
      </c>
    </row>
    <row r="2897" spans="6:6" ht="15">
      <c r="F2897" s="115">
        <f>+(disponibilidad[[#This Row],[Fecha y hora fin]]-disponibilidad[[#This Row],[Fecha y hora inicio]])*1440</f>
        <v>0</v>
      </c>
    </row>
    <row r="2898" spans="6:6" ht="15">
      <c r="F2898" s="115">
        <f>+(disponibilidad[[#This Row],[Fecha y hora fin]]-disponibilidad[[#This Row],[Fecha y hora inicio]])*1440</f>
        <v>0</v>
      </c>
    </row>
    <row r="2899" spans="6:6" ht="15">
      <c r="F2899" s="115">
        <f>+(disponibilidad[[#This Row],[Fecha y hora fin]]-disponibilidad[[#This Row],[Fecha y hora inicio]])*1440</f>
        <v>0</v>
      </c>
    </row>
    <row r="2900" spans="6:6" ht="15">
      <c r="F2900" s="115">
        <f>+(disponibilidad[[#This Row],[Fecha y hora fin]]-disponibilidad[[#This Row],[Fecha y hora inicio]])*1440</f>
        <v>0</v>
      </c>
    </row>
    <row r="2901" spans="6:6" ht="15">
      <c r="F2901" s="115">
        <f>+(disponibilidad[[#This Row],[Fecha y hora fin]]-disponibilidad[[#This Row],[Fecha y hora inicio]])*1440</f>
        <v>0</v>
      </c>
    </row>
    <row r="2902" spans="6:6" ht="15">
      <c r="F2902" s="115">
        <f>+(disponibilidad[[#This Row],[Fecha y hora fin]]-disponibilidad[[#This Row],[Fecha y hora inicio]])*1440</f>
        <v>0</v>
      </c>
    </row>
    <row r="2903" spans="6:6" ht="15">
      <c r="F2903" s="115">
        <f>+(disponibilidad[[#This Row],[Fecha y hora fin]]-disponibilidad[[#This Row],[Fecha y hora inicio]])*1440</f>
        <v>0</v>
      </c>
    </row>
    <row r="2904" spans="6:6" ht="15">
      <c r="F2904" s="115">
        <f>+(disponibilidad[[#This Row],[Fecha y hora fin]]-disponibilidad[[#This Row],[Fecha y hora inicio]])*1440</f>
        <v>0</v>
      </c>
    </row>
    <row r="2905" spans="6:6" ht="15">
      <c r="F2905" s="115">
        <f>+(disponibilidad[[#This Row],[Fecha y hora fin]]-disponibilidad[[#This Row],[Fecha y hora inicio]])*1440</f>
        <v>0</v>
      </c>
    </row>
    <row r="2906" spans="6:6" ht="15">
      <c r="F2906" s="115">
        <f>+(disponibilidad[[#This Row],[Fecha y hora fin]]-disponibilidad[[#This Row],[Fecha y hora inicio]])*1440</f>
        <v>0</v>
      </c>
    </row>
    <row r="2907" spans="6:6" ht="15">
      <c r="F2907" s="115">
        <f>+(disponibilidad[[#This Row],[Fecha y hora fin]]-disponibilidad[[#This Row],[Fecha y hora inicio]])*1440</f>
        <v>0</v>
      </c>
    </row>
    <row r="2908" spans="6:6" ht="15">
      <c r="F2908" s="115">
        <f>+(disponibilidad[[#This Row],[Fecha y hora fin]]-disponibilidad[[#This Row],[Fecha y hora inicio]])*1440</f>
        <v>0</v>
      </c>
    </row>
    <row r="2909" spans="6:6" ht="15">
      <c r="F2909" s="115">
        <f>+(disponibilidad[[#This Row],[Fecha y hora fin]]-disponibilidad[[#This Row],[Fecha y hora inicio]])*1440</f>
        <v>0</v>
      </c>
    </row>
    <row r="2910" spans="6:6" ht="15">
      <c r="F2910" s="115">
        <f>+(disponibilidad[[#This Row],[Fecha y hora fin]]-disponibilidad[[#This Row],[Fecha y hora inicio]])*1440</f>
        <v>0</v>
      </c>
    </row>
    <row r="2911" spans="6:6" ht="15">
      <c r="F2911" s="115">
        <f>+(disponibilidad[[#This Row],[Fecha y hora fin]]-disponibilidad[[#This Row],[Fecha y hora inicio]])*1440</f>
        <v>0</v>
      </c>
    </row>
    <row r="2912" spans="6:6" ht="15">
      <c r="F2912" s="115">
        <f>+(disponibilidad[[#This Row],[Fecha y hora fin]]-disponibilidad[[#This Row],[Fecha y hora inicio]])*1440</f>
        <v>0</v>
      </c>
    </row>
    <row r="2913" spans="6:6" ht="15">
      <c r="F2913" s="115">
        <f>+(disponibilidad[[#This Row],[Fecha y hora fin]]-disponibilidad[[#This Row],[Fecha y hora inicio]])*1440</f>
        <v>0</v>
      </c>
    </row>
    <row r="2914" spans="6:6" ht="15">
      <c r="F2914" s="115">
        <f>+(disponibilidad[[#This Row],[Fecha y hora fin]]-disponibilidad[[#This Row],[Fecha y hora inicio]])*1440</f>
        <v>0</v>
      </c>
    </row>
    <row r="2915" spans="6:6" ht="15">
      <c r="F2915" s="115">
        <f>+(disponibilidad[[#This Row],[Fecha y hora fin]]-disponibilidad[[#This Row],[Fecha y hora inicio]])*1440</f>
        <v>0</v>
      </c>
    </row>
    <row r="2916" spans="6:6" ht="15">
      <c r="F2916" s="115">
        <f>+(disponibilidad[[#This Row],[Fecha y hora fin]]-disponibilidad[[#This Row],[Fecha y hora inicio]])*1440</f>
        <v>0</v>
      </c>
    </row>
    <row r="2917" spans="6:6" ht="15">
      <c r="F2917" s="115">
        <f>+(disponibilidad[[#This Row],[Fecha y hora fin]]-disponibilidad[[#This Row],[Fecha y hora inicio]])*1440</f>
        <v>0</v>
      </c>
    </row>
    <row r="2918" spans="6:6" ht="15">
      <c r="F2918" s="115">
        <f>+(disponibilidad[[#This Row],[Fecha y hora fin]]-disponibilidad[[#This Row],[Fecha y hora inicio]])*1440</f>
        <v>0</v>
      </c>
    </row>
    <row r="2919" spans="6:6" ht="15">
      <c r="F2919" s="115">
        <f>+(disponibilidad[[#This Row],[Fecha y hora fin]]-disponibilidad[[#This Row],[Fecha y hora inicio]])*1440</f>
        <v>0</v>
      </c>
    </row>
    <row r="2920" spans="6:6" ht="15">
      <c r="F2920" s="115">
        <f>+(disponibilidad[[#This Row],[Fecha y hora fin]]-disponibilidad[[#This Row],[Fecha y hora inicio]])*1440</f>
        <v>0</v>
      </c>
    </row>
    <row r="2921" spans="6:6" ht="15">
      <c r="F2921" s="115">
        <f>+(disponibilidad[[#This Row],[Fecha y hora fin]]-disponibilidad[[#This Row],[Fecha y hora inicio]])*1440</f>
        <v>0</v>
      </c>
    </row>
    <row r="2922" spans="6:6" ht="15">
      <c r="F2922" s="115">
        <f>+(disponibilidad[[#This Row],[Fecha y hora fin]]-disponibilidad[[#This Row],[Fecha y hora inicio]])*1440</f>
        <v>0</v>
      </c>
    </row>
    <row r="2923" spans="6:6" ht="15">
      <c r="F2923" s="115">
        <f>+(disponibilidad[[#This Row],[Fecha y hora fin]]-disponibilidad[[#This Row],[Fecha y hora inicio]])*1440</f>
        <v>0</v>
      </c>
    </row>
    <row r="2924" spans="6:6" ht="15">
      <c r="F2924" s="115">
        <f>+(disponibilidad[[#This Row],[Fecha y hora fin]]-disponibilidad[[#This Row],[Fecha y hora inicio]])*1440</f>
        <v>0</v>
      </c>
    </row>
    <row r="2925" spans="6:6" ht="15">
      <c r="F2925" s="115">
        <f>+(disponibilidad[[#This Row],[Fecha y hora fin]]-disponibilidad[[#This Row],[Fecha y hora inicio]])*1440</f>
        <v>0</v>
      </c>
    </row>
    <row r="2926" spans="6:6" ht="15">
      <c r="F2926" s="115">
        <f>+(disponibilidad[[#This Row],[Fecha y hora fin]]-disponibilidad[[#This Row],[Fecha y hora inicio]])*1440</f>
        <v>0</v>
      </c>
    </row>
    <row r="2927" spans="6:6" ht="15">
      <c r="F2927" s="115">
        <f>+(disponibilidad[[#This Row],[Fecha y hora fin]]-disponibilidad[[#This Row],[Fecha y hora inicio]])*1440</f>
        <v>0</v>
      </c>
    </row>
    <row r="2928" spans="6:6" ht="15">
      <c r="F2928" s="115">
        <f>+(disponibilidad[[#This Row],[Fecha y hora fin]]-disponibilidad[[#This Row],[Fecha y hora inicio]])*1440</f>
        <v>0</v>
      </c>
    </row>
    <row r="2929" spans="6:6" ht="15">
      <c r="F2929" s="115">
        <f>+(disponibilidad[[#This Row],[Fecha y hora fin]]-disponibilidad[[#This Row],[Fecha y hora inicio]])*1440</f>
        <v>0</v>
      </c>
    </row>
    <row r="2930" spans="6:6" ht="15">
      <c r="F2930" s="115">
        <f>+(disponibilidad[[#This Row],[Fecha y hora fin]]-disponibilidad[[#This Row],[Fecha y hora inicio]])*1440</f>
        <v>0</v>
      </c>
    </row>
    <row r="2931" spans="6:6" ht="15">
      <c r="F2931" s="115">
        <f>+(disponibilidad[[#This Row],[Fecha y hora fin]]-disponibilidad[[#This Row],[Fecha y hora inicio]])*1440</f>
        <v>0</v>
      </c>
    </row>
    <row r="2932" spans="6:6" ht="15">
      <c r="F2932" s="115">
        <f>+(disponibilidad[[#This Row],[Fecha y hora fin]]-disponibilidad[[#This Row],[Fecha y hora inicio]])*1440</f>
        <v>0</v>
      </c>
    </row>
    <row r="2933" spans="6:6" ht="15">
      <c r="F2933" s="115">
        <f>+(disponibilidad[[#This Row],[Fecha y hora fin]]-disponibilidad[[#This Row],[Fecha y hora inicio]])*1440</f>
        <v>0</v>
      </c>
    </row>
    <row r="2934" spans="6:6" ht="15">
      <c r="F2934" s="115">
        <f>+(disponibilidad[[#This Row],[Fecha y hora fin]]-disponibilidad[[#This Row],[Fecha y hora inicio]])*1440</f>
        <v>0</v>
      </c>
    </row>
    <row r="2935" spans="6:6" ht="15">
      <c r="F2935" s="115">
        <f>+(disponibilidad[[#This Row],[Fecha y hora fin]]-disponibilidad[[#This Row],[Fecha y hora inicio]])*1440</f>
        <v>0</v>
      </c>
    </row>
    <row r="2936" spans="6:6" ht="15">
      <c r="F2936" s="115">
        <f>+(disponibilidad[[#This Row],[Fecha y hora fin]]-disponibilidad[[#This Row],[Fecha y hora inicio]])*1440</f>
        <v>0</v>
      </c>
    </row>
    <row r="2937" spans="6:6" ht="15">
      <c r="F2937" s="115">
        <f>+(disponibilidad[[#This Row],[Fecha y hora fin]]-disponibilidad[[#This Row],[Fecha y hora inicio]])*1440</f>
        <v>0</v>
      </c>
    </row>
    <row r="2938" spans="6:6" ht="15">
      <c r="F2938" s="115">
        <f>+(disponibilidad[[#This Row],[Fecha y hora fin]]-disponibilidad[[#This Row],[Fecha y hora inicio]])*1440</f>
        <v>0</v>
      </c>
    </row>
    <row r="2939" spans="6:6" ht="15">
      <c r="F2939" s="115">
        <f>+(disponibilidad[[#This Row],[Fecha y hora fin]]-disponibilidad[[#This Row],[Fecha y hora inicio]])*1440</f>
        <v>0</v>
      </c>
    </row>
    <row r="2940" spans="6:6" ht="15">
      <c r="F2940" s="115">
        <f>+(disponibilidad[[#This Row],[Fecha y hora fin]]-disponibilidad[[#This Row],[Fecha y hora inicio]])*1440</f>
        <v>0</v>
      </c>
    </row>
    <row r="2941" spans="6:6" ht="15">
      <c r="F2941" s="115">
        <f>+(disponibilidad[[#This Row],[Fecha y hora fin]]-disponibilidad[[#This Row],[Fecha y hora inicio]])*1440</f>
        <v>0</v>
      </c>
    </row>
    <row r="2942" spans="6:6" ht="15">
      <c r="F2942" s="115">
        <f>+(disponibilidad[[#This Row],[Fecha y hora fin]]-disponibilidad[[#This Row],[Fecha y hora inicio]])*1440</f>
        <v>0</v>
      </c>
    </row>
    <row r="2943" spans="6:6" ht="15">
      <c r="F2943" s="115">
        <f>+(disponibilidad[[#This Row],[Fecha y hora fin]]-disponibilidad[[#This Row],[Fecha y hora inicio]])*1440</f>
        <v>0</v>
      </c>
    </row>
    <row r="2944" spans="6:6" ht="15">
      <c r="F2944" s="115">
        <f>+(disponibilidad[[#This Row],[Fecha y hora fin]]-disponibilidad[[#This Row],[Fecha y hora inicio]])*1440</f>
        <v>0</v>
      </c>
    </row>
    <row r="2945" spans="6:6" ht="15">
      <c r="F2945" s="115">
        <f>+(disponibilidad[[#This Row],[Fecha y hora fin]]-disponibilidad[[#This Row],[Fecha y hora inicio]])*1440</f>
        <v>0</v>
      </c>
    </row>
    <row r="2946" spans="6:6" ht="15">
      <c r="F2946" s="115">
        <f>+(disponibilidad[[#This Row],[Fecha y hora fin]]-disponibilidad[[#This Row],[Fecha y hora inicio]])*1440</f>
        <v>0</v>
      </c>
    </row>
    <row r="2947" spans="6:6" ht="15">
      <c r="F2947" s="115">
        <f>+(disponibilidad[[#This Row],[Fecha y hora fin]]-disponibilidad[[#This Row],[Fecha y hora inicio]])*1440</f>
        <v>0</v>
      </c>
    </row>
    <row r="2948" spans="6:6" ht="15">
      <c r="F2948" s="115">
        <f>+(disponibilidad[[#This Row],[Fecha y hora fin]]-disponibilidad[[#This Row],[Fecha y hora inicio]])*1440</f>
        <v>0</v>
      </c>
    </row>
    <row r="2949" spans="6:6" ht="15">
      <c r="F2949" s="115">
        <f>+(disponibilidad[[#This Row],[Fecha y hora fin]]-disponibilidad[[#This Row],[Fecha y hora inicio]])*1440</f>
        <v>0</v>
      </c>
    </row>
    <row r="2950" spans="6:6" ht="15">
      <c r="F2950" s="115">
        <f>+(disponibilidad[[#This Row],[Fecha y hora fin]]-disponibilidad[[#This Row],[Fecha y hora inicio]])*1440</f>
        <v>0</v>
      </c>
    </row>
    <row r="2951" spans="6:6" ht="15">
      <c r="F2951" s="115">
        <f>+(disponibilidad[[#This Row],[Fecha y hora fin]]-disponibilidad[[#This Row],[Fecha y hora inicio]])*1440</f>
        <v>0</v>
      </c>
    </row>
    <row r="2952" spans="6:6" ht="15">
      <c r="F2952" s="115">
        <f>+(disponibilidad[[#This Row],[Fecha y hora fin]]-disponibilidad[[#This Row],[Fecha y hora inicio]])*1440</f>
        <v>0</v>
      </c>
    </row>
    <row r="2953" spans="6:6" ht="15">
      <c r="F2953" s="115">
        <f>+(disponibilidad[[#This Row],[Fecha y hora fin]]-disponibilidad[[#This Row],[Fecha y hora inicio]])*1440</f>
        <v>0</v>
      </c>
    </row>
    <row r="2954" spans="6:6" ht="15">
      <c r="F2954" s="115">
        <f>+(disponibilidad[[#This Row],[Fecha y hora fin]]-disponibilidad[[#This Row],[Fecha y hora inicio]])*1440</f>
        <v>0</v>
      </c>
    </row>
    <row r="2955" spans="6:6" ht="15">
      <c r="F2955" s="115">
        <f>+(disponibilidad[[#This Row],[Fecha y hora fin]]-disponibilidad[[#This Row],[Fecha y hora inicio]])*1440</f>
        <v>0</v>
      </c>
    </row>
    <row r="2956" spans="6:6" ht="15">
      <c r="F2956" s="115">
        <f>+(disponibilidad[[#This Row],[Fecha y hora fin]]-disponibilidad[[#This Row],[Fecha y hora inicio]])*1440</f>
        <v>0</v>
      </c>
    </row>
    <row r="2957" spans="6:6" ht="15">
      <c r="F2957" s="115">
        <f>+(disponibilidad[[#This Row],[Fecha y hora fin]]-disponibilidad[[#This Row],[Fecha y hora inicio]])*1440</f>
        <v>0</v>
      </c>
    </row>
    <row r="2958" spans="6:6" ht="15">
      <c r="F2958" s="115">
        <f>+(disponibilidad[[#This Row],[Fecha y hora fin]]-disponibilidad[[#This Row],[Fecha y hora inicio]])*1440</f>
        <v>0</v>
      </c>
    </row>
    <row r="2959" spans="6:6" ht="15">
      <c r="F2959" s="115">
        <f>+(disponibilidad[[#This Row],[Fecha y hora fin]]-disponibilidad[[#This Row],[Fecha y hora inicio]])*1440</f>
        <v>0</v>
      </c>
    </row>
    <row r="2960" spans="6:6" ht="15">
      <c r="F2960" s="115">
        <f>+(disponibilidad[[#This Row],[Fecha y hora fin]]-disponibilidad[[#This Row],[Fecha y hora inicio]])*1440</f>
        <v>0</v>
      </c>
    </row>
    <row r="2961" spans="6:6" ht="15">
      <c r="F2961" s="115">
        <f>+(disponibilidad[[#This Row],[Fecha y hora fin]]-disponibilidad[[#This Row],[Fecha y hora inicio]])*1440</f>
        <v>0</v>
      </c>
    </row>
    <row r="2962" spans="6:6" ht="15">
      <c r="F2962" s="115">
        <f>+(disponibilidad[[#This Row],[Fecha y hora fin]]-disponibilidad[[#This Row],[Fecha y hora inicio]])*1440</f>
        <v>0</v>
      </c>
    </row>
    <row r="2963" spans="6:6" ht="15">
      <c r="F2963" s="115">
        <f>+(disponibilidad[[#This Row],[Fecha y hora fin]]-disponibilidad[[#This Row],[Fecha y hora inicio]])*1440</f>
        <v>0</v>
      </c>
    </row>
    <row r="2964" spans="6:6" ht="15">
      <c r="F2964" s="115">
        <f>+(disponibilidad[[#This Row],[Fecha y hora fin]]-disponibilidad[[#This Row],[Fecha y hora inicio]])*1440</f>
        <v>0</v>
      </c>
    </row>
    <row r="2965" spans="6:6" ht="15">
      <c r="F2965" s="115">
        <f>+(disponibilidad[[#This Row],[Fecha y hora fin]]-disponibilidad[[#This Row],[Fecha y hora inicio]])*1440</f>
        <v>0</v>
      </c>
    </row>
    <row r="2966" spans="6:6" ht="15">
      <c r="F2966" s="115">
        <f>+(disponibilidad[[#This Row],[Fecha y hora fin]]-disponibilidad[[#This Row],[Fecha y hora inicio]])*1440</f>
        <v>0</v>
      </c>
    </row>
    <row r="2967" spans="6:6" ht="15">
      <c r="F2967" s="115">
        <f>+(disponibilidad[[#This Row],[Fecha y hora fin]]-disponibilidad[[#This Row],[Fecha y hora inicio]])*1440</f>
        <v>0</v>
      </c>
    </row>
    <row r="2968" spans="6:6" ht="15">
      <c r="F2968" s="115">
        <f>+(disponibilidad[[#This Row],[Fecha y hora fin]]-disponibilidad[[#This Row],[Fecha y hora inicio]])*1440</f>
        <v>0</v>
      </c>
    </row>
    <row r="2969" spans="6:6" ht="15">
      <c r="F2969" s="115">
        <f>+(disponibilidad[[#This Row],[Fecha y hora fin]]-disponibilidad[[#This Row],[Fecha y hora inicio]])*1440</f>
        <v>0</v>
      </c>
    </row>
    <row r="2970" spans="6:6" ht="15">
      <c r="F2970" s="115">
        <f>+(disponibilidad[[#This Row],[Fecha y hora fin]]-disponibilidad[[#This Row],[Fecha y hora inicio]])*1440</f>
        <v>0</v>
      </c>
    </row>
    <row r="2971" spans="6:6" ht="15">
      <c r="F2971" s="115">
        <f>+(disponibilidad[[#This Row],[Fecha y hora fin]]-disponibilidad[[#This Row],[Fecha y hora inicio]])*1440</f>
        <v>0</v>
      </c>
    </row>
    <row r="2972" spans="6:6" ht="15">
      <c r="F2972" s="115">
        <f>+(disponibilidad[[#This Row],[Fecha y hora fin]]-disponibilidad[[#This Row],[Fecha y hora inicio]])*1440</f>
        <v>0</v>
      </c>
    </row>
    <row r="2973" spans="6:6" ht="15">
      <c r="F2973" s="115">
        <f>+(disponibilidad[[#This Row],[Fecha y hora fin]]-disponibilidad[[#This Row],[Fecha y hora inicio]])*1440</f>
        <v>0</v>
      </c>
    </row>
    <row r="2974" spans="6:6" ht="15">
      <c r="F2974" s="115">
        <f>+(disponibilidad[[#This Row],[Fecha y hora fin]]-disponibilidad[[#This Row],[Fecha y hora inicio]])*1440</f>
        <v>0</v>
      </c>
    </row>
    <row r="2975" spans="6:6" ht="15">
      <c r="F2975" s="115">
        <f>+(disponibilidad[[#This Row],[Fecha y hora fin]]-disponibilidad[[#This Row],[Fecha y hora inicio]])*1440</f>
        <v>0</v>
      </c>
    </row>
    <row r="2976" spans="6:6" ht="15">
      <c r="F2976" s="115">
        <f>+(disponibilidad[[#This Row],[Fecha y hora fin]]-disponibilidad[[#This Row],[Fecha y hora inicio]])*1440</f>
        <v>0</v>
      </c>
    </row>
    <row r="2977" spans="6:6" ht="15">
      <c r="F2977" s="115">
        <f>+(disponibilidad[[#This Row],[Fecha y hora fin]]-disponibilidad[[#This Row],[Fecha y hora inicio]])*1440</f>
        <v>0</v>
      </c>
    </row>
    <row r="2978" spans="6:6" ht="15">
      <c r="F2978" s="115">
        <f>+(disponibilidad[[#This Row],[Fecha y hora fin]]-disponibilidad[[#This Row],[Fecha y hora inicio]])*1440</f>
        <v>0</v>
      </c>
    </row>
    <row r="2979" spans="6:6" ht="15">
      <c r="F2979" s="115">
        <f>+(disponibilidad[[#This Row],[Fecha y hora fin]]-disponibilidad[[#This Row],[Fecha y hora inicio]])*1440</f>
        <v>0</v>
      </c>
    </row>
    <row r="2980" spans="6:6" ht="15">
      <c r="F2980" s="115">
        <f>+(disponibilidad[[#This Row],[Fecha y hora fin]]-disponibilidad[[#This Row],[Fecha y hora inicio]])*1440</f>
        <v>0</v>
      </c>
    </row>
    <row r="2981" spans="6:6" ht="15">
      <c r="F2981" s="115">
        <f>+(disponibilidad[[#This Row],[Fecha y hora fin]]-disponibilidad[[#This Row],[Fecha y hora inicio]])*1440</f>
        <v>0</v>
      </c>
    </row>
    <row r="2982" spans="6:6" ht="15">
      <c r="F2982" s="115">
        <f>+(disponibilidad[[#This Row],[Fecha y hora fin]]-disponibilidad[[#This Row],[Fecha y hora inicio]])*1440</f>
        <v>0</v>
      </c>
    </row>
    <row r="2983" spans="6:6" ht="15">
      <c r="F2983" s="115">
        <f>+(disponibilidad[[#This Row],[Fecha y hora fin]]-disponibilidad[[#This Row],[Fecha y hora inicio]])*1440</f>
        <v>0</v>
      </c>
    </row>
    <row r="2984" spans="6:6" ht="15">
      <c r="F2984" s="115">
        <f>+(disponibilidad[[#This Row],[Fecha y hora fin]]-disponibilidad[[#This Row],[Fecha y hora inicio]])*1440</f>
        <v>0</v>
      </c>
    </row>
    <row r="2985" spans="6:6" ht="15">
      <c r="F2985" s="115">
        <f>+(disponibilidad[[#This Row],[Fecha y hora fin]]-disponibilidad[[#This Row],[Fecha y hora inicio]])*1440</f>
        <v>0</v>
      </c>
    </row>
    <row r="2986" spans="6:6" ht="15">
      <c r="F2986" s="115">
        <f>+(disponibilidad[[#This Row],[Fecha y hora fin]]-disponibilidad[[#This Row],[Fecha y hora inicio]])*1440</f>
        <v>0</v>
      </c>
    </row>
    <row r="2987" spans="6:6" ht="15">
      <c r="F2987" s="115">
        <f>+(disponibilidad[[#This Row],[Fecha y hora fin]]-disponibilidad[[#This Row],[Fecha y hora inicio]])*1440</f>
        <v>0</v>
      </c>
    </row>
    <row r="2988" spans="6:6" ht="15">
      <c r="F2988" s="115">
        <f>+(disponibilidad[[#This Row],[Fecha y hora fin]]-disponibilidad[[#This Row],[Fecha y hora inicio]])*1440</f>
        <v>0</v>
      </c>
    </row>
    <row r="2989" spans="6:6" ht="15">
      <c r="F2989" s="115">
        <f>+(disponibilidad[[#This Row],[Fecha y hora fin]]-disponibilidad[[#This Row],[Fecha y hora inicio]])*1440</f>
        <v>0</v>
      </c>
    </row>
    <row r="2990" spans="6:6" ht="15">
      <c r="F2990" s="115">
        <f>+(disponibilidad[[#This Row],[Fecha y hora fin]]-disponibilidad[[#This Row],[Fecha y hora inicio]])*1440</f>
        <v>0</v>
      </c>
    </row>
    <row r="2991" spans="6:6" ht="15">
      <c r="F2991" s="115">
        <f>+(disponibilidad[[#This Row],[Fecha y hora fin]]-disponibilidad[[#This Row],[Fecha y hora inicio]])*1440</f>
        <v>0</v>
      </c>
    </row>
    <row r="2992" spans="6:6" ht="15">
      <c r="F2992" s="115">
        <f>+(disponibilidad[[#This Row],[Fecha y hora fin]]-disponibilidad[[#This Row],[Fecha y hora inicio]])*1440</f>
        <v>0</v>
      </c>
    </row>
    <row r="2993" spans="6:6" ht="15">
      <c r="F2993" s="115">
        <f>+(disponibilidad[[#This Row],[Fecha y hora fin]]-disponibilidad[[#This Row],[Fecha y hora inicio]])*1440</f>
        <v>0</v>
      </c>
    </row>
    <row r="2994" spans="6:6" ht="15">
      <c r="F2994" s="115">
        <f>+(disponibilidad[[#This Row],[Fecha y hora fin]]-disponibilidad[[#This Row],[Fecha y hora inicio]])*1440</f>
        <v>0</v>
      </c>
    </row>
    <row r="2995" spans="6:6" ht="15">
      <c r="F2995" s="115">
        <f>+(disponibilidad[[#This Row],[Fecha y hora fin]]-disponibilidad[[#This Row],[Fecha y hora inicio]])*1440</f>
        <v>0</v>
      </c>
    </row>
    <row r="2996" spans="6:6" ht="15">
      <c r="F2996" s="115">
        <f>+(disponibilidad[[#This Row],[Fecha y hora fin]]-disponibilidad[[#This Row],[Fecha y hora inicio]])*1440</f>
        <v>0</v>
      </c>
    </row>
    <row r="2997" spans="6:6" ht="15">
      <c r="F2997" s="115">
        <f>+(disponibilidad[[#This Row],[Fecha y hora fin]]-disponibilidad[[#This Row],[Fecha y hora inicio]])*1440</f>
        <v>0</v>
      </c>
    </row>
    <row r="2998" spans="6:6" ht="15">
      <c r="F2998" s="115">
        <f>+(disponibilidad[[#This Row],[Fecha y hora fin]]-disponibilidad[[#This Row],[Fecha y hora inicio]])*1440</f>
        <v>0</v>
      </c>
    </row>
    <row r="2999" spans="6:6" ht="15">
      <c r="F2999" s="115">
        <f>+(disponibilidad[[#This Row],[Fecha y hora fin]]-disponibilidad[[#This Row],[Fecha y hora inicio]])*1440</f>
        <v>0</v>
      </c>
    </row>
    <row r="3000" spans="6:6" ht="15">
      <c r="F3000" s="115">
        <f>+(disponibilidad[[#This Row],[Fecha y hora fin]]-disponibilidad[[#This Row],[Fecha y hora inicio]])*1440</f>
        <v>0</v>
      </c>
    </row>
    <row r="3001" spans="6:6" ht="15">
      <c r="F3001" s="115">
        <f>+(disponibilidad[[#This Row],[Fecha y hora fin]]-disponibilidad[[#This Row],[Fecha y hora inicio]])*1440</f>
        <v>0</v>
      </c>
    </row>
    <row r="3002" spans="6:6" ht="15">
      <c r="F3002" s="115">
        <f>+(disponibilidad[[#This Row],[Fecha y hora fin]]-disponibilidad[[#This Row],[Fecha y hora inicio]])*1440</f>
        <v>0</v>
      </c>
    </row>
    <row r="3003" spans="6:6" ht="15">
      <c r="F3003" s="115">
        <f>+(disponibilidad[[#This Row],[Fecha y hora fin]]-disponibilidad[[#This Row],[Fecha y hora inicio]])*1440</f>
        <v>0</v>
      </c>
    </row>
    <row r="3004" spans="6:6" ht="15">
      <c r="F3004" s="115">
        <f>+(disponibilidad[[#This Row],[Fecha y hora fin]]-disponibilidad[[#This Row],[Fecha y hora inicio]])*1440</f>
        <v>0</v>
      </c>
    </row>
    <row r="3005" spans="6:6" ht="15">
      <c r="F3005" s="115">
        <f>+(disponibilidad[[#This Row],[Fecha y hora fin]]-disponibilidad[[#This Row],[Fecha y hora inicio]])*1440</f>
        <v>0</v>
      </c>
    </row>
    <row r="3006" spans="6:6" ht="15">
      <c r="F3006" s="115">
        <f>+(disponibilidad[[#This Row],[Fecha y hora fin]]-disponibilidad[[#This Row],[Fecha y hora inicio]])*1440</f>
        <v>0</v>
      </c>
    </row>
    <row r="3007" spans="6:6" ht="15">
      <c r="F3007" s="115">
        <f>+(disponibilidad[[#This Row],[Fecha y hora fin]]-disponibilidad[[#This Row],[Fecha y hora inicio]])*1440</f>
        <v>0</v>
      </c>
    </row>
    <row r="3008" spans="6:6" ht="15">
      <c r="F3008" s="115">
        <f>+(disponibilidad[[#This Row],[Fecha y hora fin]]-disponibilidad[[#This Row],[Fecha y hora inicio]])*1440</f>
        <v>0</v>
      </c>
    </row>
    <row r="3009" spans="6:6" ht="15">
      <c r="F3009" s="115">
        <f>+(disponibilidad[[#This Row],[Fecha y hora fin]]-disponibilidad[[#This Row],[Fecha y hora inicio]])*1440</f>
        <v>0</v>
      </c>
    </row>
    <row r="3010" spans="6:6" ht="15">
      <c r="F3010" s="115">
        <f>+(disponibilidad[[#This Row],[Fecha y hora fin]]-disponibilidad[[#This Row],[Fecha y hora inicio]])*1440</f>
        <v>0</v>
      </c>
    </row>
    <row r="3011" spans="6:6" ht="15">
      <c r="F3011" s="115">
        <f>+(disponibilidad[[#This Row],[Fecha y hora fin]]-disponibilidad[[#This Row],[Fecha y hora inicio]])*1440</f>
        <v>0</v>
      </c>
    </row>
    <row r="3012" spans="6:6" ht="15">
      <c r="F3012" s="115">
        <f>+(disponibilidad[[#This Row],[Fecha y hora fin]]-disponibilidad[[#This Row],[Fecha y hora inicio]])*1440</f>
        <v>0</v>
      </c>
    </row>
    <row r="3013" spans="6:6" ht="15">
      <c r="F3013" s="115">
        <f>+(disponibilidad[[#This Row],[Fecha y hora fin]]-disponibilidad[[#This Row],[Fecha y hora inicio]])*1440</f>
        <v>0</v>
      </c>
    </row>
    <row r="3014" spans="6:6" ht="15">
      <c r="F3014" s="115">
        <f>+(disponibilidad[[#This Row],[Fecha y hora fin]]-disponibilidad[[#This Row],[Fecha y hora inicio]])*1440</f>
        <v>0</v>
      </c>
    </row>
    <row r="3015" spans="6:6" ht="15">
      <c r="F3015" s="115">
        <f>+(disponibilidad[[#This Row],[Fecha y hora fin]]-disponibilidad[[#This Row],[Fecha y hora inicio]])*1440</f>
        <v>0</v>
      </c>
    </row>
    <row r="3016" spans="6:6" ht="15">
      <c r="F3016" s="115">
        <f>+(disponibilidad[[#This Row],[Fecha y hora fin]]-disponibilidad[[#This Row],[Fecha y hora inicio]])*1440</f>
        <v>0</v>
      </c>
    </row>
    <row r="3017" spans="6:6" ht="15">
      <c r="F3017" s="115">
        <f>+(disponibilidad[[#This Row],[Fecha y hora fin]]-disponibilidad[[#This Row],[Fecha y hora inicio]])*1440</f>
        <v>0</v>
      </c>
    </row>
    <row r="3018" spans="6:6" ht="15">
      <c r="F3018" s="115">
        <f>+(disponibilidad[[#This Row],[Fecha y hora fin]]-disponibilidad[[#This Row],[Fecha y hora inicio]])*1440</f>
        <v>0</v>
      </c>
    </row>
    <row r="3019" spans="6:6" ht="15">
      <c r="F3019" s="115">
        <f>+(disponibilidad[[#This Row],[Fecha y hora fin]]-disponibilidad[[#This Row],[Fecha y hora inicio]])*1440</f>
        <v>0</v>
      </c>
    </row>
    <row r="3020" spans="6:6" ht="15">
      <c r="F3020" s="115">
        <f>+(disponibilidad[[#This Row],[Fecha y hora fin]]-disponibilidad[[#This Row],[Fecha y hora inicio]])*1440</f>
        <v>0</v>
      </c>
    </row>
    <row r="3021" spans="6:6" ht="15">
      <c r="F3021" s="115">
        <f>+(disponibilidad[[#This Row],[Fecha y hora fin]]-disponibilidad[[#This Row],[Fecha y hora inicio]])*1440</f>
        <v>0</v>
      </c>
    </row>
    <row r="3022" spans="6:6" ht="15">
      <c r="F3022" s="115">
        <f>+(disponibilidad[[#This Row],[Fecha y hora fin]]-disponibilidad[[#This Row],[Fecha y hora inicio]])*1440</f>
        <v>0</v>
      </c>
    </row>
    <row r="3023" spans="6:6" ht="15">
      <c r="F3023" s="115">
        <f>+(disponibilidad[[#This Row],[Fecha y hora fin]]-disponibilidad[[#This Row],[Fecha y hora inicio]])*1440</f>
        <v>0</v>
      </c>
    </row>
    <row r="3024" spans="6:6" ht="15">
      <c r="F3024" s="115">
        <f>+(disponibilidad[[#This Row],[Fecha y hora fin]]-disponibilidad[[#This Row],[Fecha y hora inicio]])*1440</f>
        <v>0</v>
      </c>
    </row>
    <row r="3025" spans="6:6" ht="15">
      <c r="F3025" s="115">
        <f>+(disponibilidad[[#This Row],[Fecha y hora fin]]-disponibilidad[[#This Row],[Fecha y hora inicio]])*1440</f>
        <v>0</v>
      </c>
    </row>
    <row r="3026" spans="6:6" ht="15">
      <c r="F3026" s="115">
        <f>+(disponibilidad[[#This Row],[Fecha y hora fin]]-disponibilidad[[#This Row],[Fecha y hora inicio]])*1440</f>
        <v>0</v>
      </c>
    </row>
    <row r="3027" spans="6:6" ht="15">
      <c r="F3027" s="115">
        <f>+(disponibilidad[[#This Row],[Fecha y hora fin]]-disponibilidad[[#This Row],[Fecha y hora inicio]])*1440</f>
        <v>0</v>
      </c>
    </row>
    <row r="3028" spans="6:6" ht="15">
      <c r="F3028" s="115">
        <f>+(disponibilidad[[#This Row],[Fecha y hora fin]]-disponibilidad[[#This Row],[Fecha y hora inicio]])*1440</f>
        <v>0</v>
      </c>
    </row>
    <row r="3029" spans="6:6" ht="15">
      <c r="F3029" s="115">
        <f>+(disponibilidad[[#This Row],[Fecha y hora fin]]-disponibilidad[[#This Row],[Fecha y hora inicio]])*1440</f>
        <v>0</v>
      </c>
    </row>
    <row r="3030" spans="6:6" ht="15">
      <c r="F3030" s="115">
        <f>+(disponibilidad[[#This Row],[Fecha y hora fin]]-disponibilidad[[#This Row],[Fecha y hora inicio]])*1440</f>
        <v>0</v>
      </c>
    </row>
    <row r="3031" spans="6:6" ht="15">
      <c r="F3031" s="115">
        <f>+(disponibilidad[[#This Row],[Fecha y hora fin]]-disponibilidad[[#This Row],[Fecha y hora inicio]])*1440</f>
        <v>0</v>
      </c>
    </row>
    <row r="3032" spans="6:6" ht="15">
      <c r="F3032" s="115">
        <f>+(disponibilidad[[#This Row],[Fecha y hora fin]]-disponibilidad[[#This Row],[Fecha y hora inicio]])*1440</f>
        <v>0</v>
      </c>
    </row>
    <row r="3033" spans="6:6" ht="15">
      <c r="F3033" s="115">
        <f>+(disponibilidad[[#This Row],[Fecha y hora fin]]-disponibilidad[[#This Row],[Fecha y hora inicio]])*1440</f>
        <v>0</v>
      </c>
    </row>
    <row r="3034" spans="6:6" ht="15">
      <c r="F3034" s="115">
        <f>+(disponibilidad[[#This Row],[Fecha y hora fin]]-disponibilidad[[#This Row],[Fecha y hora inicio]])*1440</f>
        <v>0</v>
      </c>
    </row>
    <row r="3035" spans="6:6" ht="15">
      <c r="F3035" s="115">
        <f>+(disponibilidad[[#This Row],[Fecha y hora fin]]-disponibilidad[[#This Row],[Fecha y hora inicio]])*1440</f>
        <v>0</v>
      </c>
    </row>
    <row r="3036" spans="6:6" ht="15">
      <c r="F3036" s="115">
        <f>+(disponibilidad[[#This Row],[Fecha y hora fin]]-disponibilidad[[#This Row],[Fecha y hora inicio]])*1440</f>
        <v>0</v>
      </c>
    </row>
    <row r="3037" spans="6:6" ht="15">
      <c r="F3037" s="115">
        <f>+(disponibilidad[[#This Row],[Fecha y hora fin]]-disponibilidad[[#This Row],[Fecha y hora inicio]])*1440</f>
        <v>0</v>
      </c>
    </row>
    <row r="3038" spans="6:6" ht="15">
      <c r="F3038" s="115">
        <f>+(disponibilidad[[#This Row],[Fecha y hora fin]]-disponibilidad[[#This Row],[Fecha y hora inicio]])*1440</f>
        <v>0</v>
      </c>
    </row>
    <row r="3039" spans="6:6" ht="15">
      <c r="F3039" s="115">
        <f>+(disponibilidad[[#This Row],[Fecha y hora fin]]-disponibilidad[[#This Row],[Fecha y hora inicio]])*1440</f>
        <v>0</v>
      </c>
    </row>
    <row r="3040" spans="6:6" ht="15">
      <c r="F3040" s="115">
        <f>+(disponibilidad[[#This Row],[Fecha y hora fin]]-disponibilidad[[#This Row],[Fecha y hora inicio]])*1440</f>
        <v>0</v>
      </c>
    </row>
    <row r="3041" spans="6:6" ht="15">
      <c r="F3041" s="115">
        <f>+(disponibilidad[[#This Row],[Fecha y hora fin]]-disponibilidad[[#This Row],[Fecha y hora inicio]])*1440</f>
        <v>0</v>
      </c>
    </row>
    <row r="3042" spans="6:6" ht="15">
      <c r="F3042" s="115">
        <f>+(disponibilidad[[#This Row],[Fecha y hora fin]]-disponibilidad[[#This Row],[Fecha y hora inicio]])*1440</f>
        <v>0</v>
      </c>
    </row>
    <row r="3043" spans="6:6" ht="15">
      <c r="F3043" s="115">
        <f>+(disponibilidad[[#This Row],[Fecha y hora fin]]-disponibilidad[[#This Row],[Fecha y hora inicio]])*1440</f>
        <v>0</v>
      </c>
    </row>
    <row r="3044" spans="6:6" ht="15">
      <c r="F3044" s="115">
        <f>+(disponibilidad[[#This Row],[Fecha y hora fin]]-disponibilidad[[#This Row],[Fecha y hora inicio]])*1440</f>
        <v>0</v>
      </c>
    </row>
    <row r="3045" spans="6:6" ht="15">
      <c r="F3045" s="115">
        <f>+(disponibilidad[[#This Row],[Fecha y hora fin]]-disponibilidad[[#This Row],[Fecha y hora inicio]])*1440</f>
        <v>0</v>
      </c>
    </row>
    <row r="3046" spans="6:6" ht="15">
      <c r="F3046" s="115">
        <f>+(disponibilidad[[#This Row],[Fecha y hora fin]]-disponibilidad[[#This Row],[Fecha y hora inicio]])*1440</f>
        <v>0</v>
      </c>
    </row>
    <row r="3047" spans="6:6" ht="15">
      <c r="F3047" s="115">
        <f>+(disponibilidad[[#This Row],[Fecha y hora fin]]-disponibilidad[[#This Row],[Fecha y hora inicio]])*1440</f>
        <v>0</v>
      </c>
    </row>
    <row r="3048" spans="6:6" ht="15">
      <c r="F3048" s="115">
        <f>+(disponibilidad[[#This Row],[Fecha y hora fin]]-disponibilidad[[#This Row],[Fecha y hora inicio]])*1440</f>
        <v>0</v>
      </c>
    </row>
    <row r="3049" spans="6:6" ht="15">
      <c r="F3049" s="115">
        <f>+(disponibilidad[[#This Row],[Fecha y hora fin]]-disponibilidad[[#This Row],[Fecha y hora inicio]])*1440</f>
        <v>0</v>
      </c>
    </row>
    <row r="3050" spans="6:6" ht="15">
      <c r="F3050" s="115">
        <f>+(disponibilidad[[#This Row],[Fecha y hora fin]]-disponibilidad[[#This Row],[Fecha y hora inicio]])*1440</f>
        <v>0</v>
      </c>
    </row>
    <row r="3051" spans="6:6" ht="15">
      <c r="F3051" s="115">
        <f>+(disponibilidad[[#This Row],[Fecha y hora fin]]-disponibilidad[[#This Row],[Fecha y hora inicio]])*1440</f>
        <v>0</v>
      </c>
    </row>
    <row r="3052" spans="6:6" ht="15">
      <c r="F3052" s="115">
        <f>+(disponibilidad[[#This Row],[Fecha y hora fin]]-disponibilidad[[#This Row],[Fecha y hora inicio]])*1440</f>
        <v>0</v>
      </c>
    </row>
    <row r="3053" spans="6:6" ht="15">
      <c r="F3053" s="115">
        <f>+(disponibilidad[[#This Row],[Fecha y hora fin]]-disponibilidad[[#This Row],[Fecha y hora inicio]])*1440</f>
        <v>0</v>
      </c>
    </row>
    <row r="3054" spans="6:6" ht="15">
      <c r="F3054" s="115">
        <f>+(disponibilidad[[#This Row],[Fecha y hora fin]]-disponibilidad[[#This Row],[Fecha y hora inicio]])*1440</f>
        <v>0</v>
      </c>
    </row>
    <row r="3055" spans="6:6" ht="15">
      <c r="F3055" s="115">
        <f>+(disponibilidad[[#This Row],[Fecha y hora fin]]-disponibilidad[[#This Row],[Fecha y hora inicio]])*1440</f>
        <v>0</v>
      </c>
    </row>
    <row r="3056" spans="6:6" ht="15">
      <c r="F3056" s="115">
        <f>+(disponibilidad[[#This Row],[Fecha y hora fin]]-disponibilidad[[#This Row],[Fecha y hora inicio]])*1440</f>
        <v>0</v>
      </c>
    </row>
    <row r="3057" spans="6:6" ht="15">
      <c r="F3057" s="115">
        <f>+(disponibilidad[[#This Row],[Fecha y hora fin]]-disponibilidad[[#This Row],[Fecha y hora inicio]])*1440</f>
        <v>0</v>
      </c>
    </row>
    <row r="3058" spans="6:6" ht="15">
      <c r="F3058" s="115">
        <f>+(disponibilidad[[#This Row],[Fecha y hora fin]]-disponibilidad[[#This Row],[Fecha y hora inicio]])*1440</f>
        <v>0</v>
      </c>
    </row>
    <row r="3059" spans="6:6" ht="15">
      <c r="F3059" s="115">
        <f>+(disponibilidad[[#This Row],[Fecha y hora fin]]-disponibilidad[[#This Row],[Fecha y hora inicio]])*1440</f>
        <v>0</v>
      </c>
    </row>
    <row r="3060" spans="6:6" ht="15">
      <c r="F3060" s="115">
        <f>+(disponibilidad[[#This Row],[Fecha y hora fin]]-disponibilidad[[#This Row],[Fecha y hora inicio]])*1440</f>
        <v>0</v>
      </c>
    </row>
    <row r="3061" spans="6:6" ht="15">
      <c r="F3061" s="115">
        <f>+(disponibilidad[[#This Row],[Fecha y hora fin]]-disponibilidad[[#This Row],[Fecha y hora inicio]])*1440</f>
        <v>0</v>
      </c>
    </row>
    <row r="3062" spans="6:6" ht="15">
      <c r="F3062" s="115">
        <f>+(disponibilidad[[#This Row],[Fecha y hora fin]]-disponibilidad[[#This Row],[Fecha y hora inicio]])*1440</f>
        <v>0</v>
      </c>
    </row>
    <row r="3063" spans="6:6" ht="15">
      <c r="F3063" s="115">
        <f>+(disponibilidad[[#This Row],[Fecha y hora fin]]-disponibilidad[[#This Row],[Fecha y hora inicio]])*1440</f>
        <v>0</v>
      </c>
    </row>
    <row r="3064" spans="6:6" ht="15">
      <c r="F3064" s="115">
        <f>+(disponibilidad[[#This Row],[Fecha y hora fin]]-disponibilidad[[#This Row],[Fecha y hora inicio]])*1440</f>
        <v>0</v>
      </c>
    </row>
    <row r="3065" spans="6:6" ht="15">
      <c r="F3065" s="115">
        <f>+(disponibilidad[[#This Row],[Fecha y hora fin]]-disponibilidad[[#This Row],[Fecha y hora inicio]])*1440</f>
        <v>0</v>
      </c>
    </row>
    <row r="3066" spans="6:6" ht="15">
      <c r="F3066" s="115">
        <f>+(disponibilidad[[#This Row],[Fecha y hora fin]]-disponibilidad[[#This Row],[Fecha y hora inicio]])*1440</f>
        <v>0</v>
      </c>
    </row>
    <row r="3067" spans="6:6" ht="15">
      <c r="F3067" s="115">
        <f>+(disponibilidad[[#This Row],[Fecha y hora fin]]-disponibilidad[[#This Row],[Fecha y hora inicio]])*1440</f>
        <v>0</v>
      </c>
    </row>
    <row r="3068" spans="6:6" ht="15">
      <c r="F3068" s="115">
        <f>+(disponibilidad[[#This Row],[Fecha y hora fin]]-disponibilidad[[#This Row],[Fecha y hora inicio]])*1440</f>
        <v>0</v>
      </c>
    </row>
    <row r="3069" spans="6:6" ht="15">
      <c r="F3069" s="115">
        <f>+(disponibilidad[[#This Row],[Fecha y hora fin]]-disponibilidad[[#This Row],[Fecha y hora inicio]])*1440</f>
        <v>0</v>
      </c>
    </row>
    <row r="3070" spans="6:6" ht="15">
      <c r="F3070" s="115">
        <f>+(disponibilidad[[#This Row],[Fecha y hora fin]]-disponibilidad[[#This Row],[Fecha y hora inicio]])*1440</f>
        <v>0</v>
      </c>
    </row>
    <row r="3071" spans="6:6" ht="15">
      <c r="F3071" s="115">
        <f>+(disponibilidad[[#This Row],[Fecha y hora fin]]-disponibilidad[[#This Row],[Fecha y hora inicio]])*1440</f>
        <v>0</v>
      </c>
    </row>
    <row r="3072" spans="6:6" ht="15">
      <c r="F3072" s="115">
        <f>+(disponibilidad[[#This Row],[Fecha y hora fin]]-disponibilidad[[#This Row],[Fecha y hora inicio]])*1440</f>
        <v>0</v>
      </c>
    </row>
    <row r="3073" spans="6:6" ht="15">
      <c r="F3073" s="115">
        <f>+(disponibilidad[[#This Row],[Fecha y hora fin]]-disponibilidad[[#This Row],[Fecha y hora inicio]])*1440</f>
        <v>0</v>
      </c>
    </row>
    <row r="3074" spans="6:6" ht="15">
      <c r="F3074" s="115">
        <f>+(disponibilidad[[#This Row],[Fecha y hora fin]]-disponibilidad[[#This Row],[Fecha y hora inicio]])*1440</f>
        <v>0</v>
      </c>
    </row>
    <row r="3075" spans="6:6" ht="15">
      <c r="F3075" s="115">
        <f>+(disponibilidad[[#This Row],[Fecha y hora fin]]-disponibilidad[[#This Row],[Fecha y hora inicio]])*1440</f>
        <v>0</v>
      </c>
    </row>
    <row r="3076" spans="6:6" ht="15">
      <c r="F3076" s="115">
        <f>+(disponibilidad[[#This Row],[Fecha y hora fin]]-disponibilidad[[#This Row],[Fecha y hora inicio]])*1440</f>
        <v>0</v>
      </c>
    </row>
    <row r="3077" spans="6:6" ht="15">
      <c r="F3077" s="115">
        <f>+(disponibilidad[[#This Row],[Fecha y hora fin]]-disponibilidad[[#This Row],[Fecha y hora inicio]])*1440</f>
        <v>0</v>
      </c>
    </row>
    <row r="3078" spans="6:6" ht="15">
      <c r="F3078" s="115">
        <f>+(disponibilidad[[#This Row],[Fecha y hora fin]]-disponibilidad[[#This Row],[Fecha y hora inicio]])*1440</f>
        <v>0</v>
      </c>
    </row>
    <row r="3079" spans="6:6" ht="15">
      <c r="F3079" s="115">
        <f>+(disponibilidad[[#This Row],[Fecha y hora fin]]-disponibilidad[[#This Row],[Fecha y hora inicio]])*1440</f>
        <v>0</v>
      </c>
    </row>
    <row r="3080" spans="6:6" ht="15">
      <c r="F3080" s="115">
        <f>+(disponibilidad[[#This Row],[Fecha y hora fin]]-disponibilidad[[#This Row],[Fecha y hora inicio]])*1440</f>
        <v>0</v>
      </c>
    </row>
    <row r="3081" spans="6:6" ht="15">
      <c r="F3081" s="115">
        <f>+(disponibilidad[[#This Row],[Fecha y hora fin]]-disponibilidad[[#This Row],[Fecha y hora inicio]])*1440</f>
        <v>0</v>
      </c>
    </row>
    <row r="3082" spans="6:6" ht="15">
      <c r="F3082" s="115">
        <f>+(disponibilidad[[#This Row],[Fecha y hora fin]]-disponibilidad[[#This Row],[Fecha y hora inicio]])*1440</f>
        <v>0</v>
      </c>
    </row>
    <row r="3083" spans="6:6" ht="15">
      <c r="F3083" s="115">
        <f>+(disponibilidad[[#This Row],[Fecha y hora fin]]-disponibilidad[[#This Row],[Fecha y hora inicio]])*1440</f>
        <v>0</v>
      </c>
    </row>
    <row r="3084" spans="6:6" ht="15">
      <c r="F3084" s="115">
        <f>+(disponibilidad[[#This Row],[Fecha y hora fin]]-disponibilidad[[#This Row],[Fecha y hora inicio]])*1440</f>
        <v>0</v>
      </c>
    </row>
    <row r="3085" spans="6:6" ht="15">
      <c r="F3085" s="115">
        <f>+(disponibilidad[[#This Row],[Fecha y hora fin]]-disponibilidad[[#This Row],[Fecha y hora inicio]])*1440</f>
        <v>0</v>
      </c>
    </row>
    <row r="3086" spans="6:6" ht="15">
      <c r="F3086" s="115">
        <f>+(disponibilidad[[#This Row],[Fecha y hora fin]]-disponibilidad[[#This Row],[Fecha y hora inicio]])*1440</f>
        <v>0</v>
      </c>
    </row>
    <row r="3087" spans="6:6" ht="15">
      <c r="F3087" s="115">
        <f>+(disponibilidad[[#This Row],[Fecha y hora fin]]-disponibilidad[[#This Row],[Fecha y hora inicio]])*1440</f>
        <v>0</v>
      </c>
    </row>
    <row r="3088" spans="6:6" ht="15">
      <c r="F3088" s="115">
        <f>+(disponibilidad[[#This Row],[Fecha y hora fin]]-disponibilidad[[#This Row],[Fecha y hora inicio]])*1440</f>
        <v>0</v>
      </c>
    </row>
    <row r="3089" spans="6:6" ht="15">
      <c r="F3089" s="115">
        <f>+(disponibilidad[[#This Row],[Fecha y hora fin]]-disponibilidad[[#This Row],[Fecha y hora inicio]])*1440</f>
        <v>0</v>
      </c>
    </row>
    <row r="3090" spans="6:6" ht="15">
      <c r="F3090" s="115">
        <f>+(disponibilidad[[#This Row],[Fecha y hora fin]]-disponibilidad[[#This Row],[Fecha y hora inicio]])*1440</f>
        <v>0</v>
      </c>
    </row>
    <row r="3091" spans="6:6" ht="15">
      <c r="F3091" s="115">
        <f>+(disponibilidad[[#This Row],[Fecha y hora fin]]-disponibilidad[[#This Row],[Fecha y hora inicio]])*1440</f>
        <v>0</v>
      </c>
    </row>
    <row r="3092" spans="6:6" ht="15">
      <c r="F3092" s="115">
        <f>+(disponibilidad[[#This Row],[Fecha y hora fin]]-disponibilidad[[#This Row],[Fecha y hora inicio]])*1440</f>
        <v>0</v>
      </c>
    </row>
    <row r="3093" spans="6:6" ht="15">
      <c r="F3093" s="115">
        <f>+(disponibilidad[[#This Row],[Fecha y hora fin]]-disponibilidad[[#This Row],[Fecha y hora inicio]])*1440</f>
        <v>0</v>
      </c>
    </row>
    <row r="3094" spans="6:6" ht="15">
      <c r="F3094" s="115">
        <f>+(disponibilidad[[#This Row],[Fecha y hora fin]]-disponibilidad[[#This Row],[Fecha y hora inicio]])*1440</f>
        <v>0</v>
      </c>
    </row>
    <row r="3095" spans="6:6" ht="15">
      <c r="F3095" s="115">
        <f>+(disponibilidad[[#This Row],[Fecha y hora fin]]-disponibilidad[[#This Row],[Fecha y hora inicio]])*1440</f>
        <v>0</v>
      </c>
    </row>
    <row r="3096" spans="6:6" ht="15">
      <c r="F3096" s="115">
        <f>+(disponibilidad[[#This Row],[Fecha y hora fin]]-disponibilidad[[#This Row],[Fecha y hora inicio]])*1440</f>
        <v>0</v>
      </c>
    </row>
    <row r="3097" spans="6:6" ht="15">
      <c r="F3097" s="115">
        <f>+(disponibilidad[[#This Row],[Fecha y hora fin]]-disponibilidad[[#This Row],[Fecha y hora inicio]])*1440</f>
        <v>0</v>
      </c>
    </row>
    <row r="3098" spans="6:6" ht="15">
      <c r="F3098" s="115">
        <f>+(disponibilidad[[#This Row],[Fecha y hora fin]]-disponibilidad[[#This Row],[Fecha y hora inicio]])*1440</f>
        <v>0</v>
      </c>
    </row>
    <row r="3099" spans="6:6" ht="15">
      <c r="F3099" s="115">
        <f>+(disponibilidad[[#This Row],[Fecha y hora fin]]-disponibilidad[[#This Row],[Fecha y hora inicio]])*1440</f>
        <v>0</v>
      </c>
    </row>
    <row r="3100" spans="6:6" ht="15">
      <c r="F3100" s="115">
        <f>+(disponibilidad[[#This Row],[Fecha y hora fin]]-disponibilidad[[#This Row],[Fecha y hora inicio]])*1440</f>
        <v>0</v>
      </c>
    </row>
    <row r="3101" spans="6:6" ht="15">
      <c r="F3101" s="115">
        <f>+(disponibilidad[[#This Row],[Fecha y hora fin]]-disponibilidad[[#This Row],[Fecha y hora inicio]])*1440</f>
        <v>0</v>
      </c>
    </row>
    <row r="3102" spans="6:6" ht="15">
      <c r="F3102" s="115">
        <f>+(disponibilidad[[#This Row],[Fecha y hora fin]]-disponibilidad[[#This Row],[Fecha y hora inicio]])*1440</f>
        <v>0</v>
      </c>
    </row>
    <row r="3103" spans="6:6" ht="15">
      <c r="F3103" s="115">
        <f>+(disponibilidad[[#This Row],[Fecha y hora fin]]-disponibilidad[[#This Row],[Fecha y hora inicio]])*1440</f>
        <v>0</v>
      </c>
    </row>
    <row r="3104" spans="6:6" ht="15">
      <c r="F3104" s="115">
        <f>+(disponibilidad[[#This Row],[Fecha y hora fin]]-disponibilidad[[#This Row],[Fecha y hora inicio]])*1440</f>
        <v>0</v>
      </c>
    </row>
    <row r="3105" spans="6:6" ht="15">
      <c r="F3105" s="115">
        <f>+(disponibilidad[[#This Row],[Fecha y hora fin]]-disponibilidad[[#This Row],[Fecha y hora inicio]])*1440</f>
        <v>0</v>
      </c>
    </row>
    <row r="3106" spans="6:6" ht="15">
      <c r="F3106" s="115">
        <f>+(disponibilidad[[#This Row],[Fecha y hora fin]]-disponibilidad[[#This Row],[Fecha y hora inicio]])*1440</f>
        <v>0</v>
      </c>
    </row>
    <row r="3107" spans="6:6" ht="15">
      <c r="F3107" s="115">
        <f>+(disponibilidad[[#This Row],[Fecha y hora fin]]-disponibilidad[[#This Row],[Fecha y hora inicio]])*1440</f>
        <v>0</v>
      </c>
    </row>
    <row r="3108" spans="6:6" ht="15">
      <c r="F3108" s="115">
        <f>+(disponibilidad[[#This Row],[Fecha y hora fin]]-disponibilidad[[#This Row],[Fecha y hora inicio]])*1440</f>
        <v>0</v>
      </c>
    </row>
    <row r="3109" spans="6:6" ht="15">
      <c r="F3109" s="115">
        <f>+(disponibilidad[[#This Row],[Fecha y hora fin]]-disponibilidad[[#This Row],[Fecha y hora inicio]])*1440</f>
        <v>0</v>
      </c>
    </row>
    <row r="3110" spans="6:6" ht="15">
      <c r="F3110" s="115">
        <f>+(disponibilidad[[#This Row],[Fecha y hora fin]]-disponibilidad[[#This Row],[Fecha y hora inicio]])*1440</f>
        <v>0</v>
      </c>
    </row>
    <row r="3111" spans="6:6" ht="15">
      <c r="F3111" s="115">
        <f>+(disponibilidad[[#This Row],[Fecha y hora fin]]-disponibilidad[[#This Row],[Fecha y hora inicio]])*1440</f>
        <v>0</v>
      </c>
    </row>
    <row r="3112" spans="6:6" ht="15">
      <c r="F3112" s="115">
        <f>+(disponibilidad[[#This Row],[Fecha y hora fin]]-disponibilidad[[#This Row],[Fecha y hora inicio]])*1440</f>
        <v>0</v>
      </c>
    </row>
    <row r="3113" spans="6:6" ht="15">
      <c r="F3113" s="115">
        <f>+(disponibilidad[[#This Row],[Fecha y hora fin]]-disponibilidad[[#This Row],[Fecha y hora inicio]])*1440</f>
        <v>0</v>
      </c>
    </row>
    <row r="3114" spans="6:6" ht="15">
      <c r="F3114" s="115">
        <f>+(disponibilidad[[#This Row],[Fecha y hora fin]]-disponibilidad[[#This Row],[Fecha y hora inicio]])*1440</f>
        <v>0</v>
      </c>
    </row>
    <row r="3115" spans="6:6" ht="15">
      <c r="F3115" s="115">
        <f>+(disponibilidad[[#This Row],[Fecha y hora fin]]-disponibilidad[[#This Row],[Fecha y hora inicio]])*1440</f>
        <v>0</v>
      </c>
    </row>
    <row r="3116" spans="6:6" ht="15">
      <c r="F3116" s="115">
        <f>+(disponibilidad[[#This Row],[Fecha y hora fin]]-disponibilidad[[#This Row],[Fecha y hora inicio]])*1440</f>
        <v>0</v>
      </c>
    </row>
    <row r="3117" spans="6:6" ht="15">
      <c r="F3117" s="115">
        <f>+(disponibilidad[[#This Row],[Fecha y hora fin]]-disponibilidad[[#This Row],[Fecha y hora inicio]])*1440</f>
        <v>0</v>
      </c>
    </row>
    <row r="3118" spans="6:6" ht="15">
      <c r="F3118" s="115">
        <f>+(disponibilidad[[#This Row],[Fecha y hora fin]]-disponibilidad[[#This Row],[Fecha y hora inicio]])*1440</f>
        <v>0</v>
      </c>
    </row>
    <row r="3119" spans="6:6" ht="15">
      <c r="F3119" s="115">
        <f>+(disponibilidad[[#This Row],[Fecha y hora fin]]-disponibilidad[[#This Row],[Fecha y hora inicio]])*1440</f>
        <v>0</v>
      </c>
    </row>
    <row r="3120" spans="6:6" ht="15">
      <c r="F3120" s="115">
        <f>+(disponibilidad[[#This Row],[Fecha y hora fin]]-disponibilidad[[#This Row],[Fecha y hora inicio]])*1440</f>
        <v>0</v>
      </c>
    </row>
    <row r="3121" spans="6:6" ht="15">
      <c r="F3121" s="115">
        <f>+(disponibilidad[[#This Row],[Fecha y hora fin]]-disponibilidad[[#This Row],[Fecha y hora inicio]])*1440</f>
        <v>0</v>
      </c>
    </row>
    <row r="3122" spans="6:6" ht="15">
      <c r="F3122" s="115">
        <f>+(disponibilidad[[#This Row],[Fecha y hora fin]]-disponibilidad[[#This Row],[Fecha y hora inicio]])*1440</f>
        <v>0</v>
      </c>
    </row>
    <row r="3123" spans="6:6" ht="15">
      <c r="F3123" s="115">
        <f>+(disponibilidad[[#This Row],[Fecha y hora fin]]-disponibilidad[[#This Row],[Fecha y hora inicio]])*1440</f>
        <v>0</v>
      </c>
    </row>
    <row r="3124" spans="6:6" ht="15">
      <c r="F3124" s="115">
        <f>+(disponibilidad[[#This Row],[Fecha y hora fin]]-disponibilidad[[#This Row],[Fecha y hora inicio]])*1440</f>
        <v>0</v>
      </c>
    </row>
    <row r="3125" spans="6:6" ht="15">
      <c r="F3125" s="115">
        <f>+(disponibilidad[[#This Row],[Fecha y hora fin]]-disponibilidad[[#This Row],[Fecha y hora inicio]])*1440</f>
        <v>0</v>
      </c>
    </row>
    <row r="3126" spans="6:6" ht="15">
      <c r="F3126" s="115">
        <f>+(disponibilidad[[#This Row],[Fecha y hora fin]]-disponibilidad[[#This Row],[Fecha y hora inicio]])*1440</f>
        <v>0</v>
      </c>
    </row>
    <row r="3127" spans="6:6" ht="15">
      <c r="F3127" s="115">
        <f>+(disponibilidad[[#This Row],[Fecha y hora fin]]-disponibilidad[[#This Row],[Fecha y hora inicio]])*1440</f>
        <v>0</v>
      </c>
    </row>
    <row r="3128" spans="6:6" ht="15">
      <c r="F3128" s="115">
        <f>+(disponibilidad[[#This Row],[Fecha y hora fin]]-disponibilidad[[#This Row],[Fecha y hora inicio]])*1440</f>
        <v>0</v>
      </c>
    </row>
    <row r="3129" spans="6:6" ht="15">
      <c r="F3129" s="115">
        <f>+(disponibilidad[[#This Row],[Fecha y hora fin]]-disponibilidad[[#This Row],[Fecha y hora inicio]])*1440</f>
        <v>0</v>
      </c>
    </row>
    <row r="3130" spans="6:6" ht="15">
      <c r="F3130" s="115">
        <f>+(disponibilidad[[#This Row],[Fecha y hora fin]]-disponibilidad[[#This Row],[Fecha y hora inicio]])*1440</f>
        <v>0</v>
      </c>
    </row>
    <row r="3131" spans="6:6" ht="15">
      <c r="F3131" s="115">
        <f>+(disponibilidad[[#This Row],[Fecha y hora fin]]-disponibilidad[[#This Row],[Fecha y hora inicio]])*1440</f>
        <v>0</v>
      </c>
    </row>
    <row r="3132" spans="6:6" ht="15">
      <c r="F3132" s="115">
        <f>+(disponibilidad[[#This Row],[Fecha y hora fin]]-disponibilidad[[#This Row],[Fecha y hora inicio]])*1440</f>
        <v>0</v>
      </c>
    </row>
    <row r="3133" spans="6:6" ht="15">
      <c r="F3133" s="115">
        <f>+(disponibilidad[[#This Row],[Fecha y hora fin]]-disponibilidad[[#This Row],[Fecha y hora inicio]])*1440</f>
        <v>0</v>
      </c>
    </row>
    <row r="3134" spans="6:6" ht="15">
      <c r="F3134" s="115">
        <f>+(disponibilidad[[#This Row],[Fecha y hora fin]]-disponibilidad[[#This Row],[Fecha y hora inicio]])*1440</f>
        <v>0</v>
      </c>
    </row>
    <row r="3135" spans="6:6" ht="15">
      <c r="F3135" s="115">
        <f>+(disponibilidad[[#This Row],[Fecha y hora fin]]-disponibilidad[[#This Row],[Fecha y hora inicio]])*1440</f>
        <v>0</v>
      </c>
    </row>
    <row r="3136" spans="6:6" ht="15">
      <c r="F3136" s="115">
        <f>+(disponibilidad[[#This Row],[Fecha y hora fin]]-disponibilidad[[#This Row],[Fecha y hora inicio]])*1440</f>
        <v>0</v>
      </c>
    </row>
    <row r="3137" spans="6:6" ht="15">
      <c r="F3137" s="115">
        <f>+(disponibilidad[[#This Row],[Fecha y hora fin]]-disponibilidad[[#This Row],[Fecha y hora inicio]])*1440</f>
        <v>0</v>
      </c>
    </row>
    <row r="3138" spans="6:6" ht="15">
      <c r="F3138" s="115">
        <f>+(disponibilidad[[#This Row],[Fecha y hora fin]]-disponibilidad[[#This Row],[Fecha y hora inicio]])*1440</f>
        <v>0</v>
      </c>
    </row>
    <row r="3139" spans="6:6" ht="15">
      <c r="F3139" s="115">
        <f>+(disponibilidad[[#This Row],[Fecha y hora fin]]-disponibilidad[[#This Row],[Fecha y hora inicio]])*1440</f>
        <v>0</v>
      </c>
    </row>
    <row r="3140" spans="6:6" ht="15">
      <c r="F3140" s="115">
        <f>+(disponibilidad[[#This Row],[Fecha y hora fin]]-disponibilidad[[#This Row],[Fecha y hora inicio]])*1440</f>
        <v>0</v>
      </c>
    </row>
    <row r="3141" spans="6:6" ht="15">
      <c r="F3141" s="115">
        <f>+(disponibilidad[[#This Row],[Fecha y hora fin]]-disponibilidad[[#This Row],[Fecha y hora inicio]])*1440</f>
        <v>0</v>
      </c>
    </row>
    <row r="3142" spans="6:6" ht="15">
      <c r="F3142" s="115">
        <f>+(disponibilidad[[#This Row],[Fecha y hora fin]]-disponibilidad[[#This Row],[Fecha y hora inicio]])*1440</f>
        <v>0</v>
      </c>
    </row>
    <row r="3143" spans="6:6" ht="15">
      <c r="F3143" s="115">
        <f>+(disponibilidad[[#This Row],[Fecha y hora fin]]-disponibilidad[[#This Row],[Fecha y hora inicio]])*1440</f>
        <v>0</v>
      </c>
    </row>
    <row r="3144" spans="6:6" ht="15">
      <c r="F3144" s="115">
        <f>+(disponibilidad[[#This Row],[Fecha y hora fin]]-disponibilidad[[#This Row],[Fecha y hora inicio]])*1440</f>
        <v>0</v>
      </c>
    </row>
    <row r="3145" spans="6:6" ht="15">
      <c r="F3145" s="115">
        <f>+(disponibilidad[[#This Row],[Fecha y hora fin]]-disponibilidad[[#This Row],[Fecha y hora inicio]])*1440</f>
        <v>0</v>
      </c>
    </row>
    <row r="3146" spans="6:6" ht="15">
      <c r="F3146" s="115">
        <f>+(disponibilidad[[#This Row],[Fecha y hora fin]]-disponibilidad[[#This Row],[Fecha y hora inicio]])*1440</f>
        <v>0</v>
      </c>
    </row>
    <row r="3147" spans="6:6" ht="15">
      <c r="F3147" s="115">
        <f>+(disponibilidad[[#This Row],[Fecha y hora fin]]-disponibilidad[[#This Row],[Fecha y hora inicio]])*1440</f>
        <v>0</v>
      </c>
    </row>
    <row r="3148" spans="6:6" ht="15">
      <c r="F3148" s="115">
        <f>+(disponibilidad[[#This Row],[Fecha y hora fin]]-disponibilidad[[#This Row],[Fecha y hora inicio]])*1440</f>
        <v>0</v>
      </c>
    </row>
    <row r="3149" spans="6:6" ht="15">
      <c r="F3149" s="115">
        <f>+(disponibilidad[[#This Row],[Fecha y hora fin]]-disponibilidad[[#This Row],[Fecha y hora inicio]])*1440</f>
        <v>0</v>
      </c>
    </row>
    <row r="3150" spans="6:6" ht="15">
      <c r="F3150" s="115">
        <f>+(disponibilidad[[#This Row],[Fecha y hora fin]]-disponibilidad[[#This Row],[Fecha y hora inicio]])*1440</f>
        <v>0</v>
      </c>
    </row>
    <row r="3151" spans="6:6" ht="15">
      <c r="F3151" s="115">
        <f>+(disponibilidad[[#This Row],[Fecha y hora fin]]-disponibilidad[[#This Row],[Fecha y hora inicio]])*1440</f>
        <v>0</v>
      </c>
    </row>
    <row r="3152" spans="6:6" ht="15">
      <c r="F3152" s="115">
        <f>+(disponibilidad[[#This Row],[Fecha y hora fin]]-disponibilidad[[#This Row],[Fecha y hora inicio]])*1440</f>
        <v>0</v>
      </c>
    </row>
    <row r="3153" spans="6:6" ht="15">
      <c r="F3153" s="115">
        <f>+(disponibilidad[[#This Row],[Fecha y hora fin]]-disponibilidad[[#This Row],[Fecha y hora inicio]])*1440</f>
        <v>0</v>
      </c>
    </row>
    <row r="3154" spans="6:6" ht="15">
      <c r="F3154" s="115">
        <f>+(disponibilidad[[#This Row],[Fecha y hora fin]]-disponibilidad[[#This Row],[Fecha y hora inicio]])*1440</f>
        <v>0</v>
      </c>
    </row>
    <row r="3155" spans="6:6" ht="15">
      <c r="F3155" s="115">
        <f>+(disponibilidad[[#This Row],[Fecha y hora fin]]-disponibilidad[[#This Row],[Fecha y hora inicio]])*1440</f>
        <v>0</v>
      </c>
    </row>
    <row r="3156" spans="6:6" ht="15">
      <c r="F3156" s="115">
        <f>+(disponibilidad[[#This Row],[Fecha y hora fin]]-disponibilidad[[#This Row],[Fecha y hora inicio]])*1440</f>
        <v>0</v>
      </c>
    </row>
    <row r="3157" spans="6:6" ht="15">
      <c r="F3157" s="115">
        <f>+(disponibilidad[[#This Row],[Fecha y hora fin]]-disponibilidad[[#This Row],[Fecha y hora inicio]])*1440</f>
        <v>0</v>
      </c>
    </row>
    <row r="3158" spans="6:6" ht="15">
      <c r="F3158" s="115">
        <f>+(disponibilidad[[#This Row],[Fecha y hora fin]]-disponibilidad[[#This Row],[Fecha y hora inicio]])*1440</f>
        <v>0</v>
      </c>
    </row>
    <row r="3159" spans="6:6" ht="15">
      <c r="F3159" s="115">
        <f>+(disponibilidad[[#This Row],[Fecha y hora fin]]-disponibilidad[[#This Row],[Fecha y hora inicio]])*1440</f>
        <v>0</v>
      </c>
    </row>
    <row r="3160" spans="6:6" ht="15">
      <c r="F3160" s="115">
        <f>+(disponibilidad[[#This Row],[Fecha y hora fin]]-disponibilidad[[#This Row],[Fecha y hora inicio]])*1440</f>
        <v>0</v>
      </c>
    </row>
    <row r="3161" spans="6:6" ht="15">
      <c r="F3161" s="115">
        <f>+(disponibilidad[[#This Row],[Fecha y hora fin]]-disponibilidad[[#This Row],[Fecha y hora inicio]])*1440</f>
        <v>0</v>
      </c>
    </row>
    <row r="3162" spans="6:6" ht="15">
      <c r="F3162" s="115">
        <f>+(disponibilidad[[#This Row],[Fecha y hora fin]]-disponibilidad[[#This Row],[Fecha y hora inicio]])*1440</f>
        <v>0</v>
      </c>
    </row>
    <row r="3163" spans="6:6" ht="15">
      <c r="F3163" s="115">
        <f>+(disponibilidad[[#This Row],[Fecha y hora fin]]-disponibilidad[[#This Row],[Fecha y hora inicio]])*1440</f>
        <v>0</v>
      </c>
    </row>
    <row r="3164" spans="6:6" ht="15">
      <c r="F3164" s="115">
        <f>+(disponibilidad[[#This Row],[Fecha y hora fin]]-disponibilidad[[#This Row],[Fecha y hora inicio]])*1440</f>
        <v>0</v>
      </c>
    </row>
    <row r="3165" spans="6:6" ht="15">
      <c r="F3165" s="115">
        <f>+(disponibilidad[[#This Row],[Fecha y hora fin]]-disponibilidad[[#This Row],[Fecha y hora inicio]])*1440</f>
        <v>0</v>
      </c>
    </row>
    <row r="3166" spans="6:6" ht="15">
      <c r="F3166" s="115">
        <f>+(disponibilidad[[#This Row],[Fecha y hora fin]]-disponibilidad[[#This Row],[Fecha y hora inicio]])*1440</f>
        <v>0</v>
      </c>
    </row>
    <row r="3167" spans="6:6" ht="15">
      <c r="F3167" s="115">
        <f>+(disponibilidad[[#This Row],[Fecha y hora fin]]-disponibilidad[[#This Row],[Fecha y hora inicio]])*1440</f>
        <v>0</v>
      </c>
    </row>
    <row r="3168" spans="6:6" ht="15">
      <c r="F3168" s="115">
        <f>+(disponibilidad[[#This Row],[Fecha y hora fin]]-disponibilidad[[#This Row],[Fecha y hora inicio]])*1440</f>
        <v>0</v>
      </c>
    </row>
    <row r="3169" spans="6:6" ht="15">
      <c r="F3169" s="115">
        <f>+(disponibilidad[[#This Row],[Fecha y hora fin]]-disponibilidad[[#This Row],[Fecha y hora inicio]])*1440</f>
        <v>0</v>
      </c>
    </row>
    <row r="3170" spans="6:6" ht="15">
      <c r="F3170" s="115">
        <f>+(disponibilidad[[#This Row],[Fecha y hora fin]]-disponibilidad[[#This Row],[Fecha y hora inicio]])*1440</f>
        <v>0</v>
      </c>
    </row>
    <row r="3171" spans="6:6" ht="15">
      <c r="F3171" s="115">
        <f>+(disponibilidad[[#This Row],[Fecha y hora fin]]-disponibilidad[[#This Row],[Fecha y hora inicio]])*1440</f>
        <v>0</v>
      </c>
    </row>
    <row r="3172" spans="6:6" ht="15">
      <c r="F3172" s="115">
        <f>+(disponibilidad[[#This Row],[Fecha y hora fin]]-disponibilidad[[#This Row],[Fecha y hora inicio]])*1440</f>
        <v>0</v>
      </c>
    </row>
    <row r="3173" spans="6:6" ht="15">
      <c r="F3173" s="115">
        <f>+(disponibilidad[[#This Row],[Fecha y hora fin]]-disponibilidad[[#This Row],[Fecha y hora inicio]])*1440</f>
        <v>0</v>
      </c>
    </row>
    <row r="3174" spans="6:6" ht="15">
      <c r="F3174" s="115">
        <f>+(disponibilidad[[#This Row],[Fecha y hora fin]]-disponibilidad[[#This Row],[Fecha y hora inicio]])*1440</f>
        <v>0</v>
      </c>
    </row>
    <row r="3175" spans="6:6" ht="15">
      <c r="F3175" s="115">
        <f>+(disponibilidad[[#This Row],[Fecha y hora fin]]-disponibilidad[[#This Row],[Fecha y hora inicio]])*1440</f>
        <v>0</v>
      </c>
    </row>
    <row r="3176" spans="6:6" ht="15">
      <c r="F3176" s="115">
        <f>+(disponibilidad[[#This Row],[Fecha y hora fin]]-disponibilidad[[#This Row],[Fecha y hora inicio]])*1440</f>
        <v>0</v>
      </c>
    </row>
    <row r="3177" spans="6:6" ht="15">
      <c r="F3177" s="115">
        <f>+(disponibilidad[[#This Row],[Fecha y hora fin]]-disponibilidad[[#This Row],[Fecha y hora inicio]])*1440</f>
        <v>0</v>
      </c>
    </row>
    <row r="3178" spans="6:6" ht="15">
      <c r="F3178" s="115">
        <f>+(disponibilidad[[#This Row],[Fecha y hora fin]]-disponibilidad[[#This Row],[Fecha y hora inicio]])*1440</f>
        <v>0</v>
      </c>
    </row>
    <row r="3179" spans="6:6" ht="15">
      <c r="F3179" s="115">
        <f>+(disponibilidad[[#This Row],[Fecha y hora fin]]-disponibilidad[[#This Row],[Fecha y hora inicio]])*1440</f>
        <v>0</v>
      </c>
    </row>
    <row r="3180" spans="6:6" ht="15">
      <c r="F3180" s="115">
        <f>+(disponibilidad[[#This Row],[Fecha y hora fin]]-disponibilidad[[#This Row],[Fecha y hora inicio]])*1440</f>
        <v>0</v>
      </c>
    </row>
    <row r="3181" spans="6:6" ht="15">
      <c r="F3181" s="115">
        <f>+(disponibilidad[[#This Row],[Fecha y hora fin]]-disponibilidad[[#This Row],[Fecha y hora inicio]])*1440</f>
        <v>0</v>
      </c>
    </row>
    <row r="3182" spans="6:6" ht="15">
      <c r="F3182" s="115">
        <f>+(disponibilidad[[#This Row],[Fecha y hora fin]]-disponibilidad[[#This Row],[Fecha y hora inicio]])*1440</f>
        <v>0</v>
      </c>
    </row>
    <row r="3183" spans="6:6" ht="15">
      <c r="F3183" s="115">
        <f>+(disponibilidad[[#This Row],[Fecha y hora fin]]-disponibilidad[[#This Row],[Fecha y hora inicio]])*1440</f>
        <v>0</v>
      </c>
    </row>
    <row r="3184" spans="6:6" ht="15">
      <c r="F3184" s="115">
        <f>+(disponibilidad[[#This Row],[Fecha y hora fin]]-disponibilidad[[#This Row],[Fecha y hora inicio]])*1440</f>
        <v>0</v>
      </c>
    </row>
    <row r="3185" spans="6:6" ht="15">
      <c r="F3185" s="115">
        <f>+(disponibilidad[[#This Row],[Fecha y hora fin]]-disponibilidad[[#This Row],[Fecha y hora inicio]])*1440</f>
        <v>0</v>
      </c>
    </row>
    <row r="3186" spans="6:6" ht="15">
      <c r="F3186" s="115">
        <f>+(disponibilidad[[#This Row],[Fecha y hora fin]]-disponibilidad[[#This Row],[Fecha y hora inicio]])*1440</f>
        <v>0</v>
      </c>
    </row>
    <row r="3187" spans="6:6" ht="15">
      <c r="F3187" s="115">
        <f>+(disponibilidad[[#This Row],[Fecha y hora fin]]-disponibilidad[[#This Row],[Fecha y hora inicio]])*1440</f>
        <v>0</v>
      </c>
    </row>
    <row r="3188" spans="6:6" ht="15">
      <c r="F3188" s="115">
        <f>+(disponibilidad[[#This Row],[Fecha y hora fin]]-disponibilidad[[#This Row],[Fecha y hora inicio]])*1440</f>
        <v>0</v>
      </c>
    </row>
    <row r="3189" spans="6:6" ht="15">
      <c r="F3189" s="115">
        <f>+(disponibilidad[[#This Row],[Fecha y hora fin]]-disponibilidad[[#This Row],[Fecha y hora inicio]])*1440</f>
        <v>0</v>
      </c>
    </row>
    <row r="3190" spans="6:6" ht="15">
      <c r="F3190" s="115">
        <f>+(disponibilidad[[#This Row],[Fecha y hora fin]]-disponibilidad[[#This Row],[Fecha y hora inicio]])*1440</f>
        <v>0</v>
      </c>
    </row>
    <row r="3191" spans="6:6" ht="15">
      <c r="F3191" s="115">
        <f>+(disponibilidad[[#This Row],[Fecha y hora fin]]-disponibilidad[[#This Row],[Fecha y hora inicio]])*1440</f>
        <v>0</v>
      </c>
    </row>
    <row r="3192" spans="6:6" ht="15">
      <c r="F3192" s="115">
        <f>+(disponibilidad[[#This Row],[Fecha y hora fin]]-disponibilidad[[#This Row],[Fecha y hora inicio]])*1440</f>
        <v>0</v>
      </c>
    </row>
    <row r="3193" spans="6:6" ht="15">
      <c r="F3193" s="115">
        <f>+(disponibilidad[[#This Row],[Fecha y hora fin]]-disponibilidad[[#This Row],[Fecha y hora inicio]])*1440</f>
        <v>0</v>
      </c>
    </row>
    <row r="3194" spans="6:6" ht="15">
      <c r="F3194" s="115">
        <f>+(disponibilidad[[#This Row],[Fecha y hora fin]]-disponibilidad[[#This Row],[Fecha y hora inicio]])*1440</f>
        <v>0</v>
      </c>
    </row>
    <row r="3195" spans="6:6" ht="15">
      <c r="F3195" s="115">
        <f>+(disponibilidad[[#This Row],[Fecha y hora fin]]-disponibilidad[[#This Row],[Fecha y hora inicio]])*1440</f>
        <v>0</v>
      </c>
    </row>
    <row r="3196" spans="6:6" ht="15">
      <c r="F3196" s="115">
        <f>+(disponibilidad[[#This Row],[Fecha y hora fin]]-disponibilidad[[#This Row],[Fecha y hora inicio]])*1440</f>
        <v>0</v>
      </c>
    </row>
    <row r="3197" spans="6:6" ht="15">
      <c r="F3197" s="115">
        <f>+(disponibilidad[[#This Row],[Fecha y hora fin]]-disponibilidad[[#This Row],[Fecha y hora inicio]])*1440</f>
        <v>0</v>
      </c>
    </row>
    <row r="3198" spans="6:6" ht="15">
      <c r="F3198" s="115">
        <f>+(disponibilidad[[#This Row],[Fecha y hora fin]]-disponibilidad[[#This Row],[Fecha y hora inicio]])*1440</f>
        <v>0</v>
      </c>
    </row>
    <row r="3199" spans="6:6" ht="15">
      <c r="F3199" s="115">
        <f>+(disponibilidad[[#This Row],[Fecha y hora fin]]-disponibilidad[[#This Row],[Fecha y hora inicio]])*1440</f>
        <v>0</v>
      </c>
    </row>
    <row r="3200" spans="6:6" ht="15">
      <c r="F3200" s="115">
        <f>+(disponibilidad[[#This Row],[Fecha y hora fin]]-disponibilidad[[#This Row],[Fecha y hora inicio]])*1440</f>
        <v>0</v>
      </c>
    </row>
    <row r="3201" spans="6:6" ht="15">
      <c r="F3201" s="115">
        <f>+(disponibilidad[[#This Row],[Fecha y hora fin]]-disponibilidad[[#This Row],[Fecha y hora inicio]])*1440</f>
        <v>0</v>
      </c>
    </row>
    <row r="3202" spans="6:6" ht="15">
      <c r="F3202" s="115">
        <f>+(disponibilidad[[#This Row],[Fecha y hora fin]]-disponibilidad[[#This Row],[Fecha y hora inicio]])*1440</f>
        <v>0</v>
      </c>
    </row>
    <row r="3203" spans="6:6" ht="15">
      <c r="F3203" s="115">
        <f>+(disponibilidad[[#This Row],[Fecha y hora fin]]-disponibilidad[[#This Row],[Fecha y hora inicio]])*1440</f>
        <v>0</v>
      </c>
    </row>
    <row r="3204" spans="6:6" ht="15">
      <c r="F3204" s="115">
        <f>+(disponibilidad[[#This Row],[Fecha y hora fin]]-disponibilidad[[#This Row],[Fecha y hora inicio]])*1440</f>
        <v>0</v>
      </c>
    </row>
    <row r="3205" spans="6:6" ht="15">
      <c r="F3205" s="115">
        <f>+(disponibilidad[[#This Row],[Fecha y hora fin]]-disponibilidad[[#This Row],[Fecha y hora inicio]])*1440</f>
        <v>0</v>
      </c>
    </row>
    <row r="3206" spans="6:6" ht="15">
      <c r="F3206" s="115">
        <f>+(disponibilidad[[#This Row],[Fecha y hora fin]]-disponibilidad[[#This Row],[Fecha y hora inicio]])*1440</f>
        <v>0</v>
      </c>
    </row>
    <row r="3207" spans="6:6" ht="15">
      <c r="F3207" s="115">
        <f>+(disponibilidad[[#This Row],[Fecha y hora fin]]-disponibilidad[[#This Row],[Fecha y hora inicio]])*1440</f>
        <v>0</v>
      </c>
    </row>
    <row r="3208" spans="6:6" ht="15">
      <c r="F3208" s="115">
        <f>+(disponibilidad[[#This Row],[Fecha y hora fin]]-disponibilidad[[#This Row],[Fecha y hora inicio]])*1440</f>
        <v>0</v>
      </c>
    </row>
    <row r="3209" spans="6:6" ht="15">
      <c r="F3209" s="115">
        <f>+(disponibilidad[[#This Row],[Fecha y hora fin]]-disponibilidad[[#This Row],[Fecha y hora inicio]])*1440</f>
        <v>0</v>
      </c>
    </row>
    <row r="3210" spans="6:6" ht="15">
      <c r="F3210" s="115">
        <f>+(disponibilidad[[#This Row],[Fecha y hora fin]]-disponibilidad[[#This Row],[Fecha y hora inicio]])*1440</f>
        <v>0</v>
      </c>
    </row>
    <row r="3211" spans="6:6" ht="15">
      <c r="F3211" s="115">
        <f>+(disponibilidad[[#This Row],[Fecha y hora fin]]-disponibilidad[[#This Row],[Fecha y hora inicio]])*1440</f>
        <v>0</v>
      </c>
    </row>
    <row r="3212" spans="6:6" ht="15">
      <c r="F3212" s="115">
        <f>+(disponibilidad[[#This Row],[Fecha y hora fin]]-disponibilidad[[#This Row],[Fecha y hora inicio]])*1440</f>
        <v>0</v>
      </c>
    </row>
    <row r="3213" spans="6:6" ht="15">
      <c r="F3213" s="115">
        <f>+(disponibilidad[[#This Row],[Fecha y hora fin]]-disponibilidad[[#This Row],[Fecha y hora inicio]])*1440</f>
        <v>0</v>
      </c>
    </row>
    <row r="3214" spans="6:6" ht="15">
      <c r="F3214" s="115">
        <f>+(disponibilidad[[#This Row],[Fecha y hora fin]]-disponibilidad[[#This Row],[Fecha y hora inicio]])*1440</f>
        <v>0</v>
      </c>
    </row>
    <row r="3215" spans="6:6" ht="15">
      <c r="F3215" s="115">
        <f>+(disponibilidad[[#This Row],[Fecha y hora fin]]-disponibilidad[[#This Row],[Fecha y hora inicio]])*1440</f>
        <v>0</v>
      </c>
    </row>
    <row r="3216" spans="6:6" ht="15">
      <c r="F3216" s="115">
        <f>+(disponibilidad[[#This Row],[Fecha y hora fin]]-disponibilidad[[#This Row],[Fecha y hora inicio]])*1440</f>
        <v>0</v>
      </c>
    </row>
    <row r="3217" spans="6:6" ht="15">
      <c r="F3217" s="115">
        <f>+(disponibilidad[[#This Row],[Fecha y hora fin]]-disponibilidad[[#This Row],[Fecha y hora inicio]])*1440</f>
        <v>0</v>
      </c>
    </row>
    <row r="3218" spans="6:6" ht="15">
      <c r="F3218" s="115">
        <f>+(disponibilidad[[#This Row],[Fecha y hora fin]]-disponibilidad[[#This Row],[Fecha y hora inicio]])*1440</f>
        <v>0</v>
      </c>
    </row>
    <row r="3219" spans="6:6" ht="15">
      <c r="F3219" s="115">
        <f>+(disponibilidad[[#This Row],[Fecha y hora fin]]-disponibilidad[[#This Row],[Fecha y hora inicio]])*1440</f>
        <v>0</v>
      </c>
    </row>
    <row r="3220" spans="6:6" ht="15">
      <c r="F3220" s="115">
        <f>+(disponibilidad[[#This Row],[Fecha y hora fin]]-disponibilidad[[#This Row],[Fecha y hora inicio]])*1440</f>
        <v>0</v>
      </c>
    </row>
    <row r="3221" spans="6:6" ht="15">
      <c r="F3221" s="115">
        <f>+(disponibilidad[[#This Row],[Fecha y hora fin]]-disponibilidad[[#This Row],[Fecha y hora inicio]])*1440</f>
        <v>0</v>
      </c>
    </row>
    <row r="3222" spans="6:6" ht="15">
      <c r="F3222" s="115">
        <f>+(disponibilidad[[#This Row],[Fecha y hora fin]]-disponibilidad[[#This Row],[Fecha y hora inicio]])*1440</f>
        <v>0</v>
      </c>
    </row>
    <row r="3223" spans="6:6" ht="15">
      <c r="F3223" s="115">
        <f>+(disponibilidad[[#This Row],[Fecha y hora fin]]-disponibilidad[[#This Row],[Fecha y hora inicio]])*1440</f>
        <v>0</v>
      </c>
    </row>
    <row r="3224" spans="6:6" ht="15">
      <c r="F3224" s="115">
        <f>+(disponibilidad[[#This Row],[Fecha y hora fin]]-disponibilidad[[#This Row],[Fecha y hora inicio]])*1440</f>
        <v>0</v>
      </c>
    </row>
    <row r="3225" spans="6:6" ht="15">
      <c r="F3225" s="115">
        <f>+(disponibilidad[[#This Row],[Fecha y hora fin]]-disponibilidad[[#This Row],[Fecha y hora inicio]])*1440</f>
        <v>0</v>
      </c>
    </row>
    <row r="3226" spans="6:6" ht="15">
      <c r="F3226" s="115">
        <f>+(disponibilidad[[#This Row],[Fecha y hora fin]]-disponibilidad[[#This Row],[Fecha y hora inicio]])*1440</f>
        <v>0</v>
      </c>
    </row>
    <row r="3227" spans="6:6" ht="15">
      <c r="F3227" s="115">
        <f>+(disponibilidad[[#This Row],[Fecha y hora fin]]-disponibilidad[[#This Row],[Fecha y hora inicio]])*1440</f>
        <v>0</v>
      </c>
    </row>
    <row r="3228" spans="6:6" ht="15">
      <c r="F3228" s="115">
        <f>+(disponibilidad[[#This Row],[Fecha y hora fin]]-disponibilidad[[#This Row],[Fecha y hora inicio]])*1440</f>
        <v>0</v>
      </c>
    </row>
    <row r="3229" spans="6:6" ht="15">
      <c r="F3229" s="115">
        <f>+(disponibilidad[[#This Row],[Fecha y hora fin]]-disponibilidad[[#This Row],[Fecha y hora inicio]])*1440</f>
        <v>0</v>
      </c>
    </row>
    <row r="3230" spans="6:6" ht="15">
      <c r="F3230" s="115">
        <f>+(disponibilidad[[#This Row],[Fecha y hora fin]]-disponibilidad[[#This Row],[Fecha y hora inicio]])*1440</f>
        <v>0</v>
      </c>
    </row>
    <row r="3231" spans="6:6" ht="15">
      <c r="F3231" s="115">
        <f>+(disponibilidad[[#This Row],[Fecha y hora fin]]-disponibilidad[[#This Row],[Fecha y hora inicio]])*1440</f>
        <v>0</v>
      </c>
    </row>
    <row r="3232" spans="6:6" ht="15">
      <c r="F3232" s="115">
        <f>+(disponibilidad[[#This Row],[Fecha y hora fin]]-disponibilidad[[#This Row],[Fecha y hora inicio]])*1440</f>
        <v>0</v>
      </c>
    </row>
    <row r="3233" spans="6:6" ht="15">
      <c r="F3233" s="115">
        <f>+(disponibilidad[[#This Row],[Fecha y hora fin]]-disponibilidad[[#This Row],[Fecha y hora inicio]])*1440</f>
        <v>0</v>
      </c>
    </row>
    <row r="3234" spans="6:6" ht="15">
      <c r="F3234" s="115">
        <f>+(disponibilidad[[#This Row],[Fecha y hora fin]]-disponibilidad[[#This Row],[Fecha y hora inicio]])*1440</f>
        <v>0</v>
      </c>
    </row>
    <row r="3235" spans="6:6" ht="15">
      <c r="F3235" s="115">
        <f>+(disponibilidad[[#This Row],[Fecha y hora fin]]-disponibilidad[[#This Row],[Fecha y hora inicio]])*1440</f>
        <v>0</v>
      </c>
    </row>
    <row r="3236" spans="6:6" ht="15">
      <c r="F3236" s="115">
        <f>+(disponibilidad[[#This Row],[Fecha y hora fin]]-disponibilidad[[#This Row],[Fecha y hora inicio]])*1440</f>
        <v>0</v>
      </c>
    </row>
    <row r="3237" spans="6:6" ht="15">
      <c r="F3237" s="115">
        <f>+(disponibilidad[[#This Row],[Fecha y hora fin]]-disponibilidad[[#This Row],[Fecha y hora inicio]])*1440</f>
        <v>0</v>
      </c>
    </row>
    <row r="3238" spans="6:6" ht="15">
      <c r="F3238" s="115">
        <f>+(disponibilidad[[#This Row],[Fecha y hora fin]]-disponibilidad[[#This Row],[Fecha y hora inicio]])*1440</f>
        <v>0</v>
      </c>
    </row>
    <row r="3239" spans="6:6" ht="15">
      <c r="F3239" s="115">
        <f>+(disponibilidad[[#This Row],[Fecha y hora fin]]-disponibilidad[[#This Row],[Fecha y hora inicio]])*1440</f>
        <v>0</v>
      </c>
    </row>
    <row r="3240" spans="6:6" ht="15">
      <c r="F3240" s="115">
        <f>+(disponibilidad[[#This Row],[Fecha y hora fin]]-disponibilidad[[#This Row],[Fecha y hora inicio]])*1440</f>
        <v>0</v>
      </c>
    </row>
    <row r="3241" spans="6:6" ht="15">
      <c r="F3241" s="115">
        <f>+(disponibilidad[[#This Row],[Fecha y hora fin]]-disponibilidad[[#This Row],[Fecha y hora inicio]])*1440</f>
        <v>0</v>
      </c>
    </row>
    <row r="3242" spans="6:6" ht="15">
      <c r="F3242" s="115">
        <f>+(disponibilidad[[#This Row],[Fecha y hora fin]]-disponibilidad[[#This Row],[Fecha y hora inicio]])*1440</f>
        <v>0</v>
      </c>
    </row>
    <row r="3243" spans="6:6" ht="15">
      <c r="F3243" s="115">
        <f>+(disponibilidad[[#This Row],[Fecha y hora fin]]-disponibilidad[[#This Row],[Fecha y hora inicio]])*1440</f>
        <v>0</v>
      </c>
    </row>
    <row r="3244" spans="6:6" ht="15">
      <c r="F3244" s="115">
        <f>+(disponibilidad[[#This Row],[Fecha y hora fin]]-disponibilidad[[#This Row],[Fecha y hora inicio]])*1440</f>
        <v>0</v>
      </c>
    </row>
    <row r="3245" spans="6:6" ht="15">
      <c r="F3245" s="115">
        <f>+(disponibilidad[[#This Row],[Fecha y hora fin]]-disponibilidad[[#This Row],[Fecha y hora inicio]])*1440</f>
        <v>0</v>
      </c>
    </row>
    <row r="3246" spans="6:6" ht="15">
      <c r="F3246" s="115">
        <f>+(disponibilidad[[#This Row],[Fecha y hora fin]]-disponibilidad[[#This Row],[Fecha y hora inicio]])*1440</f>
        <v>0</v>
      </c>
    </row>
    <row r="3247" spans="6:6" ht="15">
      <c r="F3247" s="115">
        <f>+(disponibilidad[[#This Row],[Fecha y hora fin]]-disponibilidad[[#This Row],[Fecha y hora inicio]])*1440</f>
        <v>0</v>
      </c>
    </row>
    <row r="3248" spans="6:6" ht="15">
      <c r="F3248" s="115">
        <f>+(disponibilidad[[#This Row],[Fecha y hora fin]]-disponibilidad[[#This Row],[Fecha y hora inicio]])*1440</f>
        <v>0</v>
      </c>
    </row>
    <row r="3249" spans="6:6" ht="15">
      <c r="F3249" s="115">
        <f>+(disponibilidad[[#This Row],[Fecha y hora fin]]-disponibilidad[[#This Row],[Fecha y hora inicio]])*1440</f>
        <v>0</v>
      </c>
    </row>
    <row r="3250" spans="6:6" ht="15">
      <c r="F3250" s="115">
        <f>+(disponibilidad[[#This Row],[Fecha y hora fin]]-disponibilidad[[#This Row],[Fecha y hora inicio]])*1440</f>
        <v>0</v>
      </c>
    </row>
    <row r="3251" spans="6:6" ht="15">
      <c r="F3251" s="115">
        <f>+(disponibilidad[[#This Row],[Fecha y hora fin]]-disponibilidad[[#This Row],[Fecha y hora inicio]])*1440</f>
        <v>0</v>
      </c>
    </row>
    <row r="3252" spans="6:6" ht="15">
      <c r="F3252" s="115">
        <f>+(disponibilidad[[#This Row],[Fecha y hora fin]]-disponibilidad[[#This Row],[Fecha y hora inicio]])*1440</f>
        <v>0</v>
      </c>
    </row>
    <row r="3253" spans="6:6" ht="15">
      <c r="F3253" s="115">
        <f>+(disponibilidad[[#This Row],[Fecha y hora fin]]-disponibilidad[[#This Row],[Fecha y hora inicio]])*1440</f>
        <v>0</v>
      </c>
    </row>
    <row r="3254" spans="6:6" ht="15">
      <c r="F3254" s="115">
        <f>+(disponibilidad[[#This Row],[Fecha y hora fin]]-disponibilidad[[#This Row],[Fecha y hora inicio]])*1440</f>
        <v>0</v>
      </c>
    </row>
    <row r="3255" spans="6:6" ht="15">
      <c r="F3255" s="115">
        <f>+(disponibilidad[[#This Row],[Fecha y hora fin]]-disponibilidad[[#This Row],[Fecha y hora inicio]])*1440</f>
        <v>0</v>
      </c>
    </row>
    <row r="3256" spans="6:6" ht="15">
      <c r="F3256" s="115">
        <f>+(disponibilidad[[#This Row],[Fecha y hora fin]]-disponibilidad[[#This Row],[Fecha y hora inicio]])*1440</f>
        <v>0</v>
      </c>
    </row>
    <row r="3257" spans="6:6" ht="15">
      <c r="F3257" s="115">
        <f>+(disponibilidad[[#This Row],[Fecha y hora fin]]-disponibilidad[[#This Row],[Fecha y hora inicio]])*1440</f>
        <v>0</v>
      </c>
    </row>
    <row r="3258" spans="6:6" ht="15">
      <c r="F3258" s="115">
        <f>+(disponibilidad[[#This Row],[Fecha y hora fin]]-disponibilidad[[#This Row],[Fecha y hora inicio]])*1440</f>
        <v>0</v>
      </c>
    </row>
    <row r="3259" spans="6:6" ht="15">
      <c r="F3259" s="115">
        <f>+(disponibilidad[[#This Row],[Fecha y hora fin]]-disponibilidad[[#This Row],[Fecha y hora inicio]])*1440</f>
        <v>0</v>
      </c>
    </row>
    <row r="3260" spans="6:6" ht="15">
      <c r="F3260" s="115">
        <f>+(disponibilidad[[#This Row],[Fecha y hora fin]]-disponibilidad[[#This Row],[Fecha y hora inicio]])*1440</f>
        <v>0</v>
      </c>
    </row>
    <row r="3261" spans="6:6" ht="15">
      <c r="F3261" s="115">
        <f>+(disponibilidad[[#This Row],[Fecha y hora fin]]-disponibilidad[[#This Row],[Fecha y hora inicio]])*1440</f>
        <v>0</v>
      </c>
    </row>
    <row r="3262" spans="6:6" ht="15">
      <c r="F3262" s="115">
        <f>+(disponibilidad[[#This Row],[Fecha y hora fin]]-disponibilidad[[#This Row],[Fecha y hora inicio]])*1440</f>
        <v>0</v>
      </c>
    </row>
    <row r="3263" spans="6:6" ht="15">
      <c r="F3263" s="115">
        <f>+(disponibilidad[[#This Row],[Fecha y hora fin]]-disponibilidad[[#This Row],[Fecha y hora inicio]])*1440</f>
        <v>0</v>
      </c>
    </row>
    <row r="3264" spans="6:6" ht="15">
      <c r="F3264" s="115">
        <f>+(disponibilidad[[#This Row],[Fecha y hora fin]]-disponibilidad[[#This Row],[Fecha y hora inicio]])*1440</f>
        <v>0</v>
      </c>
    </row>
    <row r="3265" spans="6:6" ht="15">
      <c r="F3265" s="115">
        <f>+(disponibilidad[[#This Row],[Fecha y hora fin]]-disponibilidad[[#This Row],[Fecha y hora inicio]])*1440</f>
        <v>0</v>
      </c>
    </row>
    <row r="3266" spans="6:6" ht="15">
      <c r="F3266" s="115">
        <f>+(disponibilidad[[#This Row],[Fecha y hora fin]]-disponibilidad[[#This Row],[Fecha y hora inicio]])*1440</f>
        <v>0</v>
      </c>
    </row>
    <row r="3267" spans="6:6" ht="15">
      <c r="F3267" s="115">
        <f>+(disponibilidad[[#This Row],[Fecha y hora fin]]-disponibilidad[[#This Row],[Fecha y hora inicio]])*1440</f>
        <v>0</v>
      </c>
    </row>
    <row r="3268" spans="6:6" ht="15">
      <c r="F3268" s="115">
        <f>+(disponibilidad[[#This Row],[Fecha y hora fin]]-disponibilidad[[#This Row],[Fecha y hora inicio]])*1440</f>
        <v>0</v>
      </c>
    </row>
    <row r="3269" spans="6:6" ht="15">
      <c r="F3269" s="115">
        <f>+(disponibilidad[[#This Row],[Fecha y hora fin]]-disponibilidad[[#This Row],[Fecha y hora inicio]])*1440</f>
        <v>0</v>
      </c>
    </row>
    <row r="3270" spans="6:6" ht="15">
      <c r="F3270" s="115">
        <f>+(disponibilidad[[#This Row],[Fecha y hora fin]]-disponibilidad[[#This Row],[Fecha y hora inicio]])*1440</f>
        <v>0</v>
      </c>
    </row>
    <row r="3271" spans="6:6" ht="15">
      <c r="F3271" s="115">
        <f>+(disponibilidad[[#This Row],[Fecha y hora fin]]-disponibilidad[[#This Row],[Fecha y hora inicio]])*1440</f>
        <v>0</v>
      </c>
    </row>
    <row r="3272" spans="6:6" ht="15">
      <c r="F3272" s="115">
        <f>+(disponibilidad[[#This Row],[Fecha y hora fin]]-disponibilidad[[#This Row],[Fecha y hora inicio]])*1440</f>
        <v>0</v>
      </c>
    </row>
    <row r="3273" spans="6:6" ht="15">
      <c r="F3273" s="115">
        <f>+(disponibilidad[[#This Row],[Fecha y hora fin]]-disponibilidad[[#This Row],[Fecha y hora inicio]])*1440</f>
        <v>0</v>
      </c>
    </row>
    <row r="3274" spans="6:6" ht="15">
      <c r="F3274" s="115">
        <f>+(disponibilidad[[#This Row],[Fecha y hora fin]]-disponibilidad[[#This Row],[Fecha y hora inicio]])*1440</f>
        <v>0</v>
      </c>
    </row>
    <row r="3275" spans="6:6" ht="15">
      <c r="F3275" s="115">
        <f>+(disponibilidad[[#This Row],[Fecha y hora fin]]-disponibilidad[[#This Row],[Fecha y hora inicio]])*1440</f>
        <v>0</v>
      </c>
    </row>
    <row r="3276" spans="6:6" ht="15">
      <c r="F3276" s="115">
        <f>+(disponibilidad[[#This Row],[Fecha y hora fin]]-disponibilidad[[#This Row],[Fecha y hora inicio]])*1440</f>
        <v>0</v>
      </c>
    </row>
    <row r="3277" spans="6:6" ht="15">
      <c r="F3277" s="115">
        <f>+(disponibilidad[[#This Row],[Fecha y hora fin]]-disponibilidad[[#This Row],[Fecha y hora inicio]])*1440</f>
        <v>0</v>
      </c>
    </row>
    <row r="3278" spans="6:6" ht="15">
      <c r="F3278" s="115">
        <f>+(disponibilidad[[#This Row],[Fecha y hora fin]]-disponibilidad[[#This Row],[Fecha y hora inicio]])*1440</f>
        <v>0</v>
      </c>
    </row>
    <row r="3279" spans="6:6" ht="15">
      <c r="F3279" s="115">
        <f>+(disponibilidad[[#This Row],[Fecha y hora fin]]-disponibilidad[[#This Row],[Fecha y hora inicio]])*1440</f>
        <v>0</v>
      </c>
    </row>
    <row r="3280" spans="6:6" ht="15">
      <c r="F3280" s="115">
        <f>+(disponibilidad[[#This Row],[Fecha y hora fin]]-disponibilidad[[#This Row],[Fecha y hora inicio]])*1440</f>
        <v>0</v>
      </c>
    </row>
    <row r="3281" spans="6:6" ht="15">
      <c r="F3281" s="115">
        <f>+(disponibilidad[[#This Row],[Fecha y hora fin]]-disponibilidad[[#This Row],[Fecha y hora inicio]])*1440</f>
        <v>0</v>
      </c>
    </row>
    <row r="3282" spans="6:6" ht="15">
      <c r="F3282" s="115">
        <f>+(disponibilidad[[#This Row],[Fecha y hora fin]]-disponibilidad[[#This Row],[Fecha y hora inicio]])*1440</f>
        <v>0</v>
      </c>
    </row>
    <row r="3283" spans="6:6" ht="15">
      <c r="F3283" s="115">
        <f>+(disponibilidad[[#This Row],[Fecha y hora fin]]-disponibilidad[[#This Row],[Fecha y hora inicio]])*1440</f>
        <v>0</v>
      </c>
    </row>
    <row r="3284" spans="6:6" ht="15">
      <c r="F3284" s="115">
        <f>+(disponibilidad[[#This Row],[Fecha y hora fin]]-disponibilidad[[#This Row],[Fecha y hora inicio]])*1440</f>
        <v>0</v>
      </c>
    </row>
    <row r="3285" spans="6:6" ht="15">
      <c r="F3285" s="115">
        <f>+(disponibilidad[[#This Row],[Fecha y hora fin]]-disponibilidad[[#This Row],[Fecha y hora inicio]])*1440</f>
        <v>0</v>
      </c>
    </row>
    <row r="3286" spans="6:6" ht="15">
      <c r="F3286" s="115">
        <f>+(disponibilidad[[#This Row],[Fecha y hora fin]]-disponibilidad[[#This Row],[Fecha y hora inicio]])*1440</f>
        <v>0</v>
      </c>
    </row>
    <row r="3287" spans="6:6" ht="15">
      <c r="F3287" s="115">
        <f>+(disponibilidad[[#This Row],[Fecha y hora fin]]-disponibilidad[[#This Row],[Fecha y hora inicio]])*1440</f>
        <v>0</v>
      </c>
    </row>
    <row r="3288" spans="6:6" ht="15">
      <c r="F3288" s="115">
        <f>+(disponibilidad[[#This Row],[Fecha y hora fin]]-disponibilidad[[#This Row],[Fecha y hora inicio]])*1440</f>
        <v>0</v>
      </c>
    </row>
    <row r="3289" spans="6:6" ht="15">
      <c r="F3289" s="115">
        <f>+(disponibilidad[[#This Row],[Fecha y hora fin]]-disponibilidad[[#This Row],[Fecha y hora inicio]])*1440</f>
        <v>0</v>
      </c>
    </row>
    <row r="3290" spans="6:6" ht="15">
      <c r="F3290" s="115">
        <f>+(disponibilidad[[#This Row],[Fecha y hora fin]]-disponibilidad[[#This Row],[Fecha y hora inicio]])*1440</f>
        <v>0</v>
      </c>
    </row>
    <row r="3291" spans="6:6" ht="15">
      <c r="F3291" s="115">
        <f>+(disponibilidad[[#This Row],[Fecha y hora fin]]-disponibilidad[[#This Row],[Fecha y hora inicio]])*1440</f>
        <v>0</v>
      </c>
    </row>
    <row r="3292" spans="6:6" ht="15">
      <c r="F3292" s="115">
        <f>+(disponibilidad[[#This Row],[Fecha y hora fin]]-disponibilidad[[#This Row],[Fecha y hora inicio]])*1440</f>
        <v>0</v>
      </c>
    </row>
    <row r="3293" spans="6:6" ht="15">
      <c r="F3293" s="115">
        <f>+(disponibilidad[[#This Row],[Fecha y hora fin]]-disponibilidad[[#This Row],[Fecha y hora inicio]])*1440</f>
        <v>0</v>
      </c>
    </row>
    <row r="3294" spans="6:6" ht="15">
      <c r="F3294" s="115">
        <f>+(disponibilidad[[#This Row],[Fecha y hora fin]]-disponibilidad[[#This Row],[Fecha y hora inicio]])*1440</f>
        <v>0</v>
      </c>
    </row>
    <row r="3295" spans="6:6" ht="15">
      <c r="F3295" s="115">
        <f>+(disponibilidad[[#This Row],[Fecha y hora fin]]-disponibilidad[[#This Row],[Fecha y hora inicio]])*1440</f>
        <v>0</v>
      </c>
    </row>
    <row r="3296" spans="6:6" ht="15">
      <c r="F3296" s="115">
        <f>+(disponibilidad[[#This Row],[Fecha y hora fin]]-disponibilidad[[#This Row],[Fecha y hora inicio]])*1440</f>
        <v>0</v>
      </c>
    </row>
    <row r="3297" spans="6:6" ht="15">
      <c r="F3297" s="115">
        <f>+(disponibilidad[[#This Row],[Fecha y hora fin]]-disponibilidad[[#This Row],[Fecha y hora inicio]])*1440</f>
        <v>0</v>
      </c>
    </row>
    <row r="3298" spans="6:6" ht="15">
      <c r="F3298" s="115">
        <f>+(disponibilidad[[#This Row],[Fecha y hora fin]]-disponibilidad[[#This Row],[Fecha y hora inicio]])*1440</f>
        <v>0</v>
      </c>
    </row>
    <row r="3299" spans="6:6" ht="15">
      <c r="F3299" s="115">
        <f>+(disponibilidad[[#This Row],[Fecha y hora fin]]-disponibilidad[[#This Row],[Fecha y hora inicio]])*1440</f>
        <v>0</v>
      </c>
    </row>
    <row r="3300" spans="6:6" ht="15">
      <c r="F3300" s="115">
        <f>+(disponibilidad[[#This Row],[Fecha y hora fin]]-disponibilidad[[#This Row],[Fecha y hora inicio]])*1440</f>
        <v>0</v>
      </c>
    </row>
    <row r="3301" spans="6:6" ht="15">
      <c r="F3301" s="115">
        <f>+(disponibilidad[[#This Row],[Fecha y hora fin]]-disponibilidad[[#This Row],[Fecha y hora inicio]])*1440</f>
        <v>0</v>
      </c>
    </row>
    <row r="3302" spans="6:6" ht="15">
      <c r="F3302" s="115">
        <f>+(disponibilidad[[#This Row],[Fecha y hora fin]]-disponibilidad[[#This Row],[Fecha y hora inicio]])*1440</f>
        <v>0</v>
      </c>
    </row>
    <row r="3303" spans="6:6" ht="15">
      <c r="F3303" s="115">
        <f>+(disponibilidad[[#This Row],[Fecha y hora fin]]-disponibilidad[[#This Row],[Fecha y hora inicio]])*1440</f>
        <v>0</v>
      </c>
    </row>
    <row r="3304" spans="6:6" ht="15">
      <c r="F3304" s="115">
        <f>+(disponibilidad[[#This Row],[Fecha y hora fin]]-disponibilidad[[#This Row],[Fecha y hora inicio]])*1440</f>
        <v>0</v>
      </c>
    </row>
    <row r="3305" spans="6:6" ht="15">
      <c r="F3305" s="115">
        <f>+(disponibilidad[[#This Row],[Fecha y hora fin]]-disponibilidad[[#This Row],[Fecha y hora inicio]])*1440</f>
        <v>0</v>
      </c>
    </row>
    <row r="3306" spans="6:6" ht="15">
      <c r="F3306" s="115">
        <f>+(disponibilidad[[#This Row],[Fecha y hora fin]]-disponibilidad[[#This Row],[Fecha y hora inicio]])*1440</f>
        <v>0</v>
      </c>
    </row>
    <row r="3307" spans="6:6" ht="15">
      <c r="F3307" s="115">
        <f>+(disponibilidad[[#This Row],[Fecha y hora fin]]-disponibilidad[[#This Row],[Fecha y hora inicio]])*1440</f>
        <v>0</v>
      </c>
    </row>
    <row r="3308" spans="6:6" ht="15">
      <c r="F3308" s="115">
        <f>+(disponibilidad[[#This Row],[Fecha y hora fin]]-disponibilidad[[#This Row],[Fecha y hora inicio]])*1440</f>
        <v>0</v>
      </c>
    </row>
    <row r="3309" spans="6:6" ht="15">
      <c r="F3309" s="115">
        <f>+(disponibilidad[[#This Row],[Fecha y hora fin]]-disponibilidad[[#This Row],[Fecha y hora inicio]])*1440</f>
        <v>0</v>
      </c>
    </row>
    <row r="3310" spans="6:6" ht="15">
      <c r="F3310" s="115">
        <f>+(disponibilidad[[#This Row],[Fecha y hora fin]]-disponibilidad[[#This Row],[Fecha y hora inicio]])*1440</f>
        <v>0</v>
      </c>
    </row>
    <row r="3311" spans="6:6" ht="15">
      <c r="F3311" s="115">
        <f>+(disponibilidad[[#This Row],[Fecha y hora fin]]-disponibilidad[[#This Row],[Fecha y hora inicio]])*1440</f>
        <v>0</v>
      </c>
    </row>
    <row r="3312" spans="6:6" ht="15">
      <c r="F3312" s="115">
        <f>+(disponibilidad[[#This Row],[Fecha y hora fin]]-disponibilidad[[#This Row],[Fecha y hora inicio]])*1440</f>
        <v>0</v>
      </c>
    </row>
    <row r="3313" spans="6:6" ht="15">
      <c r="F3313" s="115">
        <f>+(disponibilidad[[#This Row],[Fecha y hora fin]]-disponibilidad[[#This Row],[Fecha y hora inicio]])*1440</f>
        <v>0</v>
      </c>
    </row>
    <row r="3314" spans="6:6" ht="15">
      <c r="F3314" s="115">
        <f>+(disponibilidad[[#This Row],[Fecha y hora fin]]-disponibilidad[[#This Row],[Fecha y hora inicio]])*1440</f>
        <v>0</v>
      </c>
    </row>
    <row r="3315" spans="6:6" ht="15">
      <c r="F3315" s="115">
        <f>+(disponibilidad[[#This Row],[Fecha y hora fin]]-disponibilidad[[#This Row],[Fecha y hora inicio]])*1440</f>
        <v>0</v>
      </c>
    </row>
    <row r="3316" spans="6:6" ht="15">
      <c r="F3316" s="115">
        <f>+(disponibilidad[[#This Row],[Fecha y hora fin]]-disponibilidad[[#This Row],[Fecha y hora inicio]])*1440</f>
        <v>0</v>
      </c>
    </row>
    <row r="3317" spans="6:6" ht="15">
      <c r="F3317" s="115">
        <f>+(disponibilidad[[#This Row],[Fecha y hora fin]]-disponibilidad[[#This Row],[Fecha y hora inicio]])*1440</f>
        <v>0</v>
      </c>
    </row>
    <row r="3318" spans="6:6" ht="15">
      <c r="F3318" s="115">
        <f>+(disponibilidad[[#This Row],[Fecha y hora fin]]-disponibilidad[[#This Row],[Fecha y hora inicio]])*1440</f>
        <v>0</v>
      </c>
    </row>
    <row r="3319" spans="6:6" ht="15">
      <c r="F3319" s="115">
        <f>+(disponibilidad[[#This Row],[Fecha y hora fin]]-disponibilidad[[#This Row],[Fecha y hora inicio]])*1440</f>
        <v>0</v>
      </c>
    </row>
    <row r="3320" spans="6:6" ht="15">
      <c r="F3320" s="115">
        <f>+(disponibilidad[[#This Row],[Fecha y hora fin]]-disponibilidad[[#This Row],[Fecha y hora inicio]])*1440</f>
        <v>0</v>
      </c>
    </row>
    <row r="3321" spans="6:6" ht="15">
      <c r="F3321" s="115">
        <f>+(disponibilidad[[#This Row],[Fecha y hora fin]]-disponibilidad[[#This Row],[Fecha y hora inicio]])*1440</f>
        <v>0</v>
      </c>
    </row>
    <row r="3322" spans="6:6" ht="15">
      <c r="F3322" s="115">
        <f>+(disponibilidad[[#This Row],[Fecha y hora fin]]-disponibilidad[[#This Row],[Fecha y hora inicio]])*1440</f>
        <v>0</v>
      </c>
    </row>
    <row r="3323" spans="6:6" ht="15">
      <c r="F3323" s="115">
        <f>+(disponibilidad[[#This Row],[Fecha y hora fin]]-disponibilidad[[#This Row],[Fecha y hora inicio]])*1440</f>
        <v>0</v>
      </c>
    </row>
    <row r="3324" spans="6:6" ht="15">
      <c r="F3324" s="115">
        <f>+(disponibilidad[[#This Row],[Fecha y hora fin]]-disponibilidad[[#This Row],[Fecha y hora inicio]])*1440</f>
        <v>0</v>
      </c>
    </row>
    <row r="3325" spans="6:6" ht="15">
      <c r="F3325" s="115">
        <f>+(disponibilidad[[#This Row],[Fecha y hora fin]]-disponibilidad[[#This Row],[Fecha y hora inicio]])*1440</f>
        <v>0</v>
      </c>
    </row>
    <row r="3326" spans="6:6" ht="15">
      <c r="F3326" s="115">
        <f>+(disponibilidad[[#This Row],[Fecha y hora fin]]-disponibilidad[[#This Row],[Fecha y hora inicio]])*1440</f>
        <v>0</v>
      </c>
    </row>
    <row r="3327" spans="6:6" ht="15">
      <c r="F3327" s="115">
        <f>+(disponibilidad[[#This Row],[Fecha y hora fin]]-disponibilidad[[#This Row],[Fecha y hora inicio]])*1440</f>
        <v>0</v>
      </c>
    </row>
    <row r="3328" spans="6:6" ht="15">
      <c r="F3328" s="115">
        <f>+(disponibilidad[[#This Row],[Fecha y hora fin]]-disponibilidad[[#This Row],[Fecha y hora inicio]])*1440</f>
        <v>0</v>
      </c>
    </row>
    <row r="3329" spans="6:6" ht="15">
      <c r="F3329" s="115">
        <f>+(disponibilidad[[#This Row],[Fecha y hora fin]]-disponibilidad[[#This Row],[Fecha y hora inicio]])*1440</f>
        <v>0</v>
      </c>
    </row>
    <row r="3330" spans="6:6" ht="15">
      <c r="F3330" s="115">
        <f>+(disponibilidad[[#This Row],[Fecha y hora fin]]-disponibilidad[[#This Row],[Fecha y hora inicio]])*1440</f>
        <v>0</v>
      </c>
    </row>
    <row r="3331" spans="6:6" ht="15">
      <c r="F3331" s="115">
        <f>+(disponibilidad[[#This Row],[Fecha y hora fin]]-disponibilidad[[#This Row],[Fecha y hora inicio]])*1440</f>
        <v>0</v>
      </c>
    </row>
    <row r="3332" spans="6:6" ht="15">
      <c r="F3332" s="115">
        <f>+(disponibilidad[[#This Row],[Fecha y hora fin]]-disponibilidad[[#This Row],[Fecha y hora inicio]])*1440</f>
        <v>0</v>
      </c>
    </row>
    <row r="3333" spans="6:6" ht="15">
      <c r="F3333" s="115">
        <f>+(disponibilidad[[#This Row],[Fecha y hora fin]]-disponibilidad[[#This Row],[Fecha y hora inicio]])*1440</f>
        <v>0</v>
      </c>
    </row>
    <row r="3334" spans="6:6" ht="15">
      <c r="F3334" s="115">
        <f>+(disponibilidad[[#This Row],[Fecha y hora fin]]-disponibilidad[[#This Row],[Fecha y hora inicio]])*1440</f>
        <v>0</v>
      </c>
    </row>
    <row r="3335" spans="6:6" ht="15">
      <c r="F3335" s="115">
        <f>+(disponibilidad[[#This Row],[Fecha y hora fin]]-disponibilidad[[#This Row],[Fecha y hora inicio]])*1440</f>
        <v>0</v>
      </c>
    </row>
    <row r="3336" spans="6:6" ht="15">
      <c r="F3336" s="115">
        <f>+(disponibilidad[[#This Row],[Fecha y hora fin]]-disponibilidad[[#This Row],[Fecha y hora inicio]])*1440</f>
        <v>0</v>
      </c>
    </row>
    <row r="3337" spans="6:6" ht="15">
      <c r="F3337" s="115">
        <f>+(disponibilidad[[#This Row],[Fecha y hora fin]]-disponibilidad[[#This Row],[Fecha y hora inicio]])*1440</f>
        <v>0</v>
      </c>
    </row>
    <row r="3338" spans="6:6" ht="15">
      <c r="F3338" s="115">
        <f>+(disponibilidad[[#This Row],[Fecha y hora fin]]-disponibilidad[[#This Row],[Fecha y hora inicio]])*1440</f>
        <v>0</v>
      </c>
    </row>
    <row r="3339" spans="6:6" ht="15">
      <c r="F3339" s="115">
        <f>+(disponibilidad[[#This Row],[Fecha y hora fin]]-disponibilidad[[#This Row],[Fecha y hora inicio]])*1440</f>
        <v>0</v>
      </c>
    </row>
    <row r="3340" spans="6:6" ht="15">
      <c r="F3340" s="115">
        <f>+(disponibilidad[[#This Row],[Fecha y hora fin]]-disponibilidad[[#This Row],[Fecha y hora inicio]])*1440</f>
        <v>0</v>
      </c>
    </row>
    <row r="3341" spans="6:6" ht="15">
      <c r="F3341" s="115">
        <f>+(disponibilidad[[#This Row],[Fecha y hora fin]]-disponibilidad[[#This Row],[Fecha y hora inicio]])*1440</f>
        <v>0</v>
      </c>
    </row>
    <row r="3342" spans="6:6" ht="15">
      <c r="F3342" s="115">
        <f>+(disponibilidad[[#This Row],[Fecha y hora fin]]-disponibilidad[[#This Row],[Fecha y hora inicio]])*1440</f>
        <v>0</v>
      </c>
    </row>
    <row r="3343" spans="6:6" ht="15">
      <c r="F3343" s="115">
        <f>+(disponibilidad[[#This Row],[Fecha y hora fin]]-disponibilidad[[#This Row],[Fecha y hora inicio]])*1440</f>
        <v>0</v>
      </c>
    </row>
    <row r="3344" spans="6:6" ht="15">
      <c r="F3344" s="115">
        <f>+(disponibilidad[[#This Row],[Fecha y hora fin]]-disponibilidad[[#This Row],[Fecha y hora inicio]])*1440</f>
        <v>0</v>
      </c>
    </row>
    <row r="3345" spans="6:6" ht="15">
      <c r="F3345" s="115">
        <f>+(disponibilidad[[#This Row],[Fecha y hora fin]]-disponibilidad[[#This Row],[Fecha y hora inicio]])*1440</f>
        <v>0</v>
      </c>
    </row>
    <row r="3346" spans="6:6" ht="15">
      <c r="F3346" s="115">
        <f>+(disponibilidad[[#This Row],[Fecha y hora fin]]-disponibilidad[[#This Row],[Fecha y hora inicio]])*1440</f>
        <v>0</v>
      </c>
    </row>
    <row r="3347" spans="6:6" ht="15">
      <c r="F3347" s="115">
        <f>+(disponibilidad[[#This Row],[Fecha y hora fin]]-disponibilidad[[#This Row],[Fecha y hora inicio]])*1440</f>
        <v>0</v>
      </c>
    </row>
    <row r="3348" spans="6:6" ht="15">
      <c r="F3348" s="115">
        <f>+(disponibilidad[[#This Row],[Fecha y hora fin]]-disponibilidad[[#This Row],[Fecha y hora inicio]])*1440</f>
        <v>0</v>
      </c>
    </row>
    <row r="3349" spans="6:6" ht="15">
      <c r="F3349" s="115">
        <f>+(disponibilidad[[#This Row],[Fecha y hora fin]]-disponibilidad[[#This Row],[Fecha y hora inicio]])*1440</f>
        <v>0</v>
      </c>
    </row>
    <row r="3350" spans="6:6" ht="15">
      <c r="F3350" s="115">
        <f>+(disponibilidad[[#This Row],[Fecha y hora fin]]-disponibilidad[[#This Row],[Fecha y hora inicio]])*1440</f>
        <v>0</v>
      </c>
    </row>
    <row r="3351" spans="6:6" ht="15">
      <c r="F3351" s="115">
        <f>+(disponibilidad[[#This Row],[Fecha y hora fin]]-disponibilidad[[#This Row],[Fecha y hora inicio]])*1440</f>
        <v>0</v>
      </c>
    </row>
    <row r="3352" spans="6:6" ht="15">
      <c r="F3352" s="115">
        <f>+(disponibilidad[[#This Row],[Fecha y hora fin]]-disponibilidad[[#This Row],[Fecha y hora inicio]])*1440</f>
        <v>0</v>
      </c>
    </row>
    <row r="3353" spans="6:6" ht="15">
      <c r="F3353" s="115">
        <f>+(disponibilidad[[#This Row],[Fecha y hora fin]]-disponibilidad[[#This Row],[Fecha y hora inicio]])*1440</f>
        <v>0</v>
      </c>
    </row>
    <row r="3354" spans="6:6" ht="15">
      <c r="F3354" s="115">
        <f>+(disponibilidad[[#This Row],[Fecha y hora fin]]-disponibilidad[[#This Row],[Fecha y hora inicio]])*1440</f>
        <v>0</v>
      </c>
    </row>
    <row r="3355" spans="6:6" ht="15">
      <c r="F3355" s="115">
        <f>+(disponibilidad[[#This Row],[Fecha y hora fin]]-disponibilidad[[#This Row],[Fecha y hora inicio]])*1440</f>
        <v>0</v>
      </c>
    </row>
    <row r="3356" spans="6:6" ht="15">
      <c r="F3356" s="115">
        <f>+(disponibilidad[[#This Row],[Fecha y hora fin]]-disponibilidad[[#This Row],[Fecha y hora inicio]])*1440</f>
        <v>0</v>
      </c>
    </row>
    <row r="3357" spans="6:6" ht="15">
      <c r="F3357" s="115">
        <f>+(disponibilidad[[#This Row],[Fecha y hora fin]]-disponibilidad[[#This Row],[Fecha y hora inicio]])*1440</f>
        <v>0</v>
      </c>
    </row>
    <row r="3358" spans="6:6" ht="15">
      <c r="F3358" s="115">
        <f>+(disponibilidad[[#This Row],[Fecha y hora fin]]-disponibilidad[[#This Row],[Fecha y hora inicio]])*1440</f>
        <v>0</v>
      </c>
    </row>
    <row r="3359" spans="6:6" ht="15">
      <c r="F3359" s="115">
        <f>+(disponibilidad[[#This Row],[Fecha y hora fin]]-disponibilidad[[#This Row],[Fecha y hora inicio]])*1440</f>
        <v>0</v>
      </c>
    </row>
    <row r="3360" spans="6:6" ht="15">
      <c r="F3360" s="115">
        <f>+(disponibilidad[[#This Row],[Fecha y hora fin]]-disponibilidad[[#This Row],[Fecha y hora inicio]])*1440</f>
        <v>0</v>
      </c>
    </row>
    <row r="3361" spans="6:6" ht="15">
      <c r="F3361" s="115">
        <f>+(disponibilidad[[#This Row],[Fecha y hora fin]]-disponibilidad[[#This Row],[Fecha y hora inicio]])*1440</f>
        <v>0</v>
      </c>
    </row>
    <row r="3362" spans="6:6" ht="15">
      <c r="F3362" s="115">
        <f>+(disponibilidad[[#This Row],[Fecha y hora fin]]-disponibilidad[[#This Row],[Fecha y hora inicio]])*1440</f>
        <v>0</v>
      </c>
    </row>
    <row r="3363" spans="6:6" ht="15">
      <c r="F3363" s="115">
        <f>+(disponibilidad[[#This Row],[Fecha y hora fin]]-disponibilidad[[#This Row],[Fecha y hora inicio]])*1440</f>
        <v>0</v>
      </c>
    </row>
    <row r="3364" spans="6:6" ht="15">
      <c r="F3364" s="115">
        <f>+(disponibilidad[[#This Row],[Fecha y hora fin]]-disponibilidad[[#This Row],[Fecha y hora inicio]])*1440</f>
        <v>0</v>
      </c>
    </row>
    <row r="3365" spans="6:6" ht="15">
      <c r="F3365" s="115">
        <f>+(disponibilidad[[#This Row],[Fecha y hora fin]]-disponibilidad[[#This Row],[Fecha y hora inicio]])*1440</f>
        <v>0</v>
      </c>
    </row>
    <row r="3366" spans="6:6" ht="15">
      <c r="F3366" s="115">
        <f>+(disponibilidad[[#This Row],[Fecha y hora fin]]-disponibilidad[[#This Row],[Fecha y hora inicio]])*1440</f>
        <v>0</v>
      </c>
    </row>
    <row r="3367" spans="6:6" ht="15">
      <c r="F3367" s="115">
        <f>+(disponibilidad[[#This Row],[Fecha y hora fin]]-disponibilidad[[#This Row],[Fecha y hora inicio]])*1440</f>
        <v>0</v>
      </c>
    </row>
    <row r="3368" spans="6:6" ht="15">
      <c r="F3368" s="115">
        <f>+(disponibilidad[[#This Row],[Fecha y hora fin]]-disponibilidad[[#This Row],[Fecha y hora inicio]])*1440</f>
        <v>0</v>
      </c>
    </row>
    <row r="3369" spans="6:6" ht="15">
      <c r="F3369" s="115">
        <f>+(disponibilidad[[#This Row],[Fecha y hora fin]]-disponibilidad[[#This Row],[Fecha y hora inicio]])*1440</f>
        <v>0</v>
      </c>
    </row>
    <row r="3370" spans="6:6" ht="15">
      <c r="F3370" s="115">
        <f>+(disponibilidad[[#This Row],[Fecha y hora fin]]-disponibilidad[[#This Row],[Fecha y hora inicio]])*1440</f>
        <v>0</v>
      </c>
    </row>
    <row r="3371" spans="6:6" ht="15">
      <c r="F3371" s="115">
        <f>+(disponibilidad[[#This Row],[Fecha y hora fin]]-disponibilidad[[#This Row],[Fecha y hora inicio]])*1440</f>
        <v>0</v>
      </c>
    </row>
    <row r="3372" spans="6:6" ht="15">
      <c r="F3372" s="115">
        <f>+(disponibilidad[[#This Row],[Fecha y hora fin]]-disponibilidad[[#This Row],[Fecha y hora inicio]])*1440</f>
        <v>0</v>
      </c>
    </row>
    <row r="3373" spans="6:6" ht="15">
      <c r="F3373" s="115">
        <f>+(disponibilidad[[#This Row],[Fecha y hora fin]]-disponibilidad[[#This Row],[Fecha y hora inicio]])*1440</f>
        <v>0</v>
      </c>
    </row>
    <row r="3374" spans="6:6" ht="15">
      <c r="F3374" s="115">
        <f>+(disponibilidad[[#This Row],[Fecha y hora fin]]-disponibilidad[[#This Row],[Fecha y hora inicio]])*1440</f>
        <v>0</v>
      </c>
    </row>
    <row r="3375" spans="6:6" ht="15">
      <c r="F3375" s="115">
        <f>+(disponibilidad[[#This Row],[Fecha y hora fin]]-disponibilidad[[#This Row],[Fecha y hora inicio]])*1440</f>
        <v>0</v>
      </c>
    </row>
    <row r="3376" spans="6:6" ht="15">
      <c r="F3376" s="115">
        <f>+(disponibilidad[[#This Row],[Fecha y hora fin]]-disponibilidad[[#This Row],[Fecha y hora inicio]])*1440</f>
        <v>0</v>
      </c>
    </row>
    <row r="3377" spans="6:6" ht="15">
      <c r="F3377" s="115">
        <f>+(disponibilidad[[#This Row],[Fecha y hora fin]]-disponibilidad[[#This Row],[Fecha y hora inicio]])*1440</f>
        <v>0</v>
      </c>
    </row>
    <row r="3378" spans="6:6" ht="15">
      <c r="F3378" s="115">
        <f>+(disponibilidad[[#This Row],[Fecha y hora fin]]-disponibilidad[[#This Row],[Fecha y hora inicio]])*1440</f>
        <v>0</v>
      </c>
    </row>
    <row r="3379" spans="6:6" ht="15">
      <c r="F3379" s="115">
        <f>+(disponibilidad[[#This Row],[Fecha y hora fin]]-disponibilidad[[#This Row],[Fecha y hora inicio]])*1440</f>
        <v>0</v>
      </c>
    </row>
    <row r="3380" spans="6:6" ht="15">
      <c r="F3380" s="115">
        <f>+(disponibilidad[[#This Row],[Fecha y hora fin]]-disponibilidad[[#This Row],[Fecha y hora inicio]])*1440</f>
        <v>0</v>
      </c>
    </row>
    <row r="3381" spans="6:6" ht="15">
      <c r="F3381" s="115">
        <f>+(disponibilidad[[#This Row],[Fecha y hora fin]]-disponibilidad[[#This Row],[Fecha y hora inicio]])*1440</f>
        <v>0</v>
      </c>
    </row>
    <row r="3382" spans="6:6" ht="15">
      <c r="F3382" s="115">
        <f>+(disponibilidad[[#This Row],[Fecha y hora fin]]-disponibilidad[[#This Row],[Fecha y hora inicio]])*1440</f>
        <v>0</v>
      </c>
    </row>
    <row r="3383" spans="6:6" ht="15">
      <c r="F3383" s="115">
        <f>+(disponibilidad[[#This Row],[Fecha y hora fin]]-disponibilidad[[#This Row],[Fecha y hora inicio]])*1440</f>
        <v>0</v>
      </c>
    </row>
    <row r="3384" spans="6:6" ht="15">
      <c r="F3384" s="115">
        <f>+(disponibilidad[[#This Row],[Fecha y hora fin]]-disponibilidad[[#This Row],[Fecha y hora inicio]])*1440</f>
        <v>0</v>
      </c>
    </row>
    <row r="3385" spans="6:6" ht="15">
      <c r="F3385" s="115">
        <f>+(disponibilidad[[#This Row],[Fecha y hora fin]]-disponibilidad[[#This Row],[Fecha y hora inicio]])*1440</f>
        <v>0</v>
      </c>
    </row>
    <row r="3386" spans="6:6" ht="15">
      <c r="F3386" s="115">
        <f>+(disponibilidad[[#This Row],[Fecha y hora fin]]-disponibilidad[[#This Row],[Fecha y hora inicio]])*1440</f>
        <v>0</v>
      </c>
    </row>
    <row r="3387" spans="6:6" ht="15">
      <c r="F3387" s="115">
        <f>+(disponibilidad[[#This Row],[Fecha y hora fin]]-disponibilidad[[#This Row],[Fecha y hora inicio]])*1440</f>
        <v>0</v>
      </c>
    </row>
    <row r="3388" spans="6:6" ht="15">
      <c r="F3388" s="115">
        <f>+(disponibilidad[[#This Row],[Fecha y hora fin]]-disponibilidad[[#This Row],[Fecha y hora inicio]])*1440</f>
        <v>0</v>
      </c>
    </row>
    <row r="3389" spans="6:6" ht="15">
      <c r="F3389" s="115">
        <f>+(disponibilidad[[#This Row],[Fecha y hora fin]]-disponibilidad[[#This Row],[Fecha y hora inicio]])*1440</f>
        <v>0</v>
      </c>
    </row>
    <row r="3390" spans="6:6" ht="15">
      <c r="F3390" s="115">
        <f>+(disponibilidad[[#This Row],[Fecha y hora fin]]-disponibilidad[[#This Row],[Fecha y hora inicio]])*1440</f>
        <v>0</v>
      </c>
    </row>
    <row r="3391" spans="6:6" ht="15">
      <c r="F3391" s="115">
        <f>+(disponibilidad[[#This Row],[Fecha y hora fin]]-disponibilidad[[#This Row],[Fecha y hora inicio]])*1440</f>
        <v>0</v>
      </c>
    </row>
    <row r="3392" spans="6:6" ht="15">
      <c r="F3392" s="115">
        <f>+(disponibilidad[[#This Row],[Fecha y hora fin]]-disponibilidad[[#This Row],[Fecha y hora inicio]])*1440</f>
        <v>0</v>
      </c>
    </row>
    <row r="3393" spans="6:6" ht="15">
      <c r="F3393" s="115">
        <f>+(disponibilidad[[#This Row],[Fecha y hora fin]]-disponibilidad[[#This Row],[Fecha y hora inicio]])*1440</f>
        <v>0</v>
      </c>
    </row>
    <row r="3394" spans="6:6" ht="15">
      <c r="F3394" s="115">
        <f>+(disponibilidad[[#This Row],[Fecha y hora fin]]-disponibilidad[[#This Row],[Fecha y hora inicio]])*1440</f>
        <v>0</v>
      </c>
    </row>
    <row r="3395" spans="6:6" ht="15">
      <c r="F3395" s="115">
        <f>+(disponibilidad[[#This Row],[Fecha y hora fin]]-disponibilidad[[#This Row],[Fecha y hora inicio]])*1440</f>
        <v>0</v>
      </c>
    </row>
    <row r="3396" spans="6:6" ht="15">
      <c r="F3396" s="115">
        <f>+(disponibilidad[[#This Row],[Fecha y hora fin]]-disponibilidad[[#This Row],[Fecha y hora inicio]])*1440</f>
        <v>0</v>
      </c>
    </row>
    <row r="3397" spans="6:6" ht="15">
      <c r="F3397" s="115">
        <f>+(disponibilidad[[#This Row],[Fecha y hora fin]]-disponibilidad[[#This Row],[Fecha y hora inicio]])*1440</f>
        <v>0</v>
      </c>
    </row>
    <row r="3398" spans="6:6" ht="15">
      <c r="F3398" s="115">
        <f>+(disponibilidad[[#This Row],[Fecha y hora fin]]-disponibilidad[[#This Row],[Fecha y hora inicio]])*1440</f>
        <v>0</v>
      </c>
    </row>
    <row r="3399" spans="6:6" ht="15">
      <c r="F3399" s="115">
        <f>+(disponibilidad[[#This Row],[Fecha y hora fin]]-disponibilidad[[#This Row],[Fecha y hora inicio]])*1440</f>
        <v>0</v>
      </c>
    </row>
    <row r="3400" spans="6:6" ht="15">
      <c r="F3400" s="115">
        <f>+(disponibilidad[[#This Row],[Fecha y hora fin]]-disponibilidad[[#This Row],[Fecha y hora inicio]])*1440</f>
        <v>0</v>
      </c>
    </row>
    <row r="3401" spans="6:6" ht="15">
      <c r="F3401" s="115">
        <f>+(disponibilidad[[#This Row],[Fecha y hora fin]]-disponibilidad[[#This Row],[Fecha y hora inicio]])*1440</f>
        <v>0</v>
      </c>
    </row>
    <row r="3402" spans="6:6" ht="15">
      <c r="F3402" s="115">
        <f>+(disponibilidad[[#This Row],[Fecha y hora fin]]-disponibilidad[[#This Row],[Fecha y hora inicio]])*1440</f>
        <v>0</v>
      </c>
    </row>
    <row r="3403" spans="6:6" ht="15">
      <c r="F3403" s="115">
        <f>+(disponibilidad[[#This Row],[Fecha y hora fin]]-disponibilidad[[#This Row],[Fecha y hora inicio]])*1440</f>
        <v>0</v>
      </c>
    </row>
    <row r="3404" spans="6:6" ht="15">
      <c r="F3404" s="115">
        <f>+(disponibilidad[[#This Row],[Fecha y hora fin]]-disponibilidad[[#This Row],[Fecha y hora inicio]])*1440</f>
        <v>0</v>
      </c>
    </row>
    <row r="3405" spans="6:6" ht="15">
      <c r="F3405" s="115">
        <f>+(disponibilidad[[#This Row],[Fecha y hora fin]]-disponibilidad[[#This Row],[Fecha y hora inicio]])*1440</f>
        <v>0</v>
      </c>
    </row>
    <row r="3406" spans="6:6" ht="15">
      <c r="F3406" s="115">
        <f>+(disponibilidad[[#This Row],[Fecha y hora fin]]-disponibilidad[[#This Row],[Fecha y hora inicio]])*1440</f>
        <v>0</v>
      </c>
    </row>
    <row r="3407" spans="6:6" ht="15">
      <c r="F3407" s="115">
        <f>+(disponibilidad[[#This Row],[Fecha y hora fin]]-disponibilidad[[#This Row],[Fecha y hora inicio]])*1440</f>
        <v>0</v>
      </c>
    </row>
    <row r="3408" spans="6:6" ht="15">
      <c r="F3408" s="115">
        <f>+(disponibilidad[[#This Row],[Fecha y hora fin]]-disponibilidad[[#This Row],[Fecha y hora inicio]])*1440</f>
        <v>0</v>
      </c>
    </row>
    <row r="3409" spans="6:6" ht="15">
      <c r="F3409" s="115">
        <f>+(disponibilidad[[#This Row],[Fecha y hora fin]]-disponibilidad[[#This Row],[Fecha y hora inicio]])*1440</f>
        <v>0</v>
      </c>
    </row>
    <row r="3410" spans="6:6" ht="15">
      <c r="F3410" s="115">
        <f>+(disponibilidad[[#This Row],[Fecha y hora fin]]-disponibilidad[[#This Row],[Fecha y hora inicio]])*1440</f>
        <v>0</v>
      </c>
    </row>
    <row r="3411" spans="6:6" ht="15">
      <c r="F3411" s="115">
        <f>+(disponibilidad[[#This Row],[Fecha y hora fin]]-disponibilidad[[#This Row],[Fecha y hora inicio]])*1440</f>
        <v>0</v>
      </c>
    </row>
    <row r="3412" spans="6:6" ht="15">
      <c r="F3412" s="115">
        <f>+(disponibilidad[[#This Row],[Fecha y hora fin]]-disponibilidad[[#This Row],[Fecha y hora inicio]])*1440</f>
        <v>0</v>
      </c>
    </row>
    <row r="3413" spans="6:6" ht="15">
      <c r="F3413" s="115">
        <f>+(disponibilidad[[#This Row],[Fecha y hora fin]]-disponibilidad[[#This Row],[Fecha y hora inicio]])*1440</f>
        <v>0</v>
      </c>
    </row>
    <row r="3414" spans="6:6" ht="15">
      <c r="F3414" s="115">
        <f>+(disponibilidad[[#This Row],[Fecha y hora fin]]-disponibilidad[[#This Row],[Fecha y hora inicio]])*1440</f>
        <v>0</v>
      </c>
    </row>
    <row r="3415" spans="6:6" ht="15">
      <c r="F3415" s="115">
        <f>+(disponibilidad[[#This Row],[Fecha y hora fin]]-disponibilidad[[#This Row],[Fecha y hora inicio]])*1440</f>
        <v>0</v>
      </c>
    </row>
    <row r="3416" spans="6:6" ht="15">
      <c r="F3416" s="115">
        <f>+(disponibilidad[[#This Row],[Fecha y hora fin]]-disponibilidad[[#This Row],[Fecha y hora inicio]])*1440</f>
        <v>0</v>
      </c>
    </row>
    <row r="3417" spans="6:6" ht="15">
      <c r="F3417" s="115">
        <f>+(disponibilidad[[#This Row],[Fecha y hora fin]]-disponibilidad[[#This Row],[Fecha y hora inicio]])*1440</f>
        <v>0</v>
      </c>
    </row>
    <row r="3418" spans="6:6" ht="15">
      <c r="F3418" s="115">
        <f>+(disponibilidad[[#This Row],[Fecha y hora fin]]-disponibilidad[[#This Row],[Fecha y hora inicio]])*1440</f>
        <v>0</v>
      </c>
    </row>
    <row r="3419" spans="6:6" ht="15">
      <c r="F3419" s="115">
        <f>+(disponibilidad[[#This Row],[Fecha y hora fin]]-disponibilidad[[#This Row],[Fecha y hora inicio]])*1440</f>
        <v>0</v>
      </c>
    </row>
    <row r="3420" spans="6:6" ht="15">
      <c r="F3420" s="115">
        <f>+(disponibilidad[[#This Row],[Fecha y hora fin]]-disponibilidad[[#This Row],[Fecha y hora inicio]])*1440</f>
        <v>0</v>
      </c>
    </row>
    <row r="3421" spans="6:6" ht="15">
      <c r="F3421" s="115">
        <f>+(disponibilidad[[#This Row],[Fecha y hora fin]]-disponibilidad[[#This Row],[Fecha y hora inicio]])*1440</f>
        <v>0</v>
      </c>
    </row>
    <row r="3422" spans="6:6" ht="15">
      <c r="F3422" s="115">
        <f>+(disponibilidad[[#This Row],[Fecha y hora fin]]-disponibilidad[[#This Row],[Fecha y hora inicio]])*1440</f>
        <v>0</v>
      </c>
    </row>
    <row r="3423" spans="6:6" ht="15">
      <c r="F3423" s="115">
        <f>+(disponibilidad[[#This Row],[Fecha y hora fin]]-disponibilidad[[#This Row],[Fecha y hora inicio]])*1440</f>
        <v>0</v>
      </c>
    </row>
    <row r="3424" spans="6:6" ht="15">
      <c r="F3424" s="115">
        <f>+(disponibilidad[[#This Row],[Fecha y hora fin]]-disponibilidad[[#This Row],[Fecha y hora inicio]])*1440</f>
        <v>0</v>
      </c>
    </row>
    <row r="3425" spans="6:6" ht="15">
      <c r="F3425" s="115">
        <f>+(disponibilidad[[#This Row],[Fecha y hora fin]]-disponibilidad[[#This Row],[Fecha y hora inicio]])*1440</f>
        <v>0</v>
      </c>
    </row>
    <row r="3426" spans="6:6" ht="15">
      <c r="F3426" s="115">
        <f>+(disponibilidad[[#This Row],[Fecha y hora fin]]-disponibilidad[[#This Row],[Fecha y hora inicio]])*1440</f>
        <v>0</v>
      </c>
    </row>
    <row r="3427" spans="6:6" ht="15">
      <c r="F3427" s="115">
        <f>+(disponibilidad[[#This Row],[Fecha y hora fin]]-disponibilidad[[#This Row],[Fecha y hora inicio]])*1440</f>
        <v>0</v>
      </c>
    </row>
    <row r="3428" spans="6:6" ht="15">
      <c r="F3428" s="115">
        <f>+(disponibilidad[[#This Row],[Fecha y hora fin]]-disponibilidad[[#This Row],[Fecha y hora inicio]])*1440</f>
        <v>0</v>
      </c>
    </row>
    <row r="3429" spans="6:6" ht="15">
      <c r="F3429" s="115">
        <f>+(disponibilidad[[#This Row],[Fecha y hora fin]]-disponibilidad[[#This Row],[Fecha y hora inicio]])*1440</f>
        <v>0</v>
      </c>
    </row>
    <row r="3430" spans="6:6" ht="15">
      <c r="F3430" s="115">
        <f>+(disponibilidad[[#This Row],[Fecha y hora fin]]-disponibilidad[[#This Row],[Fecha y hora inicio]])*1440</f>
        <v>0</v>
      </c>
    </row>
    <row r="3431" spans="6:6" ht="15">
      <c r="F3431" s="115">
        <f>+(disponibilidad[[#This Row],[Fecha y hora fin]]-disponibilidad[[#This Row],[Fecha y hora inicio]])*1440</f>
        <v>0</v>
      </c>
    </row>
    <row r="3432" spans="6:6" ht="15">
      <c r="F3432" s="115">
        <f>+(disponibilidad[[#This Row],[Fecha y hora fin]]-disponibilidad[[#This Row],[Fecha y hora inicio]])*1440</f>
        <v>0</v>
      </c>
    </row>
    <row r="3433" spans="6:6" ht="15">
      <c r="F3433" s="115">
        <f>+(disponibilidad[[#This Row],[Fecha y hora fin]]-disponibilidad[[#This Row],[Fecha y hora inicio]])*1440</f>
        <v>0</v>
      </c>
    </row>
    <row r="3434" spans="6:6" ht="15">
      <c r="F3434" s="115">
        <f>+(disponibilidad[[#This Row],[Fecha y hora fin]]-disponibilidad[[#This Row],[Fecha y hora inicio]])*1440</f>
        <v>0</v>
      </c>
    </row>
    <row r="3435" spans="6:6" ht="15">
      <c r="F3435" s="115">
        <f>+(disponibilidad[[#This Row],[Fecha y hora fin]]-disponibilidad[[#This Row],[Fecha y hora inicio]])*1440</f>
        <v>0</v>
      </c>
    </row>
    <row r="3436" spans="6:6" ht="15">
      <c r="F3436" s="115">
        <f>+(disponibilidad[[#This Row],[Fecha y hora fin]]-disponibilidad[[#This Row],[Fecha y hora inicio]])*1440</f>
        <v>0</v>
      </c>
    </row>
    <row r="3437" spans="6:6" ht="15">
      <c r="F3437" s="115">
        <f>+(disponibilidad[[#This Row],[Fecha y hora fin]]-disponibilidad[[#This Row],[Fecha y hora inicio]])*1440</f>
        <v>0</v>
      </c>
    </row>
    <row r="3438" spans="6:6" ht="15">
      <c r="F3438" s="115">
        <f>+(disponibilidad[[#This Row],[Fecha y hora fin]]-disponibilidad[[#This Row],[Fecha y hora inicio]])*1440</f>
        <v>0</v>
      </c>
    </row>
    <row r="3439" spans="6:6" ht="15">
      <c r="F3439" s="115">
        <f>+(disponibilidad[[#This Row],[Fecha y hora fin]]-disponibilidad[[#This Row],[Fecha y hora inicio]])*1440</f>
        <v>0</v>
      </c>
    </row>
    <row r="3440" spans="6:6" ht="15">
      <c r="F3440" s="115">
        <f>+(disponibilidad[[#This Row],[Fecha y hora fin]]-disponibilidad[[#This Row],[Fecha y hora inicio]])*1440</f>
        <v>0</v>
      </c>
    </row>
    <row r="3441" spans="6:6" ht="15">
      <c r="F3441" s="115">
        <f>+(disponibilidad[[#This Row],[Fecha y hora fin]]-disponibilidad[[#This Row],[Fecha y hora inicio]])*1440</f>
        <v>0</v>
      </c>
    </row>
    <row r="3442" spans="6:6" ht="15">
      <c r="F3442" s="115">
        <f>+(disponibilidad[[#This Row],[Fecha y hora fin]]-disponibilidad[[#This Row],[Fecha y hora inicio]])*1440</f>
        <v>0</v>
      </c>
    </row>
    <row r="3443" spans="6:6" ht="15">
      <c r="F3443" s="115">
        <f>+(disponibilidad[[#This Row],[Fecha y hora fin]]-disponibilidad[[#This Row],[Fecha y hora inicio]])*1440</f>
        <v>0</v>
      </c>
    </row>
    <row r="3444" spans="6:6" ht="15">
      <c r="F3444" s="115">
        <f>+(disponibilidad[[#This Row],[Fecha y hora fin]]-disponibilidad[[#This Row],[Fecha y hora inicio]])*1440</f>
        <v>0</v>
      </c>
    </row>
    <row r="3445" spans="6:6" ht="15">
      <c r="F3445" s="115">
        <f>+(disponibilidad[[#This Row],[Fecha y hora fin]]-disponibilidad[[#This Row],[Fecha y hora inicio]])*1440</f>
        <v>0</v>
      </c>
    </row>
    <row r="3446" spans="6:6" ht="15">
      <c r="F3446" s="115">
        <f>+(disponibilidad[[#This Row],[Fecha y hora fin]]-disponibilidad[[#This Row],[Fecha y hora inicio]])*1440</f>
        <v>0</v>
      </c>
    </row>
    <row r="3447" spans="6:6" ht="15">
      <c r="F3447" s="115">
        <f>+(disponibilidad[[#This Row],[Fecha y hora fin]]-disponibilidad[[#This Row],[Fecha y hora inicio]])*1440</f>
        <v>0</v>
      </c>
    </row>
    <row r="3448" spans="6:6" ht="15">
      <c r="F3448" s="115">
        <f>+(disponibilidad[[#This Row],[Fecha y hora fin]]-disponibilidad[[#This Row],[Fecha y hora inicio]])*1440</f>
        <v>0</v>
      </c>
    </row>
    <row r="3449" spans="6:6" ht="15">
      <c r="F3449" s="115">
        <f>+(disponibilidad[[#This Row],[Fecha y hora fin]]-disponibilidad[[#This Row],[Fecha y hora inicio]])*1440</f>
        <v>0</v>
      </c>
    </row>
    <row r="3450" spans="6:6" ht="15">
      <c r="F3450" s="115">
        <f>+(disponibilidad[[#This Row],[Fecha y hora fin]]-disponibilidad[[#This Row],[Fecha y hora inicio]])*1440</f>
        <v>0</v>
      </c>
    </row>
    <row r="3451" spans="6:6" ht="15">
      <c r="F3451" s="115">
        <f>+(disponibilidad[[#This Row],[Fecha y hora fin]]-disponibilidad[[#This Row],[Fecha y hora inicio]])*1440</f>
        <v>0</v>
      </c>
    </row>
    <row r="3452" spans="6:6" ht="15">
      <c r="F3452" s="115">
        <f>+(disponibilidad[[#This Row],[Fecha y hora fin]]-disponibilidad[[#This Row],[Fecha y hora inicio]])*1440</f>
        <v>0</v>
      </c>
    </row>
    <row r="3453" spans="6:6" ht="15">
      <c r="F3453" s="115">
        <f>+(disponibilidad[[#This Row],[Fecha y hora fin]]-disponibilidad[[#This Row],[Fecha y hora inicio]])*1440</f>
        <v>0</v>
      </c>
    </row>
    <row r="3454" spans="6:6" ht="15">
      <c r="F3454" s="115">
        <f>+(disponibilidad[[#This Row],[Fecha y hora fin]]-disponibilidad[[#This Row],[Fecha y hora inicio]])*1440</f>
        <v>0</v>
      </c>
    </row>
    <row r="3455" spans="6:6" ht="15">
      <c r="F3455" s="115">
        <f>+(disponibilidad[[#This Row],[Fecha y hora fin]]-disponibilidad[[#This Row],[Fecha y hora inicio]])*1440</f>
        <v>0</v>
      </c>
    </row>
    <row r="3456" spans="6:6" ht="15">
      <c r="F3456" s="115">
        <f>+(disponibilidad[[#This Row],[Fecha y hora fin]]-disponibilidad[[#This Row],[Fecha y hora inicio]])*1440</f>
        <v>0</v>
      </c>
    </row>
    <row r="3457" spans="6:6" ht="15">
      <c r="F3457" s="115">
        <f>+(disponibilidad[[#This Row],[Fecha y hora fin]]-disponibilidad[[#This Row],[Fecha y hora inicio]])*1440</f>
        <v>0</v>
      </c>
    </row>
    <row r="3458" spans="6:6" ht="15">
      <c r="F3458" s="115">
        <f>+(disponibilidad[[#This Row],[Fecha y hora fin]]-disponibilidad[[#This Row],[Fecha y hora inicio]])*1440</f>
        <v>0</v>
      </c>
    </row>
    <row r="3459" spans="6:6" ht="15">
      <c r="F3459" s="115">
        <f>+(disponibilidad[[#This Row],[Fecha y hora fin]]-disponibilidad[[#This Row],[Fecha y hora inicio]])*1440</f>
        <v>0</v>
      </c>
    </row>
    <row r="3460" spans="6:6" ht="15">
      <c r="F3460" s="115">
        <f>+(disponibilidad[[#This Row],[Fecha y hora fin]]-disponibilidad[[#This Row],[Fecha y hora inicio]])*1440</f>
        <v>0</v>
      </c>
    </row>
    <row r="3461" spans="6:6" ht="15">
      <c r="F3461" s="115">
        <f>+(disponibilidad[[#This Row],[Fecha y hora fin]]-disponibilidad[[#This Row],[Fecha y hora inicio]])*1440</f>
        <v>0</v>
      </c>
    </row>
    <row r="3462" spans="6:6" ht="15">
      <c r="F3462" s="115">
        <f>+(disponibilidad[[#This Row],[Fecha y hora fin]]-disponibilidad[[#This Row],[Fecha y hora inicio]])*1440</f>
        <v>0</v>
      </c>
    </row>
    <row r="3463" spans="6:6" ht="15">
      <c r="F3463" s="115">
        <f>+(disponibilidad[[#This Row],[Fecha y hora fin]]-disponibilidad[[#This Row],[Fecha y hora inicio]])*1440</f>
        <v>0</v>
      </c>
    </row>
    <row r="3464" spans="6:6" ht="15">
      <c r="F3464" s="115">
        <f>+(disponibilidad[[#This Row],[Fecha y hora fin]]-disponibilidad[[#This Row],[Fecha y hora inicio]])*1440</f>
        <v>0</v>
      </c>
    </row>
    <row r="3465" spans="6:6" ht="15">
      <c r="F3465" s="115">
        <f>+(disponibilidad[[#This Row],[Fecha y hora fin]]-disponibilidad[[#This Row],[Fecha y hora inicio]])*1440</f>
        <v>0</v>
      </c>
    </row>
    <row r="3466" spans="6:6" ht="15">
      <c r="F3466" s="115">
        <f>+(disponibilidad[[#This Row],[Fecha y hora fin]]-disponibilidad[[#This Row],[Fecha y hora inicio]])*1440</f>
        <v>0</v>
      </c>
    </row>
    <row r="3467" spans="6:6" ht="15">
      <c r="F3467" s="115">
        <f>+(disponibilidad[[#This Row],[Fecha y hora fin]]-disponibilidad[[#This Row],[Fecha y hora inicio]])*1440</f>
        <v>0</v>
      </c>
    </row>
    <row r="3468" spans="6:6" ht="15">
      <c r="F3468" s="115">
        <f>+(disponibilidad[[#This Row],[Fecha y hora fin]]-disponibilidad[[#This Row],[Fecha y hora inicio]])*1440</f>
        <v>0</v>
      </c>
    </row>
    <row r="3469" spans="6:6" ht="15">
      <c r="F3469" s="115">
        <f>+(disponibilidad[[#This Row],[Fecha y hora fin]]-disponibilidad[[#This Row],[Fecha y hora inicio]])*1440</f>
        <v>0</v>
      </c>
    </row>
    <row r="3470" spans="6:6" ht="15">
      <c r="F3470" s="115">
        <f>+(disponibilidad[[#This Row],[Fecha y hora fin]]-disponibilidad[[#This Row],[Fecha y hora inicio]])*1440</f>
        <v>0</v>
      </c>
    </row>
    <row r="3471" spans="6:6" ht="15">
      <c r="F3471" s="115">
        <f>+(disponibilidad[[#This Row],[Fecha y hora fin]]-disponibilidad[[#This Row],[Fecha y hora inicio]])*1440</f>
        <v>0</v>
      </c>
    </row>
    <row r="3472" spans="6:6" ht="15">
      <c r="F3472" s="115">
        <f>+(disponibilidad[[#This Row],[Fecha y hora fin]]-disponibilidad[[#This Row],[Fecha y hora inicio]])*1440</f>
        <v>0</v>
      </c>
    </row>
    <row r="3473" spans="6:6" ht="15">
      <c r="F3473" s="115">
        <f>+(disponibilidad[[#This Row],[Fecha y hora fin]]-disponibilidad[[#This Row],[Fecha y hora inicio]])*1440</f>
        <v>0</v>
      </c>
    </row>
    <row r="3474" spans="6:6" ht="15">
      <c r="F3474" s="115">
        <f>+(disponibilidad[[#This Row],[Fecha y hora fin]]-disponibilidad[[#This Row],[Fecha y hora inicio]])*1440</f>
        <v>0</v>
      </c>
    </row>
    <row r="3475" spans="6:6" ht="15">
      <c r="F3475" s="115">
        <f>+(disponibilidad[[#This Row],[Fecha y hora fin]]-disponibilidad[[#This Row],[Fecha y hora inicio]])*1440</f>
        <v>0</v>
      </c>
    </row>
    <row r="3476" spans="6:6" ht="15">
      <c r="F3476" s="115">
        <f>+(disponibilidad[[#This Row],[Fecha y hora fin]]-disponibilidad[[#This Row],[Fecha y hora inicio]])*1440</f>
        <v>0</v>
      </c>
    </row>
    <row r="3477" spans="6:6" ht="15">
      <c r="F3477" s="115">
        <f>+(disponibilidad[[#This Row],[Fecha y hora fin]]-disponibilidad[[#This Row],[Fecha y hora inicio]])*1440</f>
        <v>0</v>
      </c>
    </row>
    <row r="3478" spans="6:6" ht="15">
      <c r="F3478" s="115">
        <f>+(disponibilidad[[#This Row],[Fecha y hora fin]]-disponibilidad[[#This Row],[Fecha y hora inicio]])*1440</f>
        <v>0</v>
      </c>
    </row>
    <row r="3479" spans="6:6" ht="15">
      <c r="F3479" s="115">
        <f>+(disponibilidad[[#This Row],[Fecha y hora fin]]-disponibilidad[[#This Row],[Fecha y hora inicio]])*1440</f>
        <v>0</v>
      </c>
    </row>
    <row r="3480" spans="6:6" ht="15">
      <c r="F3480" s="115">
        <f>+(disponibilidad[[#This Row],[Fecha y hora fin]]-disponibilidad[[#This Row],[Fecha y hora inicio]])*1440</f>
        <v>0</v>
      </c>
    </row>
    <row r="3481" spans="6:6" ht="15">
      <c r="F3481" s="115">
        <f>+(disponibilidad[[#This Row],[Fecha y hora fin]]-disponibilidad[[#This Row],[Fecha y hora inicio]])*1440</f>
        <v>0</v>
      </c>
    </row>
    <row r="3482" spans="6:6" ht="15">
      <c r="F3482" s="115">
        <f>+(disponibilidad[[#This Row],[Fecha y hora fin]]-disponibilidad[[#This Row],[Fecha y hora inicio]])*1440</f>
        <v>0</v>
      </c>
    </row>
    <row r="3483" spans="6:6" ht="15">
      <c r="F3483" s="115">
        <f>+(disponibilidad[[#This Row],[Fecha y hora fin]]-disponibilidad[[#This Row],[Fecha y hora inicio]])*1440</f>
        <v>0</v>
      </c>
    </row>
    <row r="3484" spans="6:6" ht="15">
      <c r="F3484" s="115">
        <f>+(disponibilidad[[#This Row],[Fecha y hora fin]]-disponibilidad[[#This Row],[Fecha y hora inicio]])*1440</f>
        <v>0</v>
      </c>
    </row>
    <row r="3485" spans="6:6" ht="15">
      <c r="F3485" s="115">
        <f>+(disponibilidad[[#This Row],[Fecha y hora fin]]-disponibilidad[[#This Row],[Fecha y hora inicio]])*1440</f>
        <v>0</v>
      </c>
    </row>
    <row r="3486" spans="6:6" ht="15">
      <c r="F3486" s="115">
        <f>+(disponibilidad[[#This Row],[Fecha y hora fin]]-disponibilidad[[#This Row],[Fecha y hora inicio]])*1440</f>
        <v>0</v>
      </c>
    </row>
    <row r="3487" spans="6:6" ht="15">
      <c r="F3487" s="115">
        <f>+(disponibilidad[[#This Row],[Fecha y hora fin]]-disponibilidad[[#This Row],[Fecha y hora inicio]])*1440</f>
        <v>0</v>
      </c>
    </row>
    <row r="3488" spans="6:6" ht="15">
      <c r="F3488" s="115">
        <f>+(disponibilidad[[#This Row],[Fecha y hora fin]]-disponibilidad[[#This Row],[Fecha y hora inicio]])*1440</f>
        <v>0</v>
      </c>
    </row>
    <row r="3489" spans="6:6" ht="15">
      <c r="F3489" s="115">
        <f>+(disponibilidad[[#This Row],[Fecha y hora fin]]-disponibilidad[[#This Row],[Fecha y hora inicio]])*1440</f>
        <v>0</v>
      </c>
    </row>
    <row r="3490" spans="6:6" ht="15">
      <c r="F3490" s="115">
        <f>+(disponibilidad[[#This Row],[Fecha y hora fin]]-disponibilidad[[#This Row],[Fecha y hora inicio]])*1440</f>
        <v>0</v>
      </c>
    </row>
    <row r="3491" spans="6:6" ht="15">
      <c r="F3491" s="115">
        <f>+(disponibilidad[[#This Row],[Fecha y hora fin]]-disponibilidad[[#This Row],[Fecha y hora inicio]])*1440</f>
        <v>0</v>
      </c>
    </row>
    <row r="3492" spans="6:6" ht="15">
      <c r="F3492" s="115">
        <f>+(disponibilidad[[#This Row],[Fecha y hora fin]]-disponibilidad[[#This Row],[Fecha y hora inicio]])*1440</f>
        <v>0</v>
      </c>
    </row>
    <row r="3493" spans="6:6" ht="15">
      <c r="F3493" s="115">
        <f>+(disponibilidad[[#This Row],[Fecha y hora fin]]-disponibilidad[[#This Row],[Fecha y hora inicio]])*1440</f>
        <v>0</v>
      </c>
    </row>
    <row r="3494" spans="6:6" ht="15">
      <c r="F3494" s="115">
        <f>+(disponibilidad[[#This Row],[Fecha y hora fin]]-disponibilidad[[#This Row],[Fecha y hora inicio]])*1440</f>
        <v>0</v>
      </c>
    </row>
    <row r="3495" spans="6:6" ht="15">
      <c r="F3495" s="115">
        <f>+(disponibilidad[[#This Row],[Fecha y hora fin]]-disponibilidad[[#This Row],[Fecha y hora inicio]])*1440</f>
        <v>0</v>
      </c>
    </row>
    <row r="3496" spans="6:6" ht="15">
      <c r="F3496" s="115">
        <f>+(disponibilidad[[#This Row],[Fecha y hora fin]]-disponibilidad[[#This Row],[Fecha y hora inicio]])*1440</f>
        <v>0</v>
      </c>
    </row>
    <row r="3497" spans="6:6" ht="15">
      <c r="F3497" s="115">
        <f>+(disponibilidad[[#This Row],[Fecha y hora fin]]-disponibilidad[[#This Row],[Fecha y hora inicio]])*1440</f>
        <v>0</v>
      </c>
    </row>
    <row r="3498" spans="6:6" ht="15">
      <c r="F3498" s="115">
        <f>+(disponibilidad[[#This Row],[Fecha y hora fin]]-disponibilidad[[#This Row],[Fecha y hora inicio]])*1440</f>
        <v>0</v>
      </c>
    </row>
    <row r="3499" spans="6:6" ht="15">
      <c r="F3499" s="115">
        <f>+(disponibilidad[[#This Row],[Fecha y hora fin]]-disponibilidad[[#This Row],[Fecha y hora inicio]])*1440</f>
        <v>0</v>
      </c>
    </row>
    <row r="3500" spans="6:6" ht="15">
      <c r="F3500" s="115">
        <f>+(disponibilidad[[#This Row],[Fecha y hora fin]]-disponibilidad[[#This Row],[Fecha y hora inicio]])*1440</f>
        <v>0</v>
      </c>
    </row>
    <row r="3501" spans="6:6" ht="15">
      <c r="F3501" s="115">
        <f>+(disponibilidad[[#This Row],[Fecha y hora fin]]-disponibilidad[[#This Row],[Fecha y hora inicio]])*1440</f>
        <v>0</v>
      </c>
    </row>
    <row r="3502" spans="6:6" ht="15">
      <c r="F3502" s="115">
        <f>+(disponibilidad[[#This Row],[Fecha y hora fin]]-disponibilidad[[#This Row],[Fecha y hora inicio]])*1440</f>
        <v>0</v>
      </c>
    </row>
    <row r="3503" spans="6:6" ht="15">
      <c r="F3503" s="115">
        <f>+(disponibilidad[[#This Row],[Fecha y hora fin]]-disponibilidad[[#This Row],[Fecha y hora inicio]])*1440</f>
        <v>0</v>
      </c>
    </row>
    <row r="3504" spans="6:6" ht="15">
      <c r="F3504" s="115">
        <f>+(disponibilidad[[#This Row],[Fecha y hora fin]]-disponibilidad[[#This Row],[Fecha y hora inicio]])*1440</f>
        <v>0</v>
      </c>
    </row>
    <row r="3505" spans="6:6" ht="15">
      <c r="F3505" s="115">
        <f>+(disponibilidad[[#This Row],[Fecha y hora fin]]-disponibilidad[[#This Row],[Fecha y hora inicio]])*1440</f>
        <v>0</v>
      </c>
    </row>
    <row r="3506" spans="6:6" ht="15">
      <c r="F3506" s="115">
        <f>+(disponibilidad[[#This Row],[Fecha y hora fin]]-disponibilidad[[#This Row],[Fecha y hora inicio]])*1440</f>
        <v>0</v>
      </c>
    </row>
    <row r="3507" spans="6:6" ht="15">
      <c r="F3507" s="115">
        <f>+(disponibilidad[[#This Row],[Fecha y hora fin]]-disponibilidad[[#This Row],[Fecha y hora inicio]])*1440</f>
        <v>0</v>
      </c>
    </row>
    <row r="3508" spans="6:6" ht="15">
      <c r="F3508" s="115">
        <f>+(disponibilidad[[#This Row],[Fecha y hora fin]]-disponibilidad[[#This Row],[Fecha y hora inicio]])*1440</f>
        <v>0</v>
      </c>
    </row>
    <row r="3509" spans="6:6" ht="15">
      <c r="F3509" s="115">
        <f>+(disponibilidad[[#This Row],[Fecha y hora fin]]-disponibilidad[[#This Row],[Fecha y hora inicio]])*1440</f>
        <v>0</v>
      </c>
    </row>
    <row r="3510" spans="6:6" ht="15">
      <c r="F3510" s="115">
        <f>+(disponibilidad[[#This Row],[Fecha y hora fin]]-disponibilidad[[#This Row],[Fecha y hora inicio]])*1440</f>
        <v>0</v>
      </c>
    </row>
    <row r="3511" spans="6:6" ht="15">
      <c r="F3511" s="115">
        <f>+(disponibilidad[[#This Row],[Fecha y hora fin]]-disponibilidad[[#This Row],[Fecha y hora inicio]])*1440</f>
        <v>0</v>
      </c>
    </row>
    <row r="3512" spans="6:6" ht="15">
      <c r="F3512" s="115">
        <f>+(disponibilidad[[#This Row],[Fecha y hora fin]]-disponibilidad[[#This Row],[Fecha y hora inicio]])*1440</f>
        <v>0</v>
      </c>
    </row>
    <row r="3513" spans="6:6" ht="15">
      <c r="F3513" s="115">
        <f>+(disponibilidad[[#This Row],[Fecha y hora fin]]-disponibilidad[[#This Row],[Fecha y hora inicio]])*1440</f>
        <v>0</v>
      </c>
    </row>
    <row r="3514" spans="6:6" ht="15">
      <c r="F3514" s="115">
        <f>+(disponibilidad[[#This Row],[Fecha y hora fin]]-disponibilidad[[#This Row],[Fecha y hora inicio]])*1440</f>
        <v>0</v>
      </c>
    </row>
    <row r="3515" spans="6:6" ht="15">
      <c r="F3515" s="115">
        <f>+(disponibilidad[[#This Row],[Fecha y hora fin]]-disponibilidad[[#This Row],[Fecha y hora inicio]])*1440</f>
        <v>0</v>
      </c>
    </row>
    <row r="3516" spans="6:6" ht="15">
      <c r="F3516" s="115">
        <f>+(disponibilidad[[#This Row],[Fecha y hora fin]]-disponibilidad[[#This Row],[Fecha y hora inicio]])*1440</f>
        <v>0</v>
      </c>
    </row>
    <row r="3517" spans="6:6" ht="15">
      <c r="F3517" s="115">
        <f>+(disponibilidad[[#This Row],[Fecha y hora fin]]-disponibilidad[[#This Row],[Fecha y hora inicio]])*1440</f>
        <v>0</v>
      </c>
    </row>
    <row r="3518" spans="6:6" ht="15">
      <c r="F3518" s="115">
        <f>+(disponibilidad[[#This Row],[Fecha y hora fin]]-disponibilidad[[#This Row],[Fecha y hora inicio]])*1440</f>
        <v>0</v>
      </c>
    </row>
    <row r="3519" spans="6:6" ht="15">
      <c r="F3519" s="115">
        <f>+(disponibilidad[[#This Row],[Fecha y hora fin]]-disponibilidad[[#This Row],[Fecha y hora inicio]])*1440</f>
        <v>0</v>
      </c>
    </row>
    <row r="3520" spans="6:6" ht="15">
      <c r="F3520" s="115">
        <f>+(disponibilidad[[#This Row],[Fecha y hora fin]]-disponibilidad[[#This Row],[Fecha y hora inicio]])*1440</f>
        <v>0</v>
      </c>
    </row>
    <row r="3521" spans="6:6" ht="15">
      <c r="F3521" s="115">
        <f>+(disponibilidad[[#This Row],[Fecha y hora fin]]-disponibilidad[[#This Row],[Fecha y hora inicio]])*1440</f>
        <v>0</v>
      </c>
    </row>
    <row r="3522" spans="6:6" ht="15">
      <c r="F3522" s="115">
        <f>+(disponibilidad[[#This Row],[Fecha y hora fin]]-disponibilidad[[#This Row],[Fecha y hora inicio]])*1440</f>
        <v>0</v>
      </c>
    </row>
    <row r="3523" spans="6:6" ht="15">
      <c r="F3523" s="115">
        <f>+(disponibilidad[[#This Row],[Fecha y hora fin]]-disponibilidad[[#This Row],[Fecha y hora inicio]])*1440</f>
        <v>0</v>
      </c>
    </row>
    <row r="3524" spans="6:6" ht="15">
      <c r="F3524" s="115">
        <f>+(disponibilidad[[#This Row],[Fecha y hora fin]]-disponibilidad[[#This Row],[Fecha y hora inicio]])*1440</f>
        <v>0</v>
      </c>
    </row>
    <row r="3525" spans="6:6" ht="15">
      <c r="F3525" s="115">
        <f>+(disponibilidad[[#This Row],[Fecha y hora fin]]-disponibilidad[[#This Row],[Fecha y hora inicio]])*1440</f>
        <v>0</v>
      </c>
    </row>
    <row r="3526" spans="6:6" ht="15">
      <c r="F3526" s="115">
        <f>+(disponibilidad[[#This Row],[Fecha y hora fin]]-disponibilidad[[#This Row],[Fecha y hora inicio]])*1440</f>
        <v>0</v>
      </c>
    </row>
    <row r="3527" spans="6:6" ht="15">
      <c r="F3527" s="115">
        <f>+(disponibilidad[[#This Row],[Fecha y hora fin]]-disponibilidad[[#This Row],[Fecha y hora inicio]])*1440</f>
        <v>0</v>
      </c>
    </row>
    <row r="3528" spans="6:6" ht="15">
      <c r="F3528" s="115">
        <f>+(disponibilidad[[#This Row],[Fecha y hora fin]]-disponibilidad[[#This Row],[Fecha y hora inicio]])*1440</f>
        <v>0</v>
      </c>
    </row>
    <row r="3529" spans="6:6" ht="15">
      <c r="F3529" s="115">
        <f>+(disponibilidad[[#This Row],[Fecha y hora fin]]-disponibilidad[[#This Row],[Fecha y hora inicio]])*1440</f>
        <v>0</v>
      </c>
    </row>
    <row r="3530" spans="6:6" ht="15">
      <c r="F3530" s="115">
        <f>+(disponibilidad[[#This Row],[Fecha y hora fin]]-disponibilidad[[#This Row],[Fecha y hora inicio]])*1440</f>
        <v>0</v>
      </c>
    </row>
    <row r="3531" spans="6:6" ht="15">
      <c r="F3531" s="115">
        <f>+(disponibilidad[[#This Row],[Fecha y hora fin]]-disponibilidad[[#This Row],[Fecha y hora inicio]])*1440</f>
        <v>0</v>
      </c>
    </row>
    <row r="3532" spans="6:6" ht="15">
      <c r="F3532" s="115">
        <f>+(disponibilidad[[#This Row],[Fecha y hora fin]]-disponibilidad[[#This Row],[Fecha y hora inicio]])*1440</f>
        <v>0</v>
      </c>
    </row>
    <row r="3533" spans="6:6" ht="15">
      <c r="F3533" s="115">
        <f>+(disponibilidad[[#This Row],[Fecha y hora fin]]-disponibilidad[[#This Row],[Fecha y hora inicio]])*1440</f>
        <v>0</v>
      </c>
    </row>
    <row r="3534" spans="6:6" ht="15">
      <c r="F3534" s="115">
        <f>+(disponibilidad[[#This Row],[Fecha y hora fin]]-disponibilidad[[#This Row],[Fecha y hora inicio]])*1440</f>
        <v>0</v>
      </c>
    </row>
    <row r="3535" spans="6:6" ht="15">
      <c r="F3535" s="115">
        <f>+(disponibilidad[[#This Row],[Fecha y hora fin]]-disponibilidad[[#This Row],[Fecha y hora inicio]])*1440</f>
        <v>0</v>
      </c>
    </row>
    <row r="3536" spans="6:6" ht="15">
      <c r="F3536" s="115">
        <f>+(disponibilidad[[#This Row],[Fecha y hora fin]]-disponibilidad[[#This Row],[Fecha y hora inicio]])*1440</f>
        <v>0</v>
      </c>
    </row>
    <row r="3537" spans="6:6" ht="15">
      <c r="F3537" s="115">
        <f>+(disponibilidad[[#This Row],[Fecha y hora fin]]-disponibilidad[[#This Row],[Fecha y hora inicio]])*1440</f>
        <v>0</v>
      </c>
    </row>
    <row r="3538" spans="6:6" ht="15">
      <c r="F3538" s="115">
        <f>+(disponibilidad[[#This Row],[Fecha y hora fin]]-disponibilidad[[#This Row],[Fecha y hora inicio]])*1440</f>
        <v>0</v>
      </c>
    </row>
    <row r="3539" spans="6:6" ht="15">
      <c r="F3539" s="115">
        <f>+(disponibilidad[[#This Row],[Fecha y hora fin]]-disponibilidad[[#This Row],[Fecha y hora inicio]])*1440</f>
        <v>0</v>
      </c>
    </row>
    <row r="3540" spans="6:6" ht="15">
      <c r="F3540" s="115">
        <f>+(disponibilidad[[#This Row],[Fecha y hora fin]]-disponibilidad[[#This Row],[Fecha y hora inicio]])*1440</f>
        <v>0</v>
      </c>
    </row>
    <row r="3541" spans="6:6" ht="15">
      <c r="F3541" s="115">
        <f>+(disponibilidad[[#This Row],[Fecha y hora fin]]-disponibilidad[[#This Row],[Fecha y hora inicio]])*1440</f>
        <v>0</v>
      </c>
    </row>
    <row r="3542" spans="6:6" ht="15">
      <c r="F3542" s="115">
        <f>+(disponibilidad[[#This Row],[Fecha y hora fin]]-disponibilidad[[#This Row],[Fecha y hora inicio]])*1440</f>
        <v>0</v>
      </c>
    </row>
    <row r="3543" spans="6:6" ht="15">
      <c r="F3543" s="115">
        <f>+(disponibilidad[[#This Row],[Fecha y hora fin]]-disponibilidad[[#This Row],[Fecha y hora inicio]])*1440</f>
        <v>0</v>
      </c>
    </row>
    <row r="3544" spans="6:6" ht="15">
      <c r="F3544" s="115">
        <f>+(disponibilidad[[#This Row],[Fecha y hora fin]]-disponibilidad[[#This Row],[Fecha y hora inicio]])*1440</f>
        <v>0</v>
      </c>
    </row>
    <row r="3545" spans="6:6" ht="15">
      <c r="F3545" s="115">
        <f>+(disponibilidad[[#This Row],[Fecha y hora fin]]-disponibilidad[[#This Row],[Fecha y hora inicio]])*1440</f>
        <v>0</v>
      </c>
    </row>
    <row r="3546" spans="6:6" ht="15">
      <c r="F3546" s="115">
        <f>+(disponibilidad[[#This Row],[Fecha y hora fin]]-disponibilidad[[#This Row],[Fecha y hora inicio]])*1440</f>
        <v>0</v>
      </c>
    </row>
    <row r="3547" spans="6:6" ht="15">
      <c r="F3547" s="115">
        <f>+(disponibilidad[[#This Row],[Fecha y hora fin]]-disponibilidad[[#This Row],[Fecha y hora inicio]])*1440</f>
        <v>0</v>
      </c>
    </row>
    <row r="3548" spans="6:6" ht="15">
      <c r="F3548" s="115">
        <f>+(disponibilidad[[#This Row],[Fecha y hora fin]]-disponibilidad[[#This Row],[Fecha y hora inicio]])*1440</f>
        <v>0</v>
      </c>
    </row>
    <row r="3549" spans="6:6" ht="15">
      <c r="F3549" s="115">
        <f>+(disponibilidad[[#This Row],[Fecha y hora fin]]-disponibilidad[[#This Row],[Fecha y hora inicio]])*1440</f>
        <v>0</v>
      </c>
    </row>
    <row r="3550" spans="6:6" ht="15">
      <c r="F3550" s="115">
        <f>+(disponibilidad[[#This Row],[Fecha y hora fin]]-disponibilidad[[#This Row],[Fecha y hora inicio]])*1440</f>
        <v>0</v>
      </c>
    </row>
    <row r="3551" spans="6:6" ht="15">
      <c r="F3551" s="115">
        <f>+(disponibilidad[[#This Row],[Fecha y hora fin]]-disponibilidad[[#This Row],[Fecha y hora inicio]])*1440</f>
        <v>0</v>
      </c>
    </row>
    <row r="3552" spans="6:6" ht="15">
      <c r="F3552" s="115">
        <f>+(disponibilidad[[#This Row],[Fecha y hora fin]]-disponibilidad[[#This Row],[Fecha y hora inicio]])*1440</f>
        <v>0</v>
      </c>
    </row>
    <row r="3553" spans="6:6" ht="15">
      <c r="F3553" s="115">
        <f>+(disponibilidad[[#This Row],[Fecha y hora fin]]-disponibilidad[[#This Row],[Fecha y hora inicio]])*1440</f>
        <v>0</v>
      </c>
    </row>
    <row r="3554" spans="6:6" ht="15">
      <c r="F3554" s="115">
        <f>+(disponibilidad[[#This Row],[Fecha y hora fin]]-disponibilidad[[#This Row],[Fecha y hora inicio]])*1440</f>
        <v>0</v>
      </c>
    </row>
    <row r="3555" spans="6:6" ht="15">
      <c r="F3555" s="115">
        <f>+(disponibilidad[[#This Row],[Fecha y hora fin]]-disponibilidad[[#This Row],[Fecha y hora inicio]])*1440</f>
        <v>0</v>
      </c>
    </row>
    <row r="3556" spans="6:6" ht="15">
      <c r="F3556" s="115">
        <f>+(disponibilidad[[#This Row],[Fecha y hora fin]]-disponibilidad[[#This Row],[Fecha y hora inicio]])*1440</f>
        <v>0</v>
      </c>
    </row>
    <row r="3557" spans="6:6" ht="15">
      <c r="F3557" s="115">
        <f>+(disponibilidad[[#This Row],[Fecha y hora fin]]-disponibilidad[[#This Row],[Fecha y hora inicio]])*1440</f>
        <v>0</v>
      </c>
    </row>
    <row r="3558" spans="6:6" ht="15">
      <c r="F3558" s="115">
        <f>+(disponibilidad[[#This Row],[Fecha y hora fin]]-disponibilidad[[#This Row],[Fecha y hora inicio]])*1440</f>
        <v>0</v>
      </c>
    </row>
    <row r="3559" spans="6:6" ht="15">
      <c r="F3559" s="115">
        <f>+(disponibilidad[[#This Row],[Fecha y hora fin]]-disponibilidad[[#This Row],[Fecha y hora inicio]])*1440</f>
        <v>0</v>
      </c>
    </row>
    <row r="3560" spans="6:6" ht="15">
      <c r="F3560" s="115">
        <f>+(disponibilidad[[#This Row],[Fecha y hora fin]]-disponibilidad[[#This Row],[Fecha y hora inicio]])*1440</f>
        <v>0</v>
      </c>
    </row>
    <row r="3561" spans="6:6" ht="15">
      <c r="F3561" s="115">
        <f>+(disponibilidad[[#This Row],[Fecha y hora fin]]-disponibilidad[[#This Row],[Fecha y hora inicio]])*1440</f>
        <v>0</v>
      </c>
    </row>
    <row r="3562" spans="6:6" ht="15">
      <c r="F3562" s="115">
        <f>+(disponibilidad[[#This Row],[Fecha y hora fin]]-disponibilidad[[#This Row],[Fecha y hora inicio]])*1440</f>
        <v>0</v>
      </c>
    </row>
    <row r="3563" spans="6:6" ht="15">
      <c r="F3563" s="115">
        <f>+(disponibilidad[[#This Row],[Fecha y hora fin]]-disponibilidad[[#This Row],[Fecha y hora inicio]])*1440</f>
        <v>0</v>
      </c>
    </row>
    <row r="3564" spans="6:6" ht="15">
      <c r="F3564" s="115">
        <f>+(disponibilidad[[#This Row],[Fecha y hora fin]]-disponibilidad[[#This Row],[Fecha y hora inicio]])*1440</f>
        <v>0</v>
      </c>
    </row>
    <row r="3565" spans="6:6" ht="15">
      <c r="F3565" s="115">
        <f>+(disponibilidad[[#This Row],[Fecha y hora fin]]-disponibilidad[[#This Row],[Fecha y hora inicio]])*1440</f>
        <v>0</v>
      </c>
    </row>
    <row r="3566" spans="6:6" ht="15">
      <c r="F3566" s="115">
        <f>+(disponibilidad[[#This Row],[Fecha y hora fin]]-disponibilidad[[#This Row],[Fecha y hora inicio]])*1440</f>
        <v>0</v>
      </c>
    </row>
    <row r="3567" spans="6:6" ht="15">
      <c r="F3567" s="115">
        <f>+(disponibilidad[[#This Row],[Fecha y hora fin]]-disponibilidad[[#This Row],[Fecha y hora inicio]])*1440</f>
        <v>0</v>
      </c>
    </row>
    <row r="3568" spans="6:6" ht="15">
      <c r="F3568" s="115">
        <f>+(disponibilidad[[#This Row],[Fecha y hora fin]]-disponibilidad[[#This Row],[Fecha y hora inicio]])*1440</f>
        <v>0</v>
      </c>
    </row>
    <row r="3569" spans="6:6" ht="15">
      <c r="F3569" s="115">
        <f>+(disponibilidad[[#This Row],[Fecha y hora fin]]-disponibilidad[[#This Row],[Fecha y hora inicio]])*1440</f>
        <v>0</v>
      </c>
    </row>
    <row r="3570" spans="6:6" ht="15">
      <c r="F3570" s="115">
        <f>+(disponibilidad[[#This Row],[Fecha y hora fin]]-disponibilidad[[#This Row],[Fecha y hora inicio]])*1440</f>
        <v>0</v>
      </c>
    </row>
    <row r="3571" spans="6:6" ht="15">
      <c r="F3571" s="115">
        <f>+(disponibilidad[[#This Row],[Fecha y hora fin]]-disponibilidad[[#This Row],[Fecha y hora inicio]])*1440</f>
        <v>0</v>
      </c>
    </row>
    <row r="3572" spans="6:6" ht="15">
      <c r="F3572" s="115">
        <f>+(disponibilidad[[#This Row],[Fecha y hora fin]]-disponibilidad[[#This Row],[Fecha y hora inicio]])*1440</f>
        <v>0</v>
      </c>
    </row>
    <row r="3573" spans="6:6" ht="15">
      <c r="F3573" s="115">
        <f>+(disponibilidad[[#This Row],[Fecha y hora fin]]-disponibilidad[[#This Row],[Fecha y hora inicio]])*1440</f>
        <v>0</v>
      </c>
    </row>
    <row r="3574" spans="6:6" ht="15">
      <c r="F3574" s="115">
        <f>+(disponibilidad[[#This Row],[Fecha y hora fin]]-disponibilidad[[#This Row],[Fecha y hora inicio]])*1440</f>
        <v>0</v>
      </c>
    </row>
    <row r="3575" spans="6:6" ht="15">
      <c r="F3575" s="115">
        <f>+(disponibilidad[[#This Row],[Fecha y hora fin]]-disponibilidad[[#This Row],[Fecha y hora inicio]])*1440</f>
        <v>0</v>
      </c>
    </row>
    <row r="3576" spans="6:6" ht="15">
      <c r="F3576" s="115">
        <f>+(disponibilidad[[#This Row],[Fecha y hora fin]]-disponibilidad[[#This Row],[Fecha y hora inicio]])*1440</f>
        <v>0</v>
      </c>
    </row>
    <row r="3577" spans="6:6" ht="15">
      <c r="F3577" s="115">
        <f>+(disponibilidad[[#This Row],[Fecha y hora fin]]-disponibilidad[[#This Row],[Fecha y hora inicio]])*1440</f>
        <v>0</v>
      </c>
    </row>
    <row r="3578" spans="6:6" ht="15">
      <c r="F3578" s="115">
        <f>+(disponibilidad[[#This Row],[Fecha y hora fin]]-disponibilidad[[#This Row],[Fecha y hora inicio]])*1440</f>
        <v>0</v>
      </c>
    </row>
    <row r="3579" spans="6:6" ht="15">
      <c r="F3579" s="115">
        <f>+(disponibilidad[[#This Row],[Fecha y hora fin]]-disponibilidad[[#This Row],[Fecha y hora inicio]])*1440</f>
        <v>0</v>
      </c>
    </row>
    <row r="3580" spans="6:6" ht="15">
      <c r="F3580" s="115">
        <f>+(disponibilidad[[#This Row],[Fecha y hora fin]]-disponibilidad[[#This Row],[Fecha y hora inicio]])*1440</f>
        <v>0</v>
      </c>
    </row>
    <row r="3581" spans="6:6" ht="15">
      <c r="F3581" s="115">
        <f>+(disponibilidad[[#This Row],[Fecha y hora fin]]-disponibilidad[[#This Row],[Fecha y hora inicio]])*1440</f>
        <v>0</v>
      </c>
    </row>
    <row r="3582" spans="6:6" ht="15">
      <c r="F3582" s="115">
        <f>+(disponibilidad[[#This Row],[Fecha y hora fin]]-disponibilidad[[#This Row],[Fecha y hora inicio]])*1440</f>
        <v>0</v>
      </c>
    </row>
    <row r="3583" spans="6:6" ht="15">
      <c r="F3583" s="115">
        <f>+(disponibilidad[[#This Row],[Fecha y hora fin]]-disponibilidad[[#This Row],[Fecha y hora inicio]])*1440</f>
        <v>0</v>
      </c>
    </row>
    <row r="3584" spans="6:6" ht="15">
      <c r="F3584" s="115">
        <f>+(disponibilidad[[#This Row],[Fecha y hora fin]]-disponibilidad[[#This Row],[Fecha y hora inicio]])*1440</f>
        <v>0</v>
      </c>
    </row>
    <row r="3585" spans="6:6" ht="15">
      <c r="F3585" s="115">
        <f>+(disponibilidad[[#This Row],[Fecha y hora fin]]-disponibilidad[[#This Row],[Fecha y hora inicio]])*1440</f>
        <v>0</v>
      </c>
    </row>
    <row r="3586" spans="6:6" ht="15">
      <c r="F3586" s="115">
        <f>+(disponibilidad[[#This Row],[Fecha y hora fin]]-disponibilidad[[#This Row],[Fecha y hora inicio]])*1440</f>
        <v>0</v>
      </c>
    </row>
    <row r="3587" spans="6:6" ht="15">
      <c r="F3587" s="115">
        <f>+(disponibilidad[[#This Row],[Fecha y hora fin]]-disponibilidad[[#This Row],[Fecha y hora inicio]])*1440</f>
        <v>0</v>
      </c>
    </row>
    <row r="3588" spans="6:6" ht="15">
      <c r="F3588" s="115">
        <f>+(disponibilidad[[#This Row],[Fecha y hora fin]]-disponibilidad[[#This Row],[Fecha y hora inicio]])*1440</f>
        <v>0</v>
      </c>
    </row>
    <row r="3589" spans="6:6" ht="15">
      <c r="F3589" s="115">
        <f>+(disponibilidad[[#This Row],[Fecha y hora fin]]-disponibilidad[[#This Row],[Fecha y hora inicio]])*1440</f>
        <v>0</v>
      </c>
    </row>
    <row r="3590" spans="6:6" ht="15">
      <c r="F3590" s="115">
        <f>+(disponibilidad[[#This Row],[Fecha y hora fin]]-disponibilidad[[#This Row],[Fecha y hora inicio]])*1440</f>
        <v>0</v>
      </c>
    </row>
    <row r="3591" spans="6:6" ht="15">
      <c r="F3591" s="115">
        <f>+(disponibilidad[[#This Row],[Fecha y hora fin]]-disponibilidad[[#This Row],[Fecha y hora inicio]])*1440</f>
        <v>0</v>
      </c>
    </row>
    <row r="3592" spans="6:6" ht="15">
      <c r="F3592" s="115">
        <f>+(disponibilidad[[#This Row],[Fecha y hora fin]]-disponibilidad[[#This Row],[Fecha y hora inicio]])*1440</f>
        <v>0</v>
      </c>
    </row>
    <row r="3593" spans="6:6" ht="15">
      <c r="F3593" s="115">
        <f>+(disponibilidad[[#This Row],[Fecha y hora fin]]-disponibilidad[[#This Row],[Fecha y hora inicio]])*1440</f>
        <v>0</v>
      </c>
    </row>
    <row r="3594" spans="6:6" ht="15">
      <c r="F3594" s="115">
        <f>+(disponibilidad[[#This Row],[Fecha y hora fin]]-disponibilidad[[#This Row],[Fecha y hora inicio]])*1440</f>
        <v>0</v>
      </c>
    </row>
    <row r="3595" spans="6:6" ht="15">
      <c r="F3595" s="115">
        <f>+(disponibilidad[[#This Row],[Fecha y hora fin]]-disponibilidad[[#This Row],[Fecha y hora inicio]])*1440</f>
        <v>0</v>
      </c>
    </row>
    <row r="3596" spans="6:6" ht="15">
      <c r="F3596" s="115">
        <f>+(disponibilidad[[#This Row],[Fecha y hora fin]]-disponibilidad[[#This Row],[Fecha y hora inicio]])*1440</f>
        <v>0</v>
      </c>
    </row>
    <row r="3597" spans="6:6" ht="15">
      <c r="F3597" s="115">
        <f>+(disponibilidad[[#This Row],[Fecha y hora fin]]-disponibilidad[[#This Row],[Fecha y hora inicio]])*1440</f>
        <v>0</v>
      </c>
    </row>
    <row r="3598" spans="6:6" ht="15">
      <c r="F3598" s="115">
        <f>+(disponibilidad[[#This Row],[Fecha y hora fin]]-disponibilidad[[#This Row],[Fecha y hora inicio]])*1440</f>
        <v>0</v>
      </c>
    </row>
    <row r="3599" spans="6:6" ht="15">
      <c r="F3599" s="115">
        <f>+(disponibilidad[[#This Row],[Fecha y hora fin]]-disponibilidad[[#This Row],[Fecha y hora inicio]])*1440</f>
        <v>0</v>
      </c>
    </row>
    <row r="3600" spans="6:6" ht="15">
      <c r="F3600" s="115">
        <f>+(disponibilidad[[#This Row],[Fecha y hora fin]]-disponibilidad[[#This Row],[Fecha y hora inicio]])*1440</f>
        <v>0</v>
      </c>
    </row>
    <row r="3601" spans="6:6" ht="15">
      <c r="F3601" s="115">
        <f>+(disponibilidad[[#This Row],[Fecha y hora fin]]-disponibilidad[[#This Row],[Fecha y hora inicio]])*1440</f>
        <v>0</v>
      </c>
    </row>
    <row r="3602" spans="6:6" ht="15">
      <c r="F3602" s="115">
        <f>+(disponibilidad[[#This Row],[Fecha y hora fin]]-disponibilidad[[#This Row],[Fecha y hora inicio]])*1440</f>
        <v>0</v>
      </c>
    </row>
    <row r="3603" spans="6:6" ht="15">
      <c r="F3603" s="115">
        <f>+(disponibilidad[[#This Row],[Fecha y hora fin]]-disponibilidad[[#This Row],[Fecha y hora inicio]])*1440</f>
        <v>0</v>
      </c>
    </row>
    <row r="3604" spans="6:6" ht="15">
      <c r="F3604" s="115">
        <f>+(disponibilidad[[#This Row],[Fecha y hora fin]]-disponibilidad[[#This Row],[Fecha y hora inicio]])*1440</f>
        <v>0</v>
      </c>
    </row>
    <row r="3605" spans="6:6" ht="15">
      <c r="F3605" s="115">
        <f>+(disponibilidad[[#This Row],[Fecha y hora fin]]-disponibilidad[[#This Row],[Fecha y hora inicio]])*1440</f>
        <v>0</v>
      </c>
    </row>
    <row r="3606" spans="6:6" ht="15">
      <c r="F3606" s="115">
        <f>+(disponibilidad[[#This Row],[Fecha y hora fin]]-disponibilidad[[#This Row],[Fecha y hora inicio]])*1440</f>
        <v>0</v>
      </c>
    </row>
    <row r="3607" spans="6:6" ht="15">
      <c r="F3607" s="115">
        <f>+(disponibilidad[[#This Row],[Fecha y hora fin]]-disponibilidad[[#This Row],[Fecha y hora inicio]])*1440</f>
        <v>0</v>
      </c>
    </row>
    <row r="3608" spans="6:6" ht="15">
      <c r="F3608" s="115">
        <f>+(disponibilidad[[#This Row],[Fecha y hora fin]]-disponibilidad[[#This Row],[Fecha y hora inicio]])*1440</f>
        <v>0</v>
      </c>
    </row>
    <row r="3609" spans="6:6" ht="15">
      <c r="F3609" s="115">
        <f>+(disponibilidad[[#This Row],[Fecha y hora fin]]-disponibilidad[[#This Row],[Fecha y hora inicio]])*1440</f>
        <v>0</v>
      </c>
    </row>
    <row r="3610" spans="6:6" ht="15">
      <c r="F3610" s="115">
        <f>+(disponibilidad[[#This Row],[Fecha y hora fin]]-disponibilidad[[#This Row],[Fecha y hora inicio]])*1440</f>
        <v>0</v>
      </c>
    </row>
    <row r="3611" spans="6:6" ht="15">
      <c r="F3611" s="115">
        <f>+(disponibilidad[[#This Row],[Fecha y hora fin]]-disponibilidad[[#This Row],[Fecha y hora inicio]])*1440</f>
        <v>0</v>
      </c>
    </row>
    <row r="3612" spans="6:6" ht="15">
      <c r="F3612" s="115">
        <f>+(disponibilidad[[#This Row],[Fecha y hora fin]]-disponibilidad[[#This Row],[Fecha y hora inicio]])*1440</f>
        <v>0</v>
      </c>
    </row>
    <row r="3613" spans="6:6" ht="15">
      <c r="F3613" s="115">
        <f>+(disponibilidad[[#This Row],[Fecha y hora fin]]-disponibilidad[[#This Row],[Fecha y hora inicio]])*1440</f>
        <v>0</v>
      </c>
    </row>
    <row r="3614" spans="6:6" ht="15">
      <c r="F3614" s="115">
        <f>+(disponibilidad[[#This Row],[Fecha y hora fin]]-disponibilidad[[#This Row],[Fecha y hora inicio]])*1440</f>
        <v>0</v>
      </c>
    </row>
    <row r="3615" spans="6:6" ht="15">
      <c r="F3615" s="115">
        <f>+(disponibilidad[[#This Row],[Fecha y hora fin]]-disponibilidad[[#This Row],[Fecha y hora inicio]])*1440</f>
        <v>0</v>
      </c>
    </row>
    <row r="3616" spans="6:6" ht="15">
      <c r="F3616" s="115">
        <f>+(disponibilidad[[#This Row],[Fecha y hora fin]]-disponibilidad[[#This Row],[Fecha y hora inicio]])*1440</f>
        <v>0</v>
      </c>
    </row>
    <row r="3617" spans="6:6" ht="15">
      <c r="F3617" s="115">
        <f>+(disponibilidad[[#This Row],[Fecha y hora fin]]-disponibilidad[[#This Row],[Fecha y hora inicio]])*1440</f>
        <v>0</v>
      </c>
    </row>
    <row r="3618" spans="6:6" ht="15">
      <c r="F3618" s="115">
        <f>+(disponibilidad[[#This Row],[Fecha y hora fin]]-disponibilidad[[#This Row],[Fecha y hora inicio]])*1440</f>
        <v>0</v>
      </c>
    </row>
    <row r="3619" spans="6:6" ht="15">
      <c r="F3619" s="115">
        <f>+(disponibilidad[[#This Row],[Fecha y hora fin]]-disponibilidad[[#This Row],[Fecha y hora inicio]])*1440</f>
        <v>0</v>
      </c>
    </row>
    <row r="3620" spans="6:6" ht="15">
      <c r="F3620" s="115">
        <f>+(disponibilidad[[#This Row],[Fecha y hora fin]]-disponibilidad[[#This Row],[Fecha y hora inicio]])*1440</f>
        <v>0</v>
      </c>
    </row>
    <row r="3621" spans="6:6" ht="15">
      <c r="F3621" s="115">
        <f>+(disponibilidad[[#This Row],[Fecha y hora fin]]-disponibilidad[[#This Row],[Fecha y hora inicio]])*1440</f>
        <v>0</v>
      </c>
    </row>
    <row r="3622" spans="6:6" ht="15">
      <c r="F3622" s="115">
        <f>+(disponibilidad[[#This Row],[Fecha y hora fin]]-disponibilidad[[#This Row],[Fecha y hora inicio]])*1440</f>
        <v>0</v>
      </c>
    </row>
    <row r="3623" spans="6:6" ht="15">
      <c r="F3623" s="115">
        <f>+(disponibilidad[[#This Row],[Fecha y hora fin]]-disponibilidad[[#This Row],[Fecha y hora inicio]])*1440</f>
        <v>0</v>
      </c>
    </row>
    <row r="3624" spans="6:6" ht="15">
      <c r="F3624" s="115">
        <f>+(disponibilidad[[#This Row],[Fecha y hora fin]]-disponibilidad[[#This Row],[Fecha y hora inicio]])*1440</f>
        <v>0</v>
      </c>
    </row>
    <row r="3625" spans="6:6" ht="15">
      <c r="F3625" s="115">
        <f>+(disponibilidad[[#This Row],[Fecha y hora fin]]-disponibilidad[[#This Row],[Fecha y hora inicio]])*1440</f>
        <v>0</v>
      </c>
    </row>
    <row r="3626" spans="6:6" ht="15">
      <c r="F3626" s="115">
        <f>+(disponibilidad[[#This Row],[Fecha y hora fin]]-disponibilidad[[#This Row],[Fecha y hora inicio]])*1440</f>
        <v>0</v>
      </c>
    </row>
    <row r="3627" spans="6:6" ht="15">
      <c r="F3627" s="115">
        <f>+(disponibilidad[[#This Row],[Fecha y hora fin]]-disponibilidad[[#This Row],[Fecha y hora inicio]])*1440</f>
        <v>0</v>
      </c>
    </row>
    <row r="3628" spans="6:6" ht="15">
      <c r="F3628" s="115">
        <f>+(disponibilidad[[#This Row],[Fecha y hora fin]]-disponibilidad[[#This Row],[Fecha y hora inicio]])*1440</f>
        <v>0</v>
      </c>
    </row>
    <row r="3629" spans="6:6" ht="15">
      <c r="F3629" s="115">
        <f>+(disponibilidad[[#This Row],[Fecha y hora fin]]-disponibilidad[[#This Row],[Fecha y hora inicio]])*1440</f>
        <v>0</v>
      </c>
    </row>
    <row r="3630" spans="6:6" ht="15">
      <c r="F3630" s="115">
        <f>+(disponibilidad[[#This Row],[Fecha y hora fin]]-disponibilidad[[#This Row],[Fecha y hora inicio]])*1440</f>
        <v>0</v>
      </c>
    </row>
    <row r="3631" spans="6:6" ht="15">
      <c r="F3631" s="115">
        <f>+(disponibilidad[[#This Row],[Fecha y hora fin]]-disponibilidad[[#This Row],[Fecha y hora inicio]])*1440</f>
        <v>0</v>
      </c>
    </row>
    <row r="3632" spans="6:6" ht="15">
      <c r="F3632" s="115">
        <f>+(disponibilidad[[#This Row],[Fecha y hora fin]]-disponibilidad[[#This Row],[Fecha y hora inicio]])*1440</f>
        <v>0</v>
      </c>
    </row>
    <row r="3633" spans="6:6" ht="15">
      <c r="F3633" s="115">
        <f>+(disponibilidad[[#This Row],[Fecha y hora fin]]-disponibilidad[[#This Row],[Fecha y hora inicio]])*1440</f>
        <v>0</v>
      </c>
    </row>
    <row r="3634" spans="6:6" ht="15">
      <c r="F3634" s="115">
        <f>+(disponibilidad[[#This Row],[Fecha y hora fin]]-disponibilidad[[#This Row],[Fecha y hora inicio]])*1440</f>
        <v>0</v>
      </c>
    </row>
    <row r="3635" spans="6:6" ht="15">
      <c r="F3635" s="115">
        <f>+(disponibilidad[[#This Row],[Fecha y hora fin]]-disponibilidad[[#This Row],[Fecha y hora inicio]])*1440</f>
        <v>0</v>
      </c>
    </row>
    <row r="3636" spans="6:6" ht="15">
      <c r="F3636" s="115">
        <f>+(disponibilidad[[#This Row],[Fecha y hora fin]]-disponibilidad[[#This Row],[Fecha y hora inicio]])*1440</f>
        <v>0</v>
      </c>
    </row>
    <row r="3637" spans="6:6" ht="15">
      <c r="F3637" s="115">
        <f>+(disponibilidad[[#This Row],[Fecha y hora fin]]-disponibilidad[[#This Row],[Fecha y hora inicio]])*1440</f>
        <v>0</v>
      </c>
    </row>
    <row r="3638" spans="6:6" ht="15">
      <c r="F3638" s="115">
        <f>+(disponibilidad[[#This Row],[Fecha y hora fin]]-disponibilidad[[#This Row],[Fecha y hora inicio]])*1440</f>
        <v>0</v>
      </c>
    </row>
    <row r="3639" spans="6:6" ht="15">
      <c r="F3639" s="115">
        <f>+(disponibilidad[[#This Row],[Fecha y hora fin]]-disponibilidad[[#This Row],[Fecha y hora inicio]])*1440</f>
        <v>0</v>
      </c>
    </row>
    <row r="3640" spans="6:6" ht="15">
      <c r="F3640" s="115">
        <f>+(disponibilidad[[#This Row],[Fecha y hora fin]]-disponibilidad[[#This Row],[Fecha y hora inicio]])*1440</f>
        <v>0</v>
      </c>
    </row>
    <row r="3641" spans="6:6" ht="15">
      <c r="F3641" s="115">
        <f>+(disponibilidad[[#This Row],[Fecha y hora fin]]-disponibilidad[[#This Row],[Fecha y hora inicio]])*1440</f>
        <v>0</v>
      </c>
    </row>
    <row r="3642" spans="6:6" ht="15">
      <c r="F3642" s="115">
        <f>+(disponibilidad[[#This Row],[Fecha y hora fin]]-disponibilidad[[#This Row],[Fecha y hora inicio]])*1440</f>
        <v>0</v>
      </c>
    </row>
    <row r="3643" spans="6:6" ht="15">
      <c r="F3643" s="115">
        <f>+(disponibilidad[[#This Row],[Fecha y hora fin]]-disponibilidad[[#This Row],[Fecha y hora inicio]])*1440</f>
        <v>0</v>
      </c>
    </row>
    <row r="3644" spans="6:6" ht="15">
      <c r="F3644" s="115">
        <f>+(disponibilidad[[#This Row],[Fecha y hora fin]]-disponibilidad[[#This Row],[Fecha y hora inicio]])*1440</f>
        <v>0</v>
      </c>
    </row>
    <row r="3645" spans="6:6" ht="15">
      <c r="F3645" s="115">
        <f>+(disponibilidad[[#This Row],[Fecha y hora fin]]-disponibilidad[[#This Row],[Fecha y hora inicio]])*1440</f>
        <v>0</v>
      </c>
    </row>
    <row r="3646" spans="6:6" ht="15">
      <c r="F3646" s="115">
        <f>+(disponibilidad[[#This Row],[Fecha y hora fin]]-disponibilidad[[#This Row],[Fecha y hora inicio]])*1440</f>
        <v>0</v>
      </c>
    </row>
    <row r="3647" spans="6:6" ht="15">
      <c r="F3647" s="115">
        <f>+(disponibilidad[[#This Row],[Fecha y hora fin]]-disponibilidad[[#This Row],[Fecha y hora inicio]])*1440</f>
        <v>0</v>
      </c>
    </row>
    <row r="3648" spans="6:6" ht="15">
      <c r="F3648" s="115">
        <f>+(disponibilidad[[#This Row],[Fecha y hora fin]]-disponibilidad[[#This Row],[Fecha y hora inicio]])*1440</f>
        <v>0</v>
      </c>
    </row>
    <row r="3649" spans="6:6" ht="15">
      <c r="F3649" s="115">
        <f>+(disponibilidad[[#This Row],[Fecha y hora fin]]-disponibilidad[[#This Row],[Fecha y hora inicio]])*1440</f>
        <v>0</v>
      </c>
    </row>
    <row r="3650" spans="6:6" ht="15">
      <c r="F3650" s="115">
        <f>+(disponibilidad[[#This Row],[Fecha y hora fin]]-disponibilidad[[#This Row],[Fecha y hora inicio]])*1440</f>
        <v>0</v>
      </c>
    </row>
    <row r="3651" spans="6:6" ht="15">
      <c r="F3651" s="115">
        <f>+(disponibilidad[[#This Row],[Fecha y hora fin]]-disponibilidad[[#This Row],[Fecha y hora inicio]])*1440</f>
        <v>0</v>
      </c>
    </row>
    <row r="3652" spans="6:6" ht="15">
      <c r="F3652" s="115">
        <f>+(disponibilidad[[#This Row],[Fecha y hora fin]]-disponibilidad[[#This Row],[Fecha y hora inicio]])*1440</f>
        <v>0</v>
      </c>
    </row>
    <row r="3653" spans="6:6" ht="15">
      <c r="F3653" s="115">
        <f>+(disponibilidad[[#This Row],[Fecha y hora fin]]-disponibilidad[[#This Row],[Fecha y hora inicio]])*1440</f>
        <v>0</v>
      </c>
    </row>
    <row r="3654" spans="6:6" ht="15">
      <c r="F3654" s="115">
        <f>+(disponibilidad[[#This Row],[Fecha y hora fin]]-disponibilidad[[#This Row],[Fecha y hora inicio]])*1440</f>
        <v>0</v>
      </c>
    </row>
    <row r="3655" spans="6:6" ht="15">
      <c r="F3655" s="115">
        <f>+(disponibilidad[[#This Row],[Fecha y hora fin]]-disponibilidad[[#This Row],[Fecha y hora inicio]])*1440</f>
        <v>0</v>
      </c>
    </row>
    <row r="3656" spans="6:6" ht="15">
      <c r="F3656" s="115">
        <f>+(disponibilidad[[#This Row],[Fecha y hora fin]]-disponibilidad[[#This Row],[Fecha y hora inicio]])*1440</f>
        <v>0</v>
      </c>
    </row>
    <row r="3657" spans="6:6" ht="15">
      <c r="F3657" s="115">
        <f>+(disponibilidad[[#This Row],[Fecha y hora fin]]-disponibilidad[[#This Row],[Fecha y hora inicio]])*1440</f>
        <v>0</v>
      </c>
    </row>
    <row r="3658" spans="6:6" ht="15">
      <c r="F3658" s="115">
        <f>+(disponibilidad[[#This Row],[Fecha y hora fin]]-disponibilidad[[#This Row],[Fecha y hora inicio]])*1440</f>
        <v>0</v>
      </c>
    </row>
    <row r="3659" spans="6:6" ht="15">
      <c r="F3659" s="115">
        <f>+(disponibilidad[[#This Row],[Fecha y hora fin]]-disponibilidad[[#This Row],[Fecha y hora inicio]])*1440</f>
        <v>0</v>
      </c>
    </row>
    <row r="3660" spans="6:6" ht="15">
      <c r="F3660" s="115">
        <f>+(disponibilidad[[#This Row],[Fecha y hora fin]]-disponibilidad[[#This Row],[Fecha y hora inicio]])*1440</f>
        <v>0</v>
      </c>
    </row>
    <row r="3661" spans="6:6" ht="15">
      <c r="F3661" s="115">
        <f>+(disponibilidad[[#This Row],[Fecha y hora fin]]-disponibilidad[[#This Row],[Fecha y hora inicio]])*1440</f>
        <v>0</v>
      </c>
    </row>
    <row r="3662" spans="6:6" ht="15">
      <c r="F3662" s="115">
        <f>+(disponibilidad[[#This Row],[Fecha y hora fin]]-disponibilidad[[#This Row],[Fecha y hora inicio]])*1440</f>
        <v>0</v>
      </c>
    </row>
    <row r="3663" spans="6:6" ht="15">
      <c r="F3663" s="115">
        <f>+(disponibilidad[[#This Row],[Fecha y hora fin]]-disponibilidad[[#This Row],[Fecha y hora inicio]])*1440</f>
        <v>0</v>
      </c>
    </row>
    <row r="3664" spans="6:6" ht="15">
      <c r="F3664" s="115">
        <f>+(disponibilidad[[#This Row],[Fecha y hora fin]]-disponibilidad[[#This Row],[Fecha y hora inicio]])*1440</f>
        <v>0</v>
      </c>
    </row>
    <row r="3665" spans="6:6" ht="15">
      <c r="F3665" s="115">
        <f>+(disponibilidad[[#This Row],[Fecha y hora fin]]-disponibilidad[[#This Row],[Fecha y hora inicio]])*1440</f>
        <v>0</v>
      </c>
    </row>
    <row r="3666" spans="6:6" ht="15">
      <c r="F3666" s="115">
        <f>+(disponibilidad[[#This Row],[Fecha y hora fin]]-disponibilidad[[#This Row],[Fecha y hora inicio]])*1440</f>
        <v>0</v>
      </c>
    </row>
    <row r="3667" spans="6:6" ht="15">
      <c r="F3667" s="115">
        <f>+(disponibilidad[[#This Row],[Fecha y hora fin]]-disponibilidad[[#This Row],[Fecha y hora inicio]])*1440</f>
        <v>0</v>
      </c>
    </row>
    <row r="3668" spans="6:6" ht="15">
      <c r="F3668" s="115">
        <f>+(disponibilidad[[#This Row],[Fecha y hora fin]]-disponibilidad[[#This Row],[Fecha y hora inicio]])*1440</f>
        <v>0</v>
      </c>
    </row>
    <row r="3669" spans="6:6" ht="15">
      <c r="F3669" s="115">
        <f>+(disponibilidad[[#This Row],[Fecha y hora fin]]-disponibilidad[[#This Row],[Fecha y hora inicio]])*1440</f>
        <v>0</v>
      </c>
    </row>
    <row r="3670" spans="6:6" ht="15">
      <c r="F3670" s="115">
        <f>+(disponibilidad[[#This Row],[Fecha y hora fin]]-disponibilidad[[#This Row],[Fecha y hora inicio]])*1440</f>
        <v>0</v>
      </c>
    </row>
    <row r="3671" spans="6:6" ht="15">
      <c r="F3671" s="115">
        <f>+(disponibilidad[[#This Row],[Fecha y hora fin]]-disponibilidad[[#This Row],[Fecha y hora inicio]])*1440</f>
        <v>0</v>
      </c>
    </row>
    <row r="3672" spans="6:6" ht="15">
      <c r="F3672" s="115">
        <f>+(disponibilidad[[#This Row],[Fecha y hora fin]]-disponibilidad[[#This Row],[Fecha y hora inicio]])*1440</f>
        <v>0</v>
      </c>
    </row>
    <row r="3673" spans="6:6" ht="15">
      <c r="F3673" s="115">
        <f>+(disponibilidad[[#This Row],[Fecha y hora fin]]-disponibilidad[[#This Row],[Fecha y hora inicio]])*1440</f>
        <v>0</v>
      </c>
    </row>
    <row r="3674" spans="6:6" ht="15">
      <c r="F3674" s="115">
        <f>+(disponibilidad[[#This Row],[Fecha y hora fin]]-disponibilidad[[#This Row],[Fecha y hora inicio]])*1440</f>
        <v>0</v>
      </c>
    </row>
    <row r="3675" spans="6:6" ht="15">
      <c r="F3675" s="115">
        <f>+(disponibilidad[[#This Row],[Fecha y hora fin]]-disponibilidad[[#This Row],[Fecha y hora inicio]])*1440</f>
        <v>0</v>
      </c>
    </row>
    <row r="3676" spans="6:6" ht="15">
      <c r="F3676" s="115">
        <f>+(disponibilidad[[#This Row],[Fecha y hora fin]]-disponibilidad[[#This Row],[Fecha y hora inicio]])*1440</f>
        <v>0</v>
      </c>
    </row>
    <row r="3677" spans="6:6" ht="15">
      <c r="F3677" s="115">
        <f>+(disponibilidad[[#This Row],[Fecha y hora fin]]-disponibilidad[[#This Row],[Fecha y hora inicio]])*1440</f>
        <v>0</v>
      </c>
    </row>
    <row r="3678" spans="6:6" ht="15">
      <c r="F3678" s="115">
        <f>+(disponibilidad[[#This Row],[Fecha y hora fin]]-disponibilidad[[#This Row],[Fecha y hora inicio]])*1440</f>
        <v>0</v>
      </c>
    </row>
    <row r="3679" spans="6:6" ht="15">
      <c r="F3679" s="115">
        <f>+(disponibilidad[[#This Row],[Fecha y hora fin]]-disponibilidad[[#This Row],[Fecha y hora inicio]])*1440</f>
        <v>0</v>
      </c>
    </row>
    <row r="3680" spans="6:6" ht="15">
      <c r="F3680" s="115">
        <f>+(disponibilidad[[#This Row],[Fecha y hora fin]]-disponibilidad[[#This Row],[Fecha y hora inicio]])*1440</f>
        <v>0</v>
      </c>
    </row>
    <row r="3681" spans="6:6" ht="15">
      <c r="F3681" s="115">
        <f>+(disponibilidad[[#This Row],[Fecha y hora fin]]-disponibilidad[[#This Row],[Fecha y hora inicio]])*1440</f>
        <v>0</v>
      </c>
    </row>
    <row r="3682" spans="6:6" ht="15">
      <c r="F3682" s="115">
        <f>+(disponibilidad[[#This Row],[Fecha y hora fin]]-disponibilidad[[#This Row],[Fecha y hora inicio]])*1440</f>
        <v>0</v>
      </c>
    </row>
    <row r="3683" spans="6:6" ht="15">
      <c r="F3683" s="115">
        <f>+(disponibilidad[[#This Row],[Fecha y hora fin]]-disponibilidad[[#This Row],[Fecha y hora inicio]])*1440</f>
        <v>0</v>
      </c>
    </row>
    <row r="3684" spans="6:6" ht="15">
      <c r="F3684" s="115">
        <f>+(disponibilidad[[#This Row],[Fecha y hora fin]]-disponibilidad[[#This Row],[Fecha y hora inicio]])*1440</f>
        <v>0</v>
      </c>
    </row>
    <row r="3685" spans="6:6" ht="15">
      <c r="F3685" s="115">
        <f>+(disponibilidad[[#This Row],[Fecha y hora fin]]-disponibilidad[[#This Row],[Fecha y hora inicio]])*1440</f>
        <v>0</v>
      </c>
    </row>
    <row r="3686" spans="6:6" ht="15">
      <c r="F3686" s="115">
        <f>+(disponibilidad[[#This Row],[Fecha y hora fin]]-disponibilidad[[#This Row],[Fecha y hora inicio]])*1440</f>
        <v>0</v>
      </c>
    </row>
    <row r="3687" spans="6:6" ht="15">
      <c r="F3687" s="115">
        <f>+(disponibilidad[[#This Row],[Fecha y hora fin]]-disponibilidad[[#This Row],[Fecha y hora inicio]])*1440</f>
        <v>0</v>
      </c>
    </row>
    <row r="3688" spans="6:6" ht="15">
      <c r="F3688" s="115">
        <f>+(disponibilidad[[#This Row],[Fecha y hora fin]]-disponibilidad[[#This Row],[Fecha y hora inicio]])*1440</f>
        <v>0</v>
      </c>
    </row>
    <row r="3689" spans="6:6" ht="15">
      <c r="F3689" s="115">
        <f>+(disponibilidad[[#This Row],[Fecha y hora fin]]-disponibilidad[[#This Row],[Fecha y hora inicio]])*1440</f>
        <v>0</v>
      </c>
    </row>
    <row r="3690" spans="6:6" ht="15">
      <c r="F3690" s="115">
        <f>+(disponibilidad[[#This Row],[Fecha y hora fin]]-disponibilidad[[#This Row],[Fecha y hora inicio]])*1440</f>
        <v>0</v>
      </c>
    </row>
    <row r="3691" spans="6:6" ht="15">
      <c r="F3691" s="115">
        <f>+(disponibilidad[[#This Row],[Fecha y hora fin]]-disponibilidad[[#This Row],[Fecha y hora inicio]])*1440</f>
        <v>0</v>
      </c>
    </row>
    <row r="3692" spans="6:6" ht="15">
      <c r="F3692" s="115">
        <f>+(disponibilidad[[#This Row],[Fecha y hora fin]]-disponibilidad[[#This Row],[Fecha y hora inicio]])*1440</f>
        <v>0</v>
      </c>
    </row>
    <row r="3693" spans="6:6" ht="15">
      <c r="F3693" s="115">
        <f>+(disponibilidad[[#This Row],[Fecha y hora fin]]-disponibilidad[[#This Row],[Fecha y hora inicio]])*1440</f>
        <v>0</v>
      </c>
    </row>
    <row r="3694" spans="6:6" ht="15">
      <c r="F3694" s="115">
        <f>+(disponibilidad[[#This Row],[Fecha y hora fin]]-disponibilidad[[#This Row],[Fecha y hora inicio]])*1440</f>
        <v>0</v>
      </c>
    </row>
    <row r="3695" spans="6:6" ht="15">
      <c r="F3695" s="115">
        <f>+(disponibilidad[[#This Row],[Fecha y hora fin]]-disponibilidad[[#This Row],[Fecha y hora inicio]])*1440</f>
        <v>0</v>
      </c>
    </row>
    <row r="3696" spans="6:6" ht="15">
      <c r="F3696" s="115">
        <f>+(disponibilidad[[#This Row],[Fecha y hora fin]]-disponibilidad[[#This Row],[Fecha y hora inicio]])*1440</f>
        <v>0</v>
      </c>
    </row>
    <row r="3697" spans="6:6" ht="15">
      <c r="F3697" s="115">
        <f>+(disponibilidad[[#This Row],[Fecha y hora fin]]-disponibilidad[[#This Row],[Fecha y hora inicio]])*1440</f>
        <v>0</v>
      </c>
    </row>
    <row r="3698" spans="6:6" ht="15">
      <c r="F3698" s="115">
        <f>+(disponibilidad[[#This Row],[Fecha y hora fin]]-disponibilidad[[#This Row],[Fecha y hora inicio]])*1440</f>
        <v>0</v>
      </c>
    </row>
    <row r="3699" spans="6:6" ht="15">
      <c r="F3699" s="115">
        <f>+(disponibilidad[[#This Row],[Fecha y hora fin]]-disponibilidad[[#This Row],[Fecha y hora inicio]])*1440</f>
        <v>0</v>
      </c>
    </row>
    <row r="3700" spans="6:6" ht="15">
      <c r="F3700" s="115">
        <f>+(disponibilidad[[#This Row],[Fecha y hora fin]]-disponibilidad[[#This Row],[Fecha y hora inicio]])*1440</f>
        <v>0</v>
      </c>
    </row>
    <row r="3701" spans="6:6" ht="15">
      <c r="F3701" s="115">
        <f>+(disponibilidad[[#This Row],[Fecha y hora fin]]-disponibilidad[[#This Row],[Fecha y hora inicio]])*1440</f>
        <v>0</v>
      </c>
    </row>
    <row r="3702" spans="6:6" ht="15">
      <c r="F3702" s="115">
        <f>+(disponibilidad[[#This Row],[Fecha y hora fin]]-disponibilidad[[#This Row],[Fecha y hora inicio]])*1440</f>
        <v>0</v>
      </c>
    </row>
    <row r="3703" spans="6:6" ht="15">
      <c r="F3703" s="115">
        <f>+(disponibilidad[[#This Row],[Fecha y hora fin]]-disponibilidad[[#This Row],[Fecha y hora inicio]])*1440</f>
        <v>0</v>
      </c>
    </row>
    <row r="3704" spans="6:6" ht="15">
      <c r="F3704" s="115">
        <f>+(disponibilidad[[#This Row],[Fecha y hora fin]]-disponibilidad[[#This Row],[Fecha y hora inicio]])*1440</f>
        <v>0</v>
      </c>
    </row>
    <row r="3705" spans="6:6" ht="15">
      <c r="F3705" s="115">
        <f>+(disponibilidad[[#This Row],[Fecha y hora fin]]-disponibilidad[[#This Row],[Fecha y hora inicio]])*1440</f>
        <v>0</v>
      </c>
    </row>
    <row r="3706" spans="6:6" ht="15">
      <c r="F3706" s="115">
        <f>+(disponibilidad[[#This Row],[Fecha y hora fin]]-disponibilidad[[#This Row],[Fecha y hora inicio]])*1440</f>
        <v>0</v>
      </c>
    </row>
    <row r="3707" spans="6:6" ht="15">
      <c r="F3707" s="115">
        <f>+(disponibilidad[[#This Row],[Fecha y hora fin]]-disponibilidad[[#This Row],[Fecha y hora inicio]])*1440</f>
        <v>0</v>
      </c>
    </row>
    <row r="3708" spans="6:6" ht="15">
      <c r="F3708" s="115">
        <f>+(disponibilidad[[#This Row],[Fecha y hora fin]]-disponibilidad[[#This Row],[Fecha y hora inicio]])*1440</f>
        <v>0</v>
      </c>
    </row>
    <row r="3709" spans="6:6" ht="15">
      <c r="F3709" s="115">
        <f>+(disponibilidad[[#This Row],[Fecha y hora fin]]-disponibilidad[[#This Row],[Fecha y hora inicio]])*1440</f>
        <v>0</v>
      </c>
    </row>
    <row r="3710" spans="6:6" ht="15">
      <c r="F3710" s="115">
        <f>+(disponibilidad[[#This Row],[Fecha y hora fin]]-disponibilidad[[#This Row],[Fecha y hora inicio]])*1440</f>
        <v>0</v>
      </c>
    </row>
    <row r="3711" spans="6:6" ht="15">
      <c r="F3711" s="115">
        <f>+(disponibilidad[[#This Row],[Fecha y hora fin]]-disponibilidad[[#This Row],[Fecha y hora inicio]])*1440</f>
        <v>0</v>
      </c>
    </row>
    <row r="3712" spans="6:6" ht="15">
      <c r="F3712" s="115">
        <f>+(disponibilidad[[#This Row],[Fecha y hora fin]]-disponibilidad[[#This Row],[Fecha y hora inicio]])*1440</f>
        <v>0</v>
      </c>
    </row>
    <row r="3713" spans="6:6" ht="15">
      <c r="F3713" s="115">
        <f>+(disponibilidad[[#This Row],[Fecha y hora fin]]-disponibilidad[[#This Row],[Fecha y hora inicio]])*1440</f>
        <v>0</v>
      </c>
    </row>
    <row r="3714" spans="6:6" ht="15">
      <c r="F3714" s="115">
        <f>+(disponibilidad[[#This Row],[Fecha y hora fin]]-disponibilidad[[#This Row],[Fecha y hora inicio]])*1440</f>
        <v>0</v>
      </c>
    </row>
    <row r="3715" spans="6:6" ht="15">
      <c r="F3715" s="115">
        <f>+(disponibilidad[[#This Row],[Fecha y hora fin]]-disponibilidad[[#This Row],[Fecha y hora inicio]])*1440</f>
        <v>0</v>
      </c>
    </row>
    <row r="3716" spans="6:6" ht="15">
      <c r="F3716" s="115">
        <f>+(disponibilidad[[#This Row],[Fecha y hora fin]]-disponibilidad[[#This Row],[Fecha y hora inicio]])*1440</f>
        <v>0</v>
      </c>
    </row>
    <row r="3717" spans="6:6" ht="15">
      <c r="F3717" s="115">
        <f>+(disponibilidad[[#This Row],[Fecha y hora fin]]-disponibilidad[[#This Row],[Fecha y hora inicio]])*1440</f>
        <v>0</v>
      </c>
    </row>
    <row r="3718" spans="6:6" ht="15">
      <c r="F3718" s="115">
        <f>+(disponibilidad[[#This Row],[Fecha y hora fin]]-disponibilidad[[#This Row],[Fecha y hora inicio]])*1440</f>
        <v>0</v>
      </c>
    </row>
    <row r="3719" spans="6:6" ht="15">
      <c r="F3719" s="115">
        <f>+(disponibilidad[[#This Row],[Fecha y hora fin]]-disponibilidad[[#This Row],[Fecha y hora inicio]])*1440</f>
        <v>0</v>
      </c>
    </row>
    <row r="3720" spans="6:6" ht="15">
      <c r="F3720" s="115">
        <f>+(disponibilidad[[#This Row],[Fecha y hora fin]]-disponibilidad[[#This Row],[Fecha y hora inicio]])*1440</f>
        <v>0</v>
      </c>
    </row>
    <row r="3721" spans="6:6" ht="15">
      <c r="F3721" s="115">
        <f>+(disponibilidad[[#This Row],[Fecha y hora fin]]-disponibilidad[[#This Row],[Fecha y hora inicio]])*1440</f>
        <v>0</v>
      </c>
    </row>
    <row r="3722" spans="6:6" ht="15">
      <c r="F3722" s="115">
        <f>+(disponibilidad[[#This Row],[Fecha y hora fin]]-disponibilidad[[#This Row],[Fecha y hora inicio]])*1440</f>
        <v>0</v>
      </c>
    </row>
    <row r="3723" spans="6:6" ht="15">
      <c r="F3723" s="115">
        <f>+(disponibilidad[[#This Row],[Fecha y hora fin]]-disponibilidad[[#This Row],[Fecha y hora inicio]])*1440</f>
        <v>0</v>
      </c>
    </row>
    <row r="3724" spans="6:6" ht="15">
      <c r="F3724" s="115">
        <f>+(disponibilidad[[#This Row],[Fecha y hora fin]]-disponibilidad[[#This Row],[Fecha y hora inicio]])*1440</f>
        <v>0</v>
      </c>
    </row>
    <row r="3725" spans="6:6" ht="15">
      <c r="F3725" s="115">
        <f>+(disponibilidad[[#This Row],[Fecha y hora fin]]-disponibilidad[[#This Row],[Fecha y hora inicio]])*1440</f>
        <v>0</v>
      </c>
    </row>
    <row r="3726" spans="6:6" ht="15">
      <c r="F3726" s="115">
        <f>+(disponibilidad[[#This Row],[Fecha y hora fin]]-disponibilidad[[#This Row],[Fecha y hora inicio]])*1440</f>
        <v>0</v>
      </c>
    </row>
    <row r="3727" spans="6:6" ht="15">
      <c r="F3727" s="115">
        <f>+(disponibilidad[[#This Row],[Fecha y hora fin]]-disponibilidad[[#This Row],[Fecha y hora inicio]])*1440</f>
        <v>0</v>
      </c>
    </row>
    <row r="3728" spans="6:6" ht="15">
      <c r="F3728" s="115">
        <f>+(disponibilidad[[#This Row],[Fecha y hora fin]]-disponibilidad[[#This Row],[Fecha y hora inicio]])*1440</f>
        <v>0</v>
      </c>
    </row>
    <row r="3729" spans="6:6" ht="15">
      <c r="F3729" s="115">
        <f>+(disponibilidad[[#This Row],[Fecha y hora fin]]-disponibilidad[[#This Row],[Fecha y hora inicio]])*1440</f>
        <v>0</v>
      </c>
    </row>
    <row r="3730" spans="6:6" ht="15">
      <c r="F3730" s="115">
        <f>+(disponibilidad[[#This Row],[Fecha y hora fin]]-disponibilidad[[#This Row],[Fecha y hora inicio]])*1440</f>
        <v>0</v>
      </c>
    </row>
    <row r="3731" spans="6:6" ht="15">
      <c r="F3731" s="115">
        <f>+(disponibilidad[[#This Row],[Fecha y hora fin]]-disponibilidad[[#This Row],[Fecha y hora inicio]])*1440</f>
        <v>0</v>
      </c>
    </row>
    <row r="3732" spans="6:6" ht="15">
      <c r="F3732" s="115">
        <f>+(disponibilidad[[#This Row],[Fecha y hora fin]]-disponibilidad[[#This Row],[Fecha y hora inicio]])*1440</f>
        <v>0</v>
      </c>
    </row>
    <row r="3733" spans="6:6" ht="15">
      <c r="F3733" s="115">
        <f>+(disponibilidad[[#This Row],[Fecha y hora fin]]-disponibilidad[[#This Row],[Fecha y hora inicio]])*1440</f>
        <v>0</v>
      </c>
    </row>
    <row r="3734" spans="6:6" ht="15">
      <c r="F3734" s="115">
        <f>+(disponibilidad[[#This Row],[Fecha y hora fin]]-disponibilidad[[#This Row],[Fecha y hora inicio]])*1440</f>
        <v>0</v>
      </c>
    </row>
    <row r="3735" spans="6:6" ht="15">
      <c r="F3735" s="115">
        <f>+(disponibilidad[[#This Row],[Fecha y hora fin]]-disponibilidad[[#This Row],[Fecha y hora inicio]])*1440</f>
        <v>0</v>
      </c>
    </row>
    <row r="3736" spans="6:6" ht="15">
      <c r="F3736" s="115">
        <f>+(disponibilidad[[#This Row],[Fecha y hora fin]]-disponibilidad[[#This Row],[Fecha y hora inicio]])*1440</f>
        <v>0</v>
      </c>
    </row>
    <row r="3737" spans="6:6" ht="15">
      <c r="F3737" s="115">
        <f>+(disponibilidad[[#This Row],[Fecha y hora fin]]-disponibilidad[[#This Row],[Fecha y hora inicio]])*1440</f>
        <v>0</v>
      </c>
    </row>
    <row r="3738" spans="6:6" ht="15">
      <c r="F3738" s="115">
        <f>+(disponibilidad[[#This Row],[Fecha y hora fin]]-disponibilidad[[#This Row],[Fecha y hora inicio]])*1440</f>
        <v>0</v>
      </c>
    </row>
    <row r="3739" spans="6:6" ht="15">
      <c r="F3739" s="115">
        <f>+(disponibilidad[[#This Row],[Fecha y hora fin]]-disponibilidad[[#This Row],[Fecha y hora inicio]])*1440</f>
        <v>0</v>
      </c>
    </row>
    <row r="3740" spans="6:6" ht="15">
      <c r="F3740" s="115">
        <f>+(disponibilidad[[#This Row],[Fecha y hora fin]]-disponibilidad[[#This Row],[Fecha y hora inicio]])*1440</f>
        <v>0</v>
      </c>
    </row>
    <row r="3741" spans="6:6" ht="15">
      <c r="F3741" s="115">
        <f>+(disponibilidad[[#This Row],[Fecha y hora fin]]-disponibilidad[[#This Row],[Fecha y hora inicio]])*1440</f>
        <v>0</v>
      </c>
    </row>
    <row r="3742" spans="6:6" ht="15">
      <c r="F3742" s="115">
        <f>+(disponibilidad[[#This Row],[Fecha y hora fin]]-disponibilidad[[#This Row],[Fecha y hora inicio]])*1440</f>
        <v>0</v>
      </c>
    </row>
    <row r="3743" spans="6:6" ht="15">
      <c r="F3743" s="115">
        <f>+(disponibilidad[[#This Row],[Fecha y hora fin]]-disponibilidad[[#This Row],[Fecha y hora inicio]])*1440</f>
        <v>0</v>
      </c>
    </row>
    <row r="3744" spans="6:6" ht="15">
      <c r="F3744" s="115">
        <f>+(disponibilidad[[#This Row],[Fecha y hora fin]]-disponibilidad[[#This Row],[Fecha y hora inicio]])*1440</f>
        <v>0</v>
      </c>
    </row>
    <row r="3745" spans="6:6" ht="15">
      <c r="F3745" s="115">
        <f>+(disponibilidad[[#This Row],[Fecha y hora fin]]-disponibilidad[[#This Row],[Fecha y hora inicio]])*1440</f>
        <v>0</v>
      </c>
    </row>
    <row r="3746" spans="6:6" ht="15">
      <c r="F3746" s="115">
        <f>+(disponibilidad[[#This Row],[Fecha y hora fin]]-disponibilidad[[#This Row],[Fecha y hora inicio]])*1440</f>
        <v>0</v>
      </c>
    </row>
    <row r="3747" spans="6:6" ht="15">
      <c r="F3747" s="115">
        <f>+(disponibilidad[[#This Row],[Fecha y hora fin]]-disponibilidad[[#This Row],[Fecha y hora inicio]])*1440</f>
        <v>0</v>
      </c>
    </row>
    <row r="3748" spans="6:6" ht="15">
      <c r="F3748" s="115">
        <f>+(disponibilidad[[#This Row],[Fecha y hora fin]]-disponibilidad[[#This Row],[Fecha y hora inicio]])*1440</f>
        <v>0</v>
      </c>
    </row>
    <row r="3749" spans="6:6" ht="15">
      <c r="F3749" s="115">
        <f>+(disponibilidad[[#This Row],[Fecha y hora fin]]-disponibilidad[[#This Row],[Fecha y hora inicio]])*1440</f>
        <v>0</v>
      </c>
    </row>
    <row r="3750" spans="6:6" ht="15">
      <c r="F3750" s="115">
        <f>+(disponibilidad[[#This Row],[Fecha y hora fin]]-disponibilidad[[#This Row],[Fecha y hora inicio]])*1440</f>
        <v>0</v>
      </c>
    </row>
    <row r="3751" spans="6:6" ht="15">
      <c r="F3751" s="115">
        <f>+(disponibilidad[[#This Row],[Fecha y hora fin]]-disponibilidad[[#This Row],[Fecha y hora inicio]])*1440</f>
        <v>0</v>
      </c>
    </row>
    <row r="3752" spans="6:6" ht="15">
      <c r="F3752" s="115">
        <f>+(disponibilidad[[#This Row],[Fecha y hora fin]]-disponibilidad[[#This Row],[Fecha y hora inicio]])*1440</f>
        <v>0</v>
      </c>
    </row>
    <row r="3753" spans="6:6" ht="15">
      <c r="F3753" s="115">
        <f>+(disponibilidad[[#This Row],[Fecha y hora fin]]-disponibilidad[[#This Row],[Fecha y hora inicio]])*1440</f>
        <v>0</v>
      </c>
    </row>
    <row r="3754" spans="6:6" ht="15">
      <c r="F3754" s="115">
        <f>+(disponibilidad[[#This Row],[Fecha y hora fin]]-disponibilidad[[#This Row],[Fecha y hora inicio]])*1440</f>
        <v>0</v>
      </c>
    </row>
    <row r="3755" spans="6:6" ht="15">
      <c r="F3755" s="115">
        <f>+(disponibilidad[[#This Row],[Fecha y hora fin]]-disponibilidad[[#This Row],[Fecha y hora inicio]])*1440</f>
        <v>0</v>
      </c>
    </row>
    <row r="3756" spans="6:6" ht="15">
      <c r="F3756" s="115">
        <f>+(disponibilidad[[#This Row],[Fecha y hora fin]]-disponibilidad[[#This Row],[Fecha y hora inicio]])*1440</f>
        <v>0</v>
      </c>
    </row>
    <row r="3757" spans="6:6" ht="15">
      <c r="F3757" s="115">
        <f>+(disponibilidad[[#This Row],[Fecha y hora fin]]-disponibilidad[[#This Row],[Fecha y hora inicio]])*1440</f>
        <v>0</v>
      </c>
    </row>
    <row r="3758" spans="6:6" ht="15">
      <c r="F3758" s="115">
        <f>+(disponibilidad[[#This Row],[Fecha y hora fin]]-disponibilidad[[#This Row],[Fecha y hora inicio]])*1440</f>
        <v>0</v>
      </c>
    </row>
    <row r="3759" spans="6:6" ht="15">
      <c r="F3759" s="115">
        <f>+(disponibilidad[[#This Row],[Fecha y hora fin]]-disponibilidad[[#This Row],[Fecha y hora inicio]])*1440</f>
        <v>0</v>
      </c>
    </row>
    <row r="3760" spans="6:6" ht="15">
      <c r="F3760" s="115">
        <f>+(disponibilidad[[#This Row],[Fecha y hora fin]]-disponibilidad[[#This Row],[Fecha y hora inicio]])*1440</f>
        <v>0</v>
      </c>
    </row>
    <row r="3761" spans="6:6" ht="15">
      <c r="F3761" s="115">
        <f>+(disponibilidad[[#This Row],[Fecha y hora fin]]-disponibilidad[[#This Row],[Fecha y hora inicio]])*1440</f>
        <v>0</v>
      </c>
    </row>
    <row r="3762" spans="6:6" ht="15">
      <c r="F3762" s="115">
        <f>+(disponibilidad[[#This Row],[Fecha y hora fin]]-disponibilidad[[#This Row],[Fecha y hora inicio]])*1440</f>
        <v>0</v>
      </c>
    </row>
    <row r="3763" spans="6:6" ht="15">
      <c r="F3763" s="115">
        <f>+(disponibilidad[[#This Row],[Fecha y hora fin]]-disponibilidad[[#This Row],[Fecha y hora inicio]])*1440</f>
        <v>0</v>
      </c>
    </row>
    <row r="3764" spans="6:6" ht="15">
      <c r="F3764" s="115">
        <f>+(disponibilidad[[#This Row],[Fecha y hora fin]]-disponibilidad[[#This Row],[Fecha y hora inicio]])*1440</f>
        <v>0</v>
      </c>
    </row>
    <row r="3765" spans="6:6" ht="15">
      <c r="F3765" s="115">
        <f>+(disponibilidad[[#This Row],[Fecha y hora fin]]-disponibilidad[[#This Row],[Fecha y hora inicio]])*1440</f>
        <v>0</v>
      </c>
    </row>
    <row r="3766" spans="6:6" ht="15">
      <c r="F3766" s="115">
        <f>+(disponibilidad[[#This Row],[Fecha y hora fin]]-disponibilidad[[#This Row],[Fecha y hora inicio]])*1440</f>
        <v>0</v>
      </c>
    </row>
    <row r="3767" spans="6:6" ht="15">
      <c r="F3767" s="115">
        <f>+(disponibilidad[[#This Row],[Fecha y hora fin]]-disponibilidad[[#This Row],[Fecha y hora inicio]])*1440</f>
        <v>0</v>
      </c>
    </row>
    <row r="3768" spans="6:6" ht="15">
      <c r="F3768" s="115">
        <f>+(disponibilidad[[#This Row],[Fecha y hora fin]]-disponibilidad[[#This Row],[Fecha y hora inicio]])*1440</f>
        <v>0</v>
      </c>
    </row>
    <row r="3769" spans="6:6" ht="15">
      <c r="F3769" s="115">
        <f>+(disponibilidad[[#This Row],[Fecha y hora fin]]-disponibilidad[[#This Row],[Fecha y hora inicio]])*1440</f>
        <v>0</v>
      </c>
    </row>
    <row r="3770" spans="6:6" ht="15">
      <c r="F3770" s="115">
        <f>+(disponibilidad[[#This Row],[Fecha y hora fin]]-disponibilidad[[#This Row],[Fecha y hora inicio]])*1440</f>
        <v>0</v>
      </c>
    </row>
    <row r="3771" spans="6:6" ht="15">
      <c r="F3771" s="115">
        <f>+(disponibilidad[[#This Row],[Fecha y hora fin]]-disponibilidad[[#This Row],[Fecha y hora inicio]])*1440</f>
        <v>0</v>
      </c>
    </row>
    <row r="3772" spans="6:6" ht="15">
      <c r="F3772" s="115">
        <f>+(disponibilidad[[#This Row],[Fecha y hora fin]]-disponibilidad[[#This Row],[Fecha y hora inicio]])*1440</f>
        <v>0</v>
      </c>
    </row>
    <row r="3773" spans="6:6" ht="15">
      <c r="F3773" s="115">
        <f>+(disponibilidad[[#This Row],[Fecha y hora fin]]-disponibilidad[[#This Row],[Fecha y hora inicio]])*1440</f>
        <v>0</v>
      </c>
    </row>
    <row r="3774" spans="6:6" ht="15">
      <c r="F3774" s="115">
        <f>+(disponibilidad[[#This Row],[Fecha y hora fin]]-disponibilidad[[#This Row],[Fecha y hora inicio]])*1440</f>
        <v>0</v>
      </c>
    </row>
    <row r="3775" spans="6:6" ht="15">
      <c r="F3775" s="115">
        <f>+(disponibilidad[[#This Row],[Fecha y hora fin]]-disponibilidad[[#This Row],[Fecha y hora inicio]])*1440</f>
        <v>0</v>
      </c>
    </row>
    <row r="3776" spans="6:6" ht="15">
      <c r="F3776" s="115">
        <f>+(disponibilidad[[#This Row],[Fecha y hora fin]]-disponibilidad[[#This Row],[Fecha y hora inicio]])*1440</f>
        <v>0</v>
      </c>
    </row>
    <row r="3777" spans="6:6" ht="15">
      <c r="F3777" s="115">
        <f>+(disponibilidad[[#This Row],[Fecha y hora fin]]-disponibilidad[[#This Row],[Fecha y hora inicio]])*1440</f>
        <v>0</v>
      </c>
    </row>
    <row r="3778" spans="6:6" ht="15">
      <c r="F3778" s="115">
        <f>+(disponibilidad[[#This Row],[Fecha y hora fin]]-disponibilidad[[#This Row],[Fecha y hora inicio]])*1440</f>
        <v>0</v>
      </c>
    </row>
    <row r="3779" spans="6:6" ht="15">
      <c r="F3779" s="115">
        <f>+(disponibilidad[[#This Row],[Fecha y hora fin]]-disponibilidad[[#This Row],[Fecha y hora inicio]])*1440</f>
        <v>0</v>
      </c>
    </row>
    <row r="3780" spans="6:6" ht="15">
      <c r="F3780" s="115">
        <f>+(disponibilidad[[#This Row],[Fecha y hora fin]]-disponibilidad[[#This Row],[Fecha y hora inicio]])*1440</f>
        <v>0</v>
      </c>
    </row>
    <row r="3781" spans="6:6" ht="15">
      <c r="F3781" s="115">
        <f>+(disponibilidad[[#This Row],[Fecha y hora fin]]-disponibilidad[[#This Row],[Fecha y hora inicio]])*1440</f>
        <v>0</v>
      </c>
    </row>
    <row r="3782" spans="6:6" ht="15">
      <c r="F3782" s="115">
        <f>+(disponibilidad[[#This Row],[Fecha y hora fin]]-disponibilidad[[#This Row],[Fecha y hora inicio]])*1440</f>
        <v>0</v>
      </c>
    </row>
    <row r="3783" spans="6:6" ht="15">
      <c r="F3783" s="115">
        <f>+(disponibilidad[[#This Row],[Fecha y hora fin]]-disponibilidad[[#This Row],[Fecha y hora inicio]])*1440</f>
        <v>0</v>
      </c>
    </row>
    <row r="3784" spans="6:6" ht="15">
      <c r="F3784" s="115">
        <f>+(disponibilidad[[#This Row],[Fecha y hora fin]]-disponibilidad[[#This Row],[Fecha y hora inicio]])*1440</f>
        <v>0</v>
      </c>
    </row>
    <row r="3785" spans="6:6" ht="15">
      <c r="F3785" s="115">
        <f>+(disponibilidad[[#This Row],[Fecha y hora fin]]-disponibilidad[[#This Row],[Fecha y hora inicio]])*1440</f>
        <v>0</v>
      </c>
    </row>
    <row r="3786" spans="6:6" ht="15">
      <c r="F3786" s="115">
        <f>+(disponibilidad[[#This Row],[Fecha y hora fin]]-disponibilidad[[#This Row],[Fecha y hora inicio]])*1440</f>
        <v>0</v>
      </c>
    </row>
    <row r="3787" spans="6:6" ht="15">
      <c r="F3787" s="115">
        <f>+(disponibilidad[[#This Row],[Fecha y hora fin]]-disponibilidad[[#This Row],[Fecha y hora inicio]])*1440</f>
        <v>0</v>
      </c>
    </row>
    <row r="3788" spans="6:6" ht="15">
      <c r="F3788" s="115">
        <f>+(disponibilidad[[#This Row],[Fecha y hora fin]]-disponibilidad[[#This Row],[Fecha y hora inicio]])*1440</f>
        <v>0</v>
      </c>
    </row>
    <row r="3789" spans="6:6" ht="15">
      <c r="F3789" s="115">
        <f>+(disponibilidad[[#This Row],[Fecha y hora fin]]-disponibilidad[[#This Row],[Fecha y hora inicio]])*1440</f>
        <v>0</v>
      </c>
    </row>
    <row r="3790" spans="6:6" ht="15">
      <c r="F3790" s="115">
        <f>+(disponibilidad[[#This Row],[Fecha y hora fin]]-disponibilidad[[#This Row],[Fecha y hora inicio]])*1440</f>
        <v>0</v>
      </c>
    </row>
    <row r="3791" spans="6:6" ht="15">
      <c r="F3791" s="115">
        <f>+(disponibilidad[[#This Row],[Fecha y hora fin]]-disponibilidad[[#This Row],[Fecha y hora inicio]])*1440</f>
        <v>0</v>
      </c>
    </row>
    <row r="3792" spans="6:6" ht="15">
      <c r="F3792" s="115">
        <f>+(disponibilidad[[#This Row],[Fecha y hora fin]]-disponibilidad[[#This Row],[Fecha y hora inicio]])*1440</f>
        <v>0</v>
      </c>
    </row>
    <row r="3793" spans="6:6" ht="15">
      <c r="F3793" s="115">
        <f>+(disponibilidad[[#This Row],[Fecha y hora fin]]-disponibilidad[[#This Row],[Fecha y hora inicio]])*1440</f>
        <v>0</v>
      </c>
    </row>
    <row r="3794" spans="6:6" ht="15">
      <c r="F3794" s="115">
        <f>+(disponibilidad[[#This Row],[Fecha y hora fin]]-disponibilidad[[#This Row],[Fecha y hora inicio]])*1440</f>
        <v>0</v>
      </c>
    </row>
    <row r="3795" spans="6:6" ht="15">
      <c r="F3795" s="115">
        <f>+(disponibilidad[[#This Row],[Fecha y hora fin]]-disponibilidad[[#This Row],[Fecha y hora inicio]])*1440</f>
        <v>0</v>
      </c>
    </row>
    <row r="3796" spans="6:6" ht="15">
      <c r="F3796" s="115">
        <f>+(disponibilidad[[#This Row],[Fecha y hora fin]]-disponibilidad[[#This Row],[Fecha y hora inicio]])*1440</f>
        <v>0</v>
      </c>
    </row>
    <row r="3797" spans="6:6" ht="15">
      <c r="F3797" s="115">
        <f>+(disponibilidad[[#This Row],[Fecha y hora fin]]-disponibilidad[[#This Row],[Fecha y hora inicio]])*1440</f>
        <v>0</v>
      </c>
    </row>
    <row r="3798" spans="6:6" ht="15">
      <c r="F3798" s="115">
        <f>+(disponibilidad[[#This Row],[Fecha y hora fin]]-disponibilidad[[#This Row],[Fecha y hora inicio]])*1440</f>
        <v>0</v>
      </c>
    </row>
    <row r="3799" spans="6:6" ht="15">
      <c r="F3799" s="115">
        <f>+(disponibilidad[[#This Row],[Fecha y hora fin]]-disponibilidad[[#This Row],[Fecha y hora inicio]])*1440</f>
        <v>0</v>
      </c>
    </row>
    <row r="3800" spans="6:6" ht="15">
      <c r="F3800" s="115">
        <f>+(disponibilidad[[#This Row],[Fecha y hora fin]]-disponibilidad[[#This Row],[Fecha y hora inicio]])*1440</f>
        <v>0</v>
      </c>
    </row>
    <row r="3801" spans="6:6" ht="15">
      <c r="F3801" s="115">
        <f>+(disponibilidad[[#This Row],[Fecha y hora fin]]-disponibilidad[[#This Row],[Fecha y hora inicio]])*1440</f>
        <v>0</v>
      </c>
    </row>
    <row r="3802" spans="6:6" ht="15">
      <c r="F3802" s="115">
        <f>+(disponibilidad[[#This Row],[Fecha y hora fin]]-disponibilidad[[#This Row],[Fecha y hora inicio]])*1440</f>
        <v>0</v>
      </c>
    </row>
    <row r="3803" spans="6:6" ht="15">
      <c r="F3803" s="115">
        <f>+(disponibilidad[[#This Row],[Fecha y hora fin]]-disponibilidad[[#This Row],[Fecha y hora inicio]])*1440</f>
        <v>0</v>
      </c>
    </row>
    <row r="3804" spans="6:6" ht="15">
      <c r="F3804" s="115">
        <f>+(disponibilidad[[#This Row],[Fecha y hora fin]]-disponibilidad[[#This Row],[Fecha y hora inicio]])*1440</f>
        <v>0</v>
      </c>
    </row>
    <row r="3805" spans="6:6" ht="15">
      <c r="F3805" s="115">
        <f>+(disponibilidad[[#This Row],[Fecha y hora fin]]-disponibilidad[[#This Row],[Fecha y hora inicio]])*1440</f>
        <v>0</v>
      </c>
    </row>
    <row r="3806" spans="6:6" ht="15">
      <c r="F3806" s="115">
        <f>+(disponibilidad[[#This Row],[Fecha y hora fin]]-disponibilidad[[#This Row],[Fecha y hora inicio]])*1440</f>
        <v>0</v>
      </c>
    </row>
    <row r="3807" spans="6:6" ht="15">
      <c r="F3807" s="115">
        <f>+(disponibilidad[[#This Row],[Fecha y hora fin]]-disponibilidad[[#This Row],[Fecha y hora inicio]])*1440</f>
        <v>0</v>
      </c>
    </row>
    <row r="3808" spans="6:6" ht="15">
      <c r="F3808" s="115">
        <f>+(disponibilidad[[#This Row],[Fecha y hora fin]]-disponibilidad[[#This Row],[Fecha y hora inicio]])*1440</f>
        <v>0</v>
      </c>
    </row>
    <row r="3809" spans="6:6" ht="15">
      <c r="F3809" s="115">
        <f>+(disponibilidad[[#This Row],[Fecha y hora fin]]-disponibilidad[[#This Row],[Fecha y hora inicio]])*1440</f>
        <v>0</v>
      </c>
    </row>
    <row r="3810" spans="6:6" ht="15">
      <c r="F3810" s="115">
        <f>+(disponibilidad[[#This Row],[Fecha y hora fin]]-disponibilidad[[#This Row],[Fecha y hora inicio]])*1440</f>
        <v>0</v>
      </c>
    </row>
    <row r="3811" spans="6:6" ht="15">
      <c r="F3811" s="115">
        <f>+(disponibilidad[[#This Row],[Fecha y hora fin]]-disponibilidad[[#This Row],[Fecha y hora inicio]])*1440</f>
        <v>0</v>
      </c>
    </row>
    <row r="3812" spans="6:6" ht="15">
      <c r="F3812" s="115">
        <f>+(disponibilidad[[#This Row],[Fecha y hora fin]]-disponibilidad[[#This Row],[Fecha y hora inicio]])*1440</f>
        <v>0</v>
      </c>
    </row>
    <row r="3813" spans="6:6" ht="15">
      <c r="F3813" s="115">
        <f>+(disponibilidad[[#This Row],[Fecha y hora fin]]-disponibilidad[[#This Row],[Fecha y hora inicio]])*1440</f>
        <v>0</v>
      </c>
    </row>
    <row r="3814" spans="6:6" ht="15">
      <c r="F3814" s="115">
        <f>+(disponibilidad[[#This Row],[Fecha y hora fin]]-disponibilidad[[#This Row],[Fecha y hora inicio]])*1440</f>
        <v>0</v>
      </c>
    </row>
    <row r="3815" spans="6:6" ht="15">
      <c r="F3815" s="115">
        <f>+(disponibilidad[[#This Row],[Fecha y hora fin]]-disponibilidad[[#This Row],[Fecha y hora inicio]])*1440</f>
        <v>0</v>
      </c>
    </row>
    <row r="3816" spans="6:6" ht="15">
      <c r="F3816" s="115">
        <f>+(disponibilidad[[#This Row],[Fecha y hora fin]]-disponibilidad[[#This Row],[Fecha y hora inicio]])*1440</f>
        <v>0</v>
      </c>
    </row>
    <row r="3817" spans="6:6" ht="15">
      <c r="F3817" s="115">
        <f>+(disponibilidad[[#This Row],[Fecha y hora fin]]-disponibilidad[[#This Row],[Fecha y hora inicio]])*1440</f>
        <v>0</v>
      </c>
    </row>
    <row r="3818" spans="6:6" ht="15">
      <c r="F3818" s="115">
        <f>+(disponibilidad[[#This Row],[Fecha y hora fin]]-disponibilidad[[#This Row],[Fecha y hora inicio]])*1440</f>
        <v>0</v>
      </c>
    </row>
    <row r="3819" spans="6:6" ht="15">
      <c r="F3819" s="115">
        <f>+(disponibilidad[[#This Row],[Fecha y hora fin]]-disponibilidad[[#This Row],[Fecha y hora inicio]])*1440</f>
        <v>0</v>
      </c>
    </row>
    <row r="3820" spans="6:6" ht="15">
      <c r="F3820" s="115">
        <f>+(disponibilidad[[#This Row],[Fecha y hora fin]]-disponibilidad[[#This Row],[Fecha y hora inicio]])*1440</f>
        <v>0</v>
      </c>
    </row>
    <row r="3821" spans="6:6" ht="15">
      <c r="F3821" s="115">
        <f>+(disponibilidad[[#This Row],[Fecha y hora fin]]-disponibilidad[[#This Row],[Fecha y hora inicio]])*1440</f>
        <v>0</v>
      </c>
    </row>
    <row r="3822" spans="6:6" ht="15">
      <c r="F3822" s="115">
        <f>+(disponibilidad[[#This Row],[Fecha y hora fin]]-disponibilidad[[#This Row],[Fecha y hora inicio]])*1440</f>
        <v>0</v>
      </c>
    </row>
    <row r="3823" spans="6:6" ht="15">
      <c r="F3823" s="115">
        <f>+(disponibilidad[[#This Row],[Fecha y hora fin]]-disponibilidad[[#This Row],[Fecha y hora inicio]])*1440</f>
        <v>0</v>
      </c>
    </row>
    <row r="3824" spans="6:6" ht="15">
      <c r="F3824" s="115">
        <f>+(disponibilidad[[#This Row],[Fecha y hora fin]]-disponibilidad[[#This Row],[Fecha y hora inicio]])*1440</f>
        <v>0</v>
      </c>
    </row>
    <row r="3825" spans="6:6" ht="15">
      <c r="F3825" s="115">
        <f>+(disponibilidad[[#This Row],[Fecha y hora fin]]-disponibilidad[[#This Row],[Fecha y hora inicio]])*1440</f>
        <v>0</v>
      </c>
    </row>
    <row r="3826" spans="6:6" ht="15">
      <c r="F3826" s="115">
        <f>+(disponibilidad[[#This Row],[Fecha y hora fin]]-disponibilidad[[#This Row],[Fecha y hora inicio]])*1440</f>
        <v>0</v>
      </c>
    </row>
    <row r="3827" spans="6:6" ht="15">
      <c r="F3827" s="115">
        <f>+(disponibilidad[[#This Row],[Fecha y hora fin]]-disponibilidad[[#This Row],[Fecha y hora inicio]])*1440</f>
        <v>0</v>
      </c>
    </row>
    <row r="3828" spans="6:6" ht="15">
      <c r="F3828" s="115">
        <f>+(disponibilidad[[#This Row],[Fecha y hora fin]]-disponibilidad[[#This Row],[Fecha y hora inicio]])*1440</f>
        <v>0</v>
      </c>
    </row>
    <row r="3829" spans="6:6" ht="15">
      <c r="F3829" s="115">
        <f>+(disponibilidad[[#This Row],[Fecha y hora fin]]-disponibilidad[[#This Row],[Fecha y hora inicio]])*1440</f>
        <v>0</v>
      </c>
    </row>
    <row r="3830" spans="6:6" ht="15">
      <c r="F3830" s="115">
        <f>+(disponibilidad[[#This Row],[Fecha y hora fin]]-disponibilidad[[#This Row],[Fecha y hora inicio]])*1440</f>
        <v>0</v>
      </c>
    </row>
    <row r="3831" spans="6:6" ht="15">
      <c r="F3831" s="115">
        <f>+(disponibilidad[[#This Row],[Fecha y hora fin]]-disponibilidad[[#This Row],[Fecha y hora inicio]])*1440</f>
        <v>0</v>
      </c>
    </row>
    <row r="3832" spans="6:6" ht="15">
      <c r="F3832" s="115">
        <f>+(disponibilidad[[#This Row],[Fecha y hora fin]]-disponibilidad[[#This Row],[Fecha y hora inicio]])*1440</f>
        <v>0</v>
      </c>
    </row>
    <row r="3833" spans="6:6" ht="15">
      <c r="F3833" s="115">
        <f>+(disponibilidad[[#This Row],[Fecha y hora fin]]-disponibilidad[[#This Row],[Fecha y hora inicio]])*1440</f>
        <v>0</v>
      </c>
    </row>
    <row r="3834" spans="6:6" ht="15">
      <c r="F3834" s="115">
        <f>+(disponibilidad[[#This Row],[Fecha y hora fin]]-disponibilidad[[#This Row],[Fecha y hora inicio]])*1440</f>
        <v>0</v>
      </c>
    </row>
    <row r="3835" spans="6:6" ht="15">
      <c r="F3835" s="115">
        <f>+(disponibilidad[[#This Row],[Fecha y hora fin]]-disponibilidad[[#This Row],[Fecha y hora inicio]])*1440</f>
        <v>0</v>
      </c>
    </row>
    <row r="3836" spans="6:6" ht="15">
      <c r="F3836" s="115">
        <f>+(disponibilidad[[#This Row],[Fecha y hora fin]]-disponibilidad[[#This Row],[Fecha y hora inicio]])*1440</f>
        <v>0</v>
      </c>
    </row>
    <row r="3837" spans="6:6" ht="15">
      <c r="F3837" s="115">
        <f>+(disponibilidad[[#This Row],[Fecha y hora fin]]-disponibilidad[[#This Row],[Fecha y hora inicio]])*1440</f>
        <v>0</v>
      </c>
    </row>
    <row r="3838" spans="6:6" ht="15">
      <c r="F3838" s="115">
        <f>+(disponibilidad[[#This Row],[Fecha y hora fin]]-disponibilidad[[#This Row],[Fecha y hora inicio]])*1440</f>
        <v>0</v>
      </c>
    </row>
    <row r="3839" spans="6:6" ht="15">
      <c r="F3839" s="115">
        <f>+(disponibilidad[[#This Row],[Fecha y hora fin]]-disponibilidad[[#This Row],[Fecha y hora inicio]])*1440</f>
        <v>0</v>
      </c>
    </row>
    <row r="3840" spans="6:6" ht="15">
      <c r="F3840" s="115">
        <f>+(disponibilidad[[#This Row],[Fecha y hora fin]]-disponibilidad[[#This Row],[Fecha y hora inicio]])*1440</f>
        <v>0</v>
      </c>
    </row>
    <row r="3841" spans="6:6" ht="15">
      <c r="F3841" s="115">
        <f>+(disponibilidad[[#This Row],[Fecha y hora fin]]-disponibilidad[[#This Row],[Fecha y hora inicio]])*1440</f>
        <v>0</v>
      </c>
    </row>
    <row r="3842" spans="6:6" ht="15">
      <c r="F3842" s="115">
        <f>+(disponibilidad[[#This Row],[Fecha y hora fin]]-disponibilidad[[#This Row],[Fecha y hora inicio]])*1440</f>
        <v>0</v>
      </c>
    </row>
    <row r="3843" spans="6:6" ht="15">
      <c r="F3843" s="115">
        <f>+(disponibilidad[[#This Row],[Fecha y hora fin]]-disponibilidad[[#This Row],[Fecha y hora inicio]])*1440</f>
        <v>0</v>
      </c>
    </row>
    <row r="3844" spans="6:6" ht="15">
      <c r="F3844" s="115">
        <f>+(disponibilidad[[#This Row],[Fecha y hora fin]]-disponibilidad[[#This Row],[Fecha y hora inicio]])*1440</f>
        <v>0</v>
      </c>
    </row>
    <row r="3845" spans="6:6" ht="15">
      <c r="F3845" s="115">
        <f>+(disponibilidad[[#This Row],[Fecha y hora fin]]-disponibilidad[[#This Row],[Fecha y hora inicio]])*1440</f>
        <v>0</v>
      </c>
    </row>
    <row r="3846" spans="6:6" ht="15">
      <c r="F3846" s="115">
        <f>+(disponibilidad[[#This Row],[Fecha y hora fin]]-disponibilidad[[#This Row],[Fecha y hora inicio]])*1440</f>
        <v>0</v>
      </c>
    </row>
    <row r="3847" spans="6:6" ht="15">
      <c r="F3847" s="115">
        <f>+(disponibilidad[[#This Row],[Fecha y hora fin]]-disponibilidad[[#This Row],[Fecha y hora inicio]])*1440</f>
        <v>0</v>
      </c>
    </row>
    <row r="3848" spans="6:6" ht="15">
      <c r="F3848" s="115">
        <f>+(disponibilidad[[#This Row],[Fecha y hora fin]]-disponibilidad[[#This Row],[Fecha y hora inicio]])*1440</f>
        <v>0</v>
      </c>
    </row>
    <row r="3849" spans="6:6" ht="15">
      <c r="F3849" s="115">
        <f>+(disponibilidad[[#This Row],[Fecha y hora fin]]-disponibilidad[[#This Row],[Fecha y hora inicio]])*1440</f>
        <v>0</v>
      </c>
    </row>
    <row r="3850" spans="6:6" ht="15">
      <c r="F3850" s="115">
        <f>+(disponibilidad[[#This Row],[Fecha y hora fin]]-disponibilidad[[#This Row],[Fecha y hora inicio]])*1440</f>
        <v>0</v>
      </c>
    </row>
    <row r="3851" spans="6:6" ht="15">
      <c r="F3851" s="115">
        <f>+(disponibilidad[[#This Row],[Fecha y hora fin]]-disponibilidad[[#This Row],[Fecha y hora inicio]])*1440</f>
        <v>0</v>
      </c>
    </row>
    <row r="3852" spans="6:6" ht="15">
      <c r="F3852" s="115">
        <f>+(disponibilidad[[#This Row],[Fecha y hora fin]]-disponibilidad[[#This Row],[Fecha y hora inicio]])*1440</f>
        <v>0</v>
      </c>
    </row>
    <row r="3853" spans="6:6" ht="15">
      <c r="F3853" s="115">
        <f>+(disponibilidad[[#This Row],[Fecha y hora fin]]-disponibilidad[[#This Row],[Fecha y hora inicio]])*1440</f>
        <v>0</v>
      </c>
    </row>
    <row r="3854" spans="6:6" ht="15">
      <c r="F3854" s="115">
        <f>+(disponibilidad[[#This Row],[Fecha y hora fin]]-disponibilidad[[#This Row],[Fecha y hora inicio]])*1440</f>
        <v>0</v>
      </c>
    </row>
    <row r="3855" spans="6:6" ht="15">
      <c r="F3855" s="115">
        <f>+(disponibilidad[[#This Row],[Fecha y hora fin]]-disponibilidad[[#This Row],[Fecha y hora inicio]])*1440</f>
        <v>0</v>
      </c>
    </row>
    <row r="3856" spans="6:6" ht="15">
      <c r="F3856" s="115">
        <f>+(disponibilidad[[#This Row],[Fecha y hora fin]]-disponibilidad[[#This Row],[Fecha y hora inicio]])*1440</f>
        <v>0</v>
      </c>
    </row>
    <row r="3857" spans="6:6" ht="15">
      <c r="F3857" s="115">
        <f>+(disponibilidad[[#This Row],[Fecha y hora fin]]-disponibilidad[[#This Row],[Fecha y hora inicio]])*1440</f>
        <v>0</v>
      </c>
    </row>
    <row r="3858" spans="6:6" ht="15">
      <c r="F3858" s="115">
        <f>+(disponibilidad[[#This Row],[Fecha y hora fin]]-disponibilidad[[#This Row],[Fecha y hora inicio]])*1440</f>
        <v>0</v>
      </c>
    </row>
    <row r="3859" spans="6:6" ht="15">
      <c r="F3859" s="115">
        <f>+(disponibilidad[[#This Row],[Fecha y hora fin]]-disponibilidad[[#This Row],[Fecha y hora inicio]])*1440</f>
        <v>0</v>
      </c>
    </row>
    <row r="3860" spans="6:6" ht="15">
      <c r="F3860" s="115">
        <f>+(disponibilidad[[#This Row],[Fecha y hora fin]]-disponibilidad[[#This Row],[Fecha y hora inicio]])*1440</f>
        <v>0</v>
      </c>
    </row>
    <row r="3861" spans="6:6" ht="15">
      <c r="F3861" s="115">
        <f>+(disponibilidad[[#This Row],[Fecha y hora fin]]-disponibilidad[[#This Row],[Fecha y hora inicio]])*1440</f>
        <v>0</v>
      </c>
    </row>
    <row r="3862" spans="6:6" ht="15">
      <c r="F3862" s="115">
        <f>+(disponibilidad[[#This Row],[Fecha y hora fin]]-disponibilidad[[#This Row],[Fecha y hora inicio]])*1440</f>
        <v>0</v>
      </c>
    </row>
    <row r="3863" spans="6:6" ht="15">
      <c r="F3863" s="115">
        <f>+(disponibilidad[[#This Row],[Fecha y hora fin]]-disponibilidad[[#This Row],[Fecha y hora inicio]])*1440</f>
        <v>0</v>
      </c>
    </row>
    <row r="3864" spans="6:6" ht="15">
      <c r="F3864" s="115">
        <f>+(disponibilidad[[#This Row],[Fecha y hora fin]]-disponibilidad[[#This Row],[Fecha y hora inicio]])*1440</f>
        <v>0</v>
      </c>
    </row>
    <row r="3865" spans="6:6" ht="15">
      <c r="F3865" s="115">
        <f>+(disponibilidad[[#This Row],[Fecha y hora fin]]-disponibilidad[[#This Row],[Fecha y hora inicio]])*1440</f>
        <v>0</v>
      </c>
    </row>
    <row r="3866" spans="6:6" ht="15">
      <c r="F3866" s="115">
        <f>+(disponibilidad[[#This Row],[Fecha y hora fin]]-disponibilidad[[#This Row],[Fecha y hora inicio]])*1440</f>
        <v>0</v>
      </c>
    </row>
    <row r="3867" spans="6:6" ht="15">
      <c r="F3867" s="115">
        <f>+(disponibilidad[[#This Row],[Fecha y hora fin]]-disponibilidad[[#This Row],[Fecha y hora inicio]])*1440</f>
        <v>0</v>
      </c>
    </row>
    <row r="3868" spans="6:6" ht="15">
      <c r="F3868" s="115">
        <f>+(disponibilidad[[#This Row],[Fecha y hora fin]]-disponibilidad[[#This Row],[Fecha y hora inicio]])*1440</f>
        <v>0</v>
      </c>
    </row>
    <row r="3869" spans="6:6" ht="15">
      <c r="F3869" s="115">
        <f>+(disponibilidad[[#This Row],[Fecha y hora fin]]-disponibilidad[[#This Row],[Fecha y hora inicio]])*1440</f>
        <v>0</v>
      </c>
    </row>
    <row r="3870" spans="6:6" ht="15">
      <c r="F3870" s="115">
        <f>+(disponibilidad[[#This Row],[Fecha y hora fin]]-disponibilidad[[#This Row],[Fecha y hora inicio]])*1440</f>
        <v>0</v>
      </c>
    </row>
    <row r="3871" spans="6:6" ht="15">
      <c r="F3871" s="115">
        <f>+(disponibilidad[[#This Row],[Fecha y hora fin]]-disponibilidad[[#This Row],[Fecha y hora inicio]])*1440</f>
        <v>0</v>
      </c>
    </row>
    <row r="3872" spans="6:6" ht="15">
      <c r="F3872" s="115">
        <f>+(disponibilidad[[#This Row],[Fecha y hora fin]]-disponibilidad[[#This Row],[Fecha y hora inicio]])*1440</f>
        <v>0</v>
      </c>
    </row>
    <row r="3873" spans="6:6" ht="15">
      <c r="F3873" s="115">
        <f>+(disponibilidad[[#This Row],[Fecha y hora fin]]-disponibilidad[[#This Row],[Fecha y hora inicio]])*1440</f>
        <v>0</v>
      </c>
    </row>
    <row r="3874" spans="6:6" ht="15">
      <c r="F3874" s="115">
        <f>+(disponibilidad[[#This Row],[Fecha y hora fin]]-disponibilidad[[#This Row],[Fecha y hora inicio]])*1440</f>
        <v>0</v>
      </c>
    </row>
    <row r="3875" spans="6:6" ht="15">
      <c r="F3875" s="115">
        <f>+(disponibilidad[[#This Row],[Fecha y hora fin]]-disponibilidad[[#This Row],[Fecha y hora inicio]])*1440</f>
        <v>0</v>
      </c>
    </row>
    <row r="3876" spans="6:6" ht="15">
      <c r="F3876" s="115">
        <f>+(disponibilidad[[#This Row],[Fecha y hora fin]]-disponibilidad[[#This Row],[Fecha y hora inicio]])*1440</f>
        <v>0</v>
      </c>
    </row>
    <row r="3877" spans="6:6" ht="15">
      <c r="F3877" s="115">
        <f>+(disponibilidad[[#This Row],[Fecha y hora fin]]-disponibilidad[[#This Row],[Fecha y hora inicio]])*1440</f>
        <v>0</v>
      </c>
    </row>
    <row r="3878" spans="6:6" ht="15">
      <c r="F3878" s="115">
        <f>+(disponibilidad[[#This Row],[Fecha y hora fin]]-disponibilidad[[#This Row],[Fecha y hora inicio]])*1440</f>
        <v>0</v>
      </c>
    </row>
    <row r="3879" spans="6:6" ht="15">
      <c r="F3879" s="115">
        <f>+(disponibilidad[[#This Row],[Fecha y hora fin]]-disponibilidad[[#This Row],[Fecha y hora inicio]])*1440</f>
        <v>0</v>
      </c>
    </row>
    <row r="3880" spans="6:6" ht="15">
      <c r="F3880" s="115">
        <f>+(disponibilidad[[#This Row],[Fecha y hora fin]]-disponibilidad[[#This Row],[Fecha y hora inicio]])*1440</f>
        <v>0</v>
      </c>
    </row>
    <row r="3881" spans="6:6" ht="15">
      <c r="F3881" s="115">
        <f>+(disponibilidad[[#This Row],[Fecha y hora fin]]-disponibilidad[[#This Row],[Fecha y hora inicio]])*1440</f>
        <v>0</v>
      </c>
    </row>
    <row r="3882" spans="6:6" ht="15">
      <c r="F3882" s="115">
        <f>+(disponibilidad[[#This Row],[Fecha y hora fin]]-disponibilidad[[#This Row],[Fecha y hora inicio]])*1440</f>
        <v>0</v>
      </c>
    </row>
    <row r="3883" spans="6:6" ht="15">
      <c r="F3883" s="115">
        <f>+(disponibilidad[[#This Row],[Fecha y hora fin]]-disponibilidad[[#This Row],[Fecha y hora inicio]])*1440</f>
        <v>0</v>
      </c>
    </row>
    <row r="3884" spans="6:6" ht="15">
      <c r="F3884" s="115">
        <f>+(disponibilidad[[#This Row],[Fecha y hora fin]]-disponibilidad[[#This Row],[Fecha y hora inicio]])*1440</f>
        <v>0</v>
      </c>
    </row>
    <row r="3885" spans="6:6" ht="15">
      <c r="F3885" s="115">
        <f>+(disponibilidad[[#This Row],[Fecha y hora fin]]-disponibilidad[[#This Row],[Fecha y hora inicio]])*1440</f>
        <v>0</v>
      </c>
    </row>
    <row r="3886" spans="6:6" ht="15">
      <c r="F3886" s="115">
        <f>+(disponibilidad[[#This Row],[Fecha y hora fin]]-disponibilidad[[#This Row],[Fecha y hora inicio]])*1440</f>
        <v>0</v>
      </c>
    </row>
    <row r="3887" spans="6:6" ht="15">
      <c r="F3887" s="115">
        <f>+(disponibilidad[[#This Row],[Fecha y hora fin]]-disponibilidad[[#This Row],[Fecha y hora inicio]])*1440</f>
        <v>0</v>
      </c>
    </row>
    <row r="3888" spans="6:6" ht="15">
      <c r="F3888" s="115">
        <f>+(disponibilidad[[#This Row],[Fecha y hora fin]]-disponibilidad[[#This Row],[Fecha y hora inicio]])*1440</f>
        <v>0</v>
      </c>
    </row>
    <row r="3889" spans="6:6" ht="15">
      <c r="F3889" s="115">
        <f>+(disponibilidad[[#This Row],[Fecha y hora fin]]-disponibilidad[[#This Row],[Fecha y hora inicio]])*1440</f>
        <v>0</v>
      </c>
    </row>
    <row r="3890" spans="6:6" ht="15">
      <c r="F3890" s="115">
        <f>+(disponibilidad[[#This Row],[Fecha y hora fin]]-disponibilidad[[#This Row],[Fecha y hora inicio]])*1440</f>
        <v>0</v>
      </c>
    </row>
    <row r="3891" spans="6:6" ht="15">
      <c r="F3891" s="115">
        <f>+(disponibilidad[[#This Row],[Fecha y hora fin]]-disponibilidad[[#This Row],[Fecha y hora inicio]])*1440</f>
        <v>0</v>
      </c>
    </row>
    <row r="3892" spans="6:6" ht="15">
      <c r="F3892" s="115">
        <f>+(disponibilidad[[#This Row],[Fecha y hora fin]]-disponibilidad[[#This Row],[Fecha y hora inicio]])*1440</f>
        <v>0</v>
      </c>
    </row>
    <row r="3893" spans="6:6" ht="15">
      <c r="F3893" s="115">
        <f>+(disponibilidad[[#This Row],[Fecha y hora fin]]-disponibilidad[[#This Row],[Fecha y hora inicio]])*1440</f>
        <v>0</v>
      </c>
    </row>
    <row r="3894" spans="6:6" ht="15">
      <c r="F3894" s="115">
        <f>+(disponibilidad[[#This Row],[Fecha y hora fin]]-disponibilidad[[#This Row],[Fecha y hora inicio]])*1440</f>
        <v>0</v>
      </c>
    </row>
    <row r="3895" spans="6:6" ht="15">
      <c r="F3895" s="115">
        <f>+(disponibilidad[[#This Row],[Fecha y hora fin]]-disponibilidad[[#This Row],[Fecha y hora inicio]])*1440</f>
        <v>0</v>
      </c>
    </row>
    <row r="3896" spans="6:6" ht="15">
      <c r="F3896" s="115">
        <f>+(disponibilidad[[#This Row],[Fecha y hora fin]]-disponibilidad[[#This Row],[Fecha y hora inicio]])*1440</f>
        <v>0</v>
      </c>
    </row>
    <row r="3897" spans="6:6" ht="15">
      <c r="F3897" s="115">
        <f>+(disponibilidad[[#This Row],[Fecha y hora fin]]-disponibilidad[[#This Row],[Fecha y hora inicio]])*1440</f>
        <v>0</v>
      </c>
    </row>
    <row r="3898" spans="6:6" ht="15">
      <c r="F3898" s="115">
        <f>+(disponibilidad[[#This Row],[Fecha y hora fin]]-disponibilidad[[#This Row],[Fecha y hora inicio]])*1440</f>
        <v>0</v>
      </c>
    </row>
    <row r="3899" spans="6:6" ht="15">
      <c r="F3899" s="115">
        <f>+(disponibilidad[[#This Row],[Fecha y hora fin]]-disponibilidad[[#This Row],[Fecha y hora inicio]])*1440</f>
        <v>0</v>
      </c>
    </row>
    <row r="3900" spans="6:6" ht="15">
      <c r="F3900" s="115">
        <f>+(disponibilidad[[#This Row],[Fecha y hora fin]]-disponibilidad[[#This Row],[Fecha y hora inicio]])*1440</f>
        <v>0</v>
      </c>
    </row>
    <row r="3901" spans="6:6" ht="15">
      <c r="F3901" s="115">
        <f>+(disponibilidad[[#This Row],[Fecha y hora fin]]-disponibilidad[[#This Row],[Fecha y hora inicio]])*1440</f>
        <v>0</v>
      </c>
    </row>
    <row r="3902" spans="6:6" ht="15">
      <c r="F3902" s="115">
        <f>+(disponibilidad[[#This Row],[Fecha y hora fin]]-disponibilidad[[#This Row],[Fecha y hora inicio]])*1440</f>
        <v>0</v>
      </c>
    </row>
    <row r="3903" spans="6:6" ht="15">
      <c r="F3903" s="115">
        <f>+(disponibilidad[[#This Row],[Fecha y hora fin]]-disponibilidad[[#This Row],[Fecha y hora inicio]])*1440</f>
        <v>0</v>
      </c>
    </row>
    <row r="3904" spans="6:6" ht="15">
      <c r="F3904" s="115">
        <f>+(disponibilidad[[#This Row],[Fecha y hora fin]]-disponibilidad[[#This Row],[Fecha y hora inicio]])*1440</f>
        <v>0</v>
      </c>
    </row>
    <row r="3905" spans="6:6" ht="15">
      <c r="F3905" s="115">
        <f>+(disponibilidad[[#This Row],[Fecha y hora fin]]-disponibilidad[[#This Row],[Fecha y hora inicio]])*1440</f>
        <v>0</v>
      </c>
    </row>
    <row r="3906" spans="6:6" ht="15">
      <c r="F3906" s="115">
        <f>+(disponibilidad[[#This Row],[Fecha y hora fin]]-disponibilidad[[#This Row],[Fecha y hora inicio]])*1440</f>
        <v>0</v>
      </c>
    </row>
    <row r="3907" spans="6:6" ht="15">
      <c r="F3907" s="115">
        <f>+(disponibilidad[[#This Row],[Fecha y hora fin]]-disponibilidad[[#This Row],[Fecha y hora inicio]])*1440</f>
        <v>0</v>
      </c>
    </row>
    <row r="3908" spans="6:6" ht="15">
      <c r="F3908" s="115">
        <f>+(disponibilidad[[#This Row],[Fecha y hora fin]]-disponibilidad[[#This Row],[Fecha y hora inicio]])*1440</f>
        <v>0</v>
      </c>
    </row>
    <row r="3909" spans="6:6" ht="15">
      <c r="F3909" s="115">
        <f>+(disponibilidad[[#This Row],[Fecha y hora fin]]-disponibilidad[[#This Row],[Fecha y hora inicio]])*1440</f>
        <v>0</v>
      </c>
    </row>
    <row r="3910" spans="6:6" ht="15">
      <c r="F3910" s="115">
        <f>+(disponibilidad[[#This Row],[Fecha y hora fin]]-disponibilidad[[#This Row],[Fecha y hora inicio]])*1440</f>
        <v>0</v>
      </c>
    </row>
    <row r="3911" spans="6:6" ht="15">
      <c r="F3911" s="115">
        <f>+(disponibilidad[[#This Row],[Fecha y hora fin]]-disponibilidad[[#This Row],[Fecha y hora inicio]])*1440</f>
        <v>0</v>
      </c>
    </row>
    <row r="3912" spans="6:6" ht="15">
      <c r="F3912" s="115">
        <f>+(disponibilidad[[#This Row],[Fecha y hora fin]]-disponibilidad[[#This Row],[Fecha y hora inicio]])*1440</f>
        <v>0</v>
      </c>
    </row>
    <row r="3913" spans="6:6" ht="15">
      <c r="F3913" s="115">
        <f>+(disponibilidad[[#This Row],[Fecha y hora fin]]-disponibilidad[[#This Row],[Fecha y hora inicio]])*1440</f>
        <v>0</v>
      </c>
    </row>
    <row r="3914" spans="6:6" ht="15">
      <c r="F3914" s="115">
        <f>+(disponibilidad[[#This Row],[Fecha y hora fin]]-disponibilidad[[#This Row],[Fecha y hora inicio]])*1440</f>
        <v>0</v>
      </c>
    </row>
    <row r="3915" spans="6:6" ht="15">
      <c r="F3915" s="115">
        <f>+(disponibilidad[[#This Row],[Fecha y hora fin]]-disponibilidad[[#This Row],[Fecha y hora inicio]])*1440</f>
        <v>0</v>
      </c>
    </row>
    <row r="3916" spans="6:6" ht="15">
      <c r="F3916" s="115">
        <f>+(disponibilidad[[#This Row],[Fecha y hora fin]]-disponibilidad[[#This Row],[Fecha y hora inicio]])*1440</f>
        <v>0</v>
      </c>
    </row>
    <row r="3917" spans="6:6" ht="15">
      <c r="F3917" s="115">
        <f>+(disponibilidad[[#This Row],[Fecha y hora fin]]-disponibilidad[[#This Row],[Fecha y hora inicio]])*1440</f>
        <v>0</v>
      </c>
    </row>
    <row r="3918" spans="6:6" ht="15">
      <c r="F3918" s="115">
        <f>+(disponibilidad[[#This Row],[Fecha y hora fin]]-disponibilidad[[#This Row],[Fecha y hora inicio]])*1440</f>
        <v>0</v>
      </c>
    </row>
    <row r="3919" spans="6:6" ht="15">
      <c r="F3919" s="115">
        <f>+(disponibilidad[[#This Row],[Fecha y hora fin]]-disponibilidad[[#This Row],[Fecha y hora inicio]])*1440</f>
        <v>0</v>
      </c>
    </row>
    <row r="3920" spans="6:6" ht="15">
      <c r="F3920" s="115">
        <f>+(disponibilidad[[#This Row],[Fecha y hora fin]]-disponibilidad[[#This Row],[Fecha y hora inicio]])*1440</f>
        <v>0</v>
      </c>
    </row>
    <row r="3921" spans="6:6" ht="15">
      <c r="F3921" s="115">
        <f>+(disponibilidad[[#This Row],[Fecha y hora fin]]-disponibilidad[[#This Row],[Fecha y hora inicio]])*1440</f>
        <v>0</v>
      </c>
    </row>
    <row r="3922" spans="6:6" ht="15">
      <c r="F3922" s="115">
        <f>+(disponibilidad[[#This Row],[Fecha y hora fin]]-disponibilidad[[#This Row],[Fecha y hora inicio]])*1440</f>
        <v>0</v>
      </c>
    </row>
    <row r="3923" spans="6:6" ht="15">
      <c r="F3923" s="115">
        <f>+(disponibilidad[[#This Row],[Fecha y hora fin]]-disponibilidad[[#This Row],[Fecha y hora inicio]])*1440</f>
        <v>0</v>
      </c>
    </row>
    <row r="3924" spans="6:6" ht="15">
      <c r="F3924" s="115">
        <f>+(disponibilidad[[#This Row],[Fecha y hora fin]]-disponibilidad[[#This Row],[Fecha y hora inicio]])*1440</f>
        <v>0</v>
      </c>
    </row>
    <row r="3925" spans="6:6" ht="15">
      <c r="F3925" s="115">
        <f>+(disponibilidad[[#This Row],[Fecha y hora fin]]-disponibilidad[[#This Row],[Fecha y hora inicio]])*1440</f>
        <v>0</v>
      </c>
    </row>
    <row r="3926" spans="6:6" ht="15">
      <c r="F3926" s="115">
        <f>+(disponibilidad[[#This Row],[Fecha y hora fin]]-disponibilidad[[#This Row],[Fecha y hora inicio]])*1440</f>
        <v>0</v>
      </c>
    </row>
    <row r="3927" spans="6:6" ht="15">
      <c r="F3927" s="115">
        <f>+(disponibilidad[[#This Row],[Fecha y hora fin]]-disponibilidad[[#This Row],[Fecha y hora inicio]])*1440</f>
        <v>0</v>
      </c>
    </row>
    <row r="3928" spans="6:6" ht="15">
      <c r="F3928" s="115">
        <f>+(disponibilidad[[#This Row],[Fecha y hora fin]]-disponibilidad[[#This Row],[Fecha y hora inicio]])*1440</f>
        <v>0</v>
      </c>
    </row>
    <row r="3929" spans="6:6" ht="15">
      <c r="F3929" s="115">
        <f>+(disponibilidad[[#This Row],[Fecha y hora fin]]-disponibilidad[[#This Row],[Fecha y hora inicio]])*1440</f>
        <v>0</v>
      </c>
    </row>
    <row r="3930" spans="6:6" ht="15">
      <c r="F3930" s="115">
        <f>+(disponibilidad[[#This Row],[Fecha y hora fin]]-disponibilidad[[#This Row],[Fecha y hora inicio]])*1440</f>
        <v>0</v>
      </c>
    </row>
    <row r="3931" spans="6:6" ht="15">
      <c r="F3931" s="115">
        <f>+(disponibilidad[[#This Row],[Fecha y hora fin]]-disponibilidad[[#This Row],[Fecha y hora inicio]])*1440</f>
        <v>0</v>
      </c>
    </row>
    <row r="3932" spans="6:6" ht="15">
      <c r="F3932" s="115">
        <f>+(disponibilidad[[#This Row],[Fecha y hora fin]]-disponibilidad[[#This Row],[Fecha y hora inicio]])*1440</f>
        <v>0</v>
      </c>
    </row>
    <row r="3933" spans="6:6" ht="15">
      <c r="F3933" s="115">
        <f>+(disponibilidad[[#This Row],[Fecha y hora fin]]-disponibilidad[[#This Row],[Fecha y hora inicio]])*1440</f>
        <v>0</v>
      </c>
    </row>
    <row r="3934" spans="6:6" ht="15">
      <c r="F3934" s="115">
        <f>+(disponibilidad[[#This Row],[Fecha y hora fin]]-disponibilidad[[#This Row],[Fecha y hora inicio]])*1440</f>
        <v>0</v>
      </c>
    </row>
    <row r="3935" spans="6:6" ht="15">
      <c r="F3935" s="115">
        <f>+(disponibilidad[[#This Row],[Fecha y hora fin]]-disponibilidad[[#This Row],[Fecha y hora inicio]])*1440</f>
        <v>0</v>
      </c>
    </row>
    <row r="3936" spans="6:6" ht="15">
      <c r="F3936" s="115">
        <f>+(disponibilidad[[#This Row],[Fecha y hora fin]]-disponibilidad[[#This Row],[Fecha y hora inicio]])*1440</f>
        <v>0</v>
      </c>
    </row>
    <row r="3937" spans="6:6" ht="15">
      <c r="F3937" s="115">
        <f>+(disponibilidad[[#This Row],[Fecha y hora fin]]-disponibilidad[[#This Row],[Fecha y hora inicio]])*1440</f>
        <v>0</v>
      </c>
    </row>
    <row r="3938" spans="6:6" ht="15">
      <c r="F3938" s="115">
        <f>+(disponibilidad[[#This Row],[Fecha y hora fin]]-disponibilidad[[#This Row],[Fecha y hora inicio]])*1440</f>
        <v>0</v>
      </c>
    </row>
    <row r="3939" spans="6:6" ht="15">
      <c r="F3939" s="115">
        <f>+(disponibilidad[[#This Row],[Fecha y hora fin]]-disponibilidad[[#This Row],[Fecha y hora inicio]])*1440</f>
        <v>0</v>
      </c>
    </row>
    <row r="3940" spans="6:6" ht="15">
      <c r="F3940" s="115">
        <f>+(disponibilidad[[#This Row],[Fecha y hora fin]]-disponibilidad[[#This Row],[Fecha y hora inicio]])*1440</f>
        <v>0</v>
      </c>
    </row>
    <row r="3941" spans="6:6" ht="15">
      <c r="F3941" s="115">
        <f>+(disponibilidad[[#This Row],[Fecha y hora fin]]-disponibilidad[[#This Row],[Fecha y hora inicio]])*1440</f>
        <v>0</v>
      </c>
    </row>
    <row r="3942" spans="6:6" ht="15">
      <c r="F3942" s="115">
        <f>+(disponibilidad[[#This Row],[Fecha y hora fin]]-disponibilidad[[#This Row],[Fecha y hora inicio]])*1440</f>
        <v>0</v>
      </c>
    </row>
    <row r="3943" spans="6:6" ht="15">
      <c r="F3943" s="115">
        <f>+(disponibilidad[[#This Row],[Fecha y hora fin]]-disponibilidad[[#This Row],[Fecha y hora inicio]])*1440</f>
        <v>0</v>
      </c>
    </row>
    <row r="3944" spans="6:6" ht="15">
      <c r="F3944" s="115">
        <f>+(disponibilidad[[#This Row],[Fecha y hora fin]]-disponibilidad[[#This Row],[Fecha y hora inicio]])*1440</f>
        <v>0</v>
      </c>
    </row>
    <row r="3945" spans="6:6" ht="15">
      <c r="F3945" s="115">
        <f>+(disponibilidad[[#This Row],[Fecha y hora fin]]-disponibilidad[[#This Row],[Fecha y hora inicio]])*1440</f>
        <v>0</v>
      </c>
    </row>
    <row r="3946" spans="6:6" ht="15">
      <c r="F3946" s="115">
        <f>+(disponibilidad[[#This Row],[Fecha y hora fin]]-disponibilidad[[#This Row],[Fecha y hora inicio]])*1440</f>
        <v>0</v>
      </c>
    </row>
    <row r="3947" spans="6:6" ht="15">
      <c r="F3947" s="115">
        <f>+(disponibilidad[[#This Row],[Fecha y hora fin]]-disponibilidad[[#This Row],[Fecha y hora inicio]])*1440</f>
        <v>0</v>
      </c>
    </row>
    <row r="3948" spans="6:6" ht="15">
      <c r="F3948" s="115">
        <f>+(disponibilidad[[#This Row],[Fecha y hora fin]]-disponibilidad[[#This Row],[Fecha y hora inicio]])*1440</f>
        <v>0</v>
      </c>
    </row>
    <row r="3949" spans="6:6" ht="15">
      <c r="F3949" s="115">
        <f>+(disponibilidad[[#This Row],[Fecha y hora fin]]-disponibilidad[[#This Row],[Fecha y hora inicio]])*1440</f>
        <v>0</v>
      </c>
    </row>
    <row r="3950" spans="6:6" ht="15">
      <c r="F3950" s="115">
        <f>+(disponibilidad[[#This Row],[Fecha y hora fin]]-disponibilidad[[#This Row],[Fecha y hora inicio]])*1440</f>
        <v>0</v>
      </c>
    </row>
    <row r="3951" spans="6:6" ht="15">
      <c r="F3951" s="115">
        <f>+(disponibilidad[[#This Row],[Fecha y hora fin]]-disponibilidad[[#This Row],[Fecha y hora inicio]])*1440</f>
        <v>0</v>
      </c>
    </row>
    <row r="3952" spans="6:6" ht="15">
      <c r="F3952" s="115">
        <f>+(disponibilidad[[#This Row],[Fecha y hora fin]]-disponibilidad[[#This Row],[Fecha y hora inicio]])*1440</f>
        <v>0</v>
      </c>
    </row>
    <row r="3953" spans="6:6" ht="15">
      <c r="F3953" s="115">
        <f>+(disponibilidad[[#This Row],[Fecha y hora fin]]-disponibilidad[[#This Row],[Fecha y hora inicio]])*1440</f>
        <v>0</v>
      </c>
    </row>
    <row r="3954" spans="6:6" ht="15">
      <c r="F3954" s="115">
        <f>+(disponibilidad[[#This Row],[Fecha y hora fin]]-disponibilidad[[#This Row],[Fecha y hora inicio]])*1440</f>
        <v>0</v>
      </c>
    </row>
    <row r="3955" spans="6:6" ht="15">
      <c r="F3955" s="115">
        <f>+(disponibilidad[[#This Row],[Fecha y hora fin]]-disponibilidad[[#This Row],[Fecha y hora inicio]])*1440</f>
        <v>0</v>
      </c>
    </row>
    <row r="3956" spans="6:6" ht="15">
      <c r="F3956" s="115">
        <f>+(disponibilidad[[#This Row],[Fecha y hora fin]]-disponibilidad[[#This Row],[Fecha y hora inicio]])*1440</f>
        <v>0</v>
      </c>
    </row>
    <row r="3957" spans="6:6" ht="15">
      <c r="F3957" s="115">
        <f>+(disponibilidad[[#This Row],[Fecha y hora fin]]-disponibilidad[[#This Row],[Fecha y hora inicio]])*1440</f>
        <v>0</v>
      </c>
    </row>
    <row r="3958" spans="6:6" ht="15">
      <c r="F3958" s="115">
        <f>+(disponibilidad[[#This Row],[Fecha y hora fin]]-disponibilidad[[#This Row],[Fecha y hora inicio]])*1440</f>
        <v>0</v>
      </c>
    </row>
    <row r="3959" spans="6:6" ht="15">
      <c r="F3959" s="115">
        <f>+(disponibilidad[[#This Row],[Fecha y hora fin]]-disponibilidad[[#This Row],[Fecha y hora inicio]])*1440</f>
        <v>0</v>
      </c>
    </row>
    <row r="3960" spans="6:6" ht="15">
      <c r="F3960" s="115">
        <f>+(disponibilidad[[#This Row],[Fecha y hora fin]]-disponibilidad[[#This Row],[Fecha y hora inicio]])*1440</f>
        <v>0</v>
      </c>
    </row>
    <row r="3961" spans="6:6" ht="15">
      <c r="F3961" s="115">
        <f>+(disponibilidad[[#This Row],[Fecha y hora fin]]-disponibilidad[[#This Row],[Fecha y hora inicio]])*1440</f>
        <v>0</v>
      </c>
    </row>
    <row r="3962" spans="6:6" ht="15">
      <c r="F3962" s="115">
        <f>+(disponibilidad[[#This Row],[Fecha y hora fin]]-disponibilidad[[#This Row],[Fecha y hora inicio]])*1440</f>
        <v>0</v>
      </c>
    </row>
    <row r="3963" spans="6:6" ht="15">
      <c r="F3963" s="115">
        <f>+(disponibilidad[[#This Row],[Fecha y hora fin]]-disponibilidad[[#This Row],[Fecha y hora inicio]])*1440</f>
        <v>0</v>
      </c>
    </row>
    <row r="3964" spans="6:6" ht="15">
      <c r="F3964" s="115">
        <f>+(disponibilidad[[#This Row],[Fecha y hora fin]]-disponibilidad[[#This Row],[Fecha y hora inicio]])*1440</f>
        <v>0</v>
      </c>
    </row>
    <row r="3965" spans="6:6" ht="15">
      <c r="F3965" s="115">
        <f>+(disponibilidad[[#This Row],[Fecha y hora fin]]-disponibilidad[[#This Row],[Fecha y hora inicio]])*1440</f>
        <v>0</v>
      </c>
    </row>
    <row r="3966" spans="6:6" ht="15">
      <c r="F3966" s="115">
        <f>+(disponibilidad[[#This Row],[Fecha y hora fin]]-disponibilidad[[#This Row],[Fecha y hora inicio]])*1440</f>
        <v>0</v>
      </c>
    </row>
    <row r="3967" spans="6:6" ht="15">
      <c r="F3967" s="115">
        <f>+(disponibilidad[[#This Row],[Fecha y hora fin]]-disponibilidad[[#This Row],[Fecha y hora inicio]])*1440</f>
        <v>0</v>
      </c>
    </row>
    <row r="3968" spans="6:6" ht="15">
      <c r="F3968" s="115">
        <f>+(disponibilidad[[#This Row],[Fecha y hora fin]]-disponibilidad[[#This Row],[Fecha y hora inicio]])*1440</f>
        <v>0</v>
      </c>
    </row>
    <row r="3969" spans="6:6" ht="15">
      <c r="F3969" s="115">
        <f>+(disponibilidad[[#This Row],[Fecha y hora fin]]-disponibilidad[[#This Row],[Fecha y hora inicio]])*1440</f>
        <v>0</v>
      </c>
    </row>
    <row r="3970" spans="6:6" ht="15">
      <c r="F3970" s="115">
        <f>+(disponibilidad[[#This Row],[Fecha y hora fin]]-disponibilidad[[#This Row],[Fecha y hora inicio]])*1440</f>
        <v>0</v>
      </c>
    </row>
    <row r="3971" spans="6:6" ht="15">
      <c r="F3971" s="115">
        <f>+(disponibilidad[[#This Row],[Fecha y hora fin]]-disponibilidad[[#This Row],[Fecha y hora inicio]])*1440</f>
        <v>0</v>
      </c>
    </row>
    <row r="3972" spans="6:6" ht="15">
      <c r="F3972" s="115">
        <f>+(disponibilidad[[#This Row],[Fecha y hora fin]]-disponibilidad[[#This Row],[Fecha y hora inicio]])*1440</f>
        <v>0</v>
      </c>
    </row>
    <row r="3973" spans="6:6" ht="15">
      <c r="F3973" s="115">
        <f>+(disponibilidad[[#This Row],[Fecha y hora fin]]-disponibilidad[[#This Row],[Fecha y hora inicio]])*1440</f>
        <v>0</v>
      </c>
    </row>
    <row r="3974" spans="6:6" ht="15">
      <c r="F3974" s="115">
        <f>+(disponibilidad[[#This Row],[Fecha y hora fin]]-disponibilidad[[#This Row],[Fecha y hora inicio]])*1440</f>
        <v>0</v>
      </c>
    </row>
    <row r="3975" spans="6:6" ht="15">
      <c r="F3975" s="115">
        <f>+(disponibilidad[[#This Row],[Fecha y hora fin]]-disponibilidad[[#This Row],[Fecha y hora inicio]])*1440</f>
        <v>0</v>
      </c>
    </row>
    <row r="3976" spans="6:6" ht="15">
      <c r="F3976" s="115">
        <f>+(disponibilidad[[#This Row],[Fecha y hora fin]]-disponibilidad[[#This Row],[Fecha y hora inicio]])*1440</f>
        <v>0</v>
      </c>
    </row>
    <row r="3977" spans="6:6" ht="15">
      <c r="F3977" s="115">
        <f>+(disponibilidad[[#This Row],[Fecha y hora fin]]-disponibilidad[[#This Row],[Fecha y hora inicio]])*1440</f>
        <v>0</v>
      </c>
    </row>
    <row r="3978" spans="6:6" ht="15">
      <c r="F3978" s="115">
        <f>+(disponibilidad[[#This Row],[Fecha y hora fin]]-disponibilidad[[#This Row],[Fecha y hora inicio]])*1440</f>
        <v>0</v>
      </c>
    </row>
    <row r="3979" spans="6:6" ht="15">
      <c r="F3979" s="115">
        <f>+(disponibilidad[[#This Row],[Fecha y hora fin]]-disponibilidad[[#This Row],[Fecha y hora inicio]])*1440</f>
        <v>0</v>
      </c>
    </row>
    <row r="3980" spans="6:6" ht="15">
      <c r="F3980" s="115">
        <f>+(disponibilidad[[#This Row],[Fecha y hora fin]]-disponibilidad[[#This Row],[Fecha y hora inicio]])*1440</f>
        <v>0</v>
      </c>
    </row>
    <row r="3981" spans="6:6" ht="15">
      <c r="F3981" s="115">
        <f>+(disponibilidad[[#This Row],[Fecha y hora fin]]-disponibilidad[[#This Row],[Fecha y hora inicio]])*1440</f>
        <v>0</v>
      </c>
    </row>
    <row r="3982" spans="6:6" ht="15">
      <c r="F3982" s="115">
        <f>+(disponibilidad[[#This Row],[Fecha y hora fin]]-disponibilidad[[#This Row],[Fecha y hora inicio]])*1440</f>
        <v>0</v>
      </c>
    </row>
    <row r="3983" spans="6:6" ht="15">
      <c r="F3983" s="115">
        <f>+(disponibilidad[[#This Row],[Fecha y hora fin]]-disponibilidad[[#This Row],[Fecha y hora inicio]])*1440</f>
        <v>0</v>
      </c>
    </row>
    <row r="3984" spans="6:6" ht="15">
      <c r="F3984" s="115">
        <f>+(disponibilidad[[#This Row],[Fecha y hora fin]]-disponibilidad[[#This Row],[Fecha y hora inicio]])*1440</f>
        <v>0</v>
      </c>
    </row>
    <row r="3985" spans="6:6" ht="15">
      <c r="F3985" s="115">
        <f>+(disponibilidad[[#This Row],[Fecha y hora fin]]-disponibilidad[[#This Row],[Fecha y hora inicio]])*1440</f>
        <v>0</v>
      </c>
    </row>
    <row r="3986" spans="6:6" ht="15">
      <c r="F3986" s="115">
        <f>+(disponibilidad[[#This Row],[Fecha y hora fin]]-disponibilidad[[#This Row],[Fecha y hora inicio]])*1440</f>
        <v>0</v>
      </c>
    </row>
    <row r="3987" spans="6:6" ht="15">
      <c r="F3987" s="115">
        <f>+(disponibilidad[[#This Row],[Fecha y hora fin]]-disponibilidad[[#This Row],[Fecha y hora inicio]])*1440</f>
        <v>0</v>
      </c>
    </row>
    <row r="3988" spans="6:6" ht="15">
      <c r="F3988" s="115">
        <f>+(disponibilidad[[#This Row],[Fecha y hora fin]]-disponibilidad[[#This Row],[Fecha y hora inicio]])*1440</f>
        <v>0</v>
      </c>
    </row>
    <row r="3989" spans="6:6" ht="15">
      <c r="F3989" s="115">
        <f>+(disponibilidad[[#This Row],[Fecha y hora fin]]-disponibilidad[[#This Row],[Fecha y hora inicio]])*1440</f>
        <v>0</v>
      </c>
    </row>
    <row r="3990" spans="6:6" ht="15">
      <c r="F3990" s="115">
        <f>+(disponibilidad[[#This Row],[Fecha y hora fin]]-disponibilidad[[#This Row],[Fecha y hora inicio]])*1440</f>
        <v>0</v>
      </c>
    </row>
    <row r="3991" spans="6:6" ht="15">
      <c r="F3991" s="115">
        <f>+(disponibilidad[[#This Row],[Fecha y hora fin]]-disponibilidad[[#This Row],[Fecha y hora inicio]])*1440</f>
        <v>0</v>
      </c>
    </row>
    <row r="3992" spans="6:6" ht="15">
      <c r="F3992" s="115">
        <f>+(disponibilidad[[#This Row],[Fecha y hora fin]]-disponibilidad[[#This Row],[Fecha y hora inicio]])*1440</f>
        <v>0</v>
      </c>
    </row>
    <row r="3993" spans="6:6" ht="15">
      <c r="F3993" s="115">
        <f>+(disponibilidad[[#This Row],[Fecha y hora fin]]-disponibilidad[[#This Row],[Fecha y hora inicio]])*1440</f>
        <v>0</v>
      </c>
    </row>
    <row r="3994" spans="6:6" ht="15">
      <c r="F3994" s="115">
        <f>+(disponibilidad[[#This Row],[Fecha y hora fin]]-disponibilidad[[#This Row],[Fecha y hora inicio]])*1440</f>
        <v>0</v>
      </c>
    </row>
    <row r="3995" spans="6:6" ht="15">
      <c r="F3995" s="115">
        <f>+(disponibilidad[[#This Row],[Fecha y hora fin]]-disponibilidad[[#This Row],[Fecha y hora inicio]])*1440</f>
        <v>0</v>
      </c>
    </row>
    <row r="3996" spans="6:6" ht="15">
      <c r="F3996" s="115">
        <f>+(disponibilidad[[#This Row],[Fecha y hora fin]]-disponibilidad[[#This Row],[Fecha y hora inicio]])*1440</f>
        <v>0</v>
      </c>
    </row>
    <row r="3997" spans="6:6" ht="15">
      <c r="F3997" s="115">
        <f>+(disponibilidad[[#This Row],[Fecha y hora fin]]-disponibilidad[[#This Row],[Fecha y hora inicio]])*1440</f>
        <v>0</v>
      </c>
    </row>
    <row r="3998" spans="6:6" ht="15">
      <c r="F3998" s="115">
        <f>+(disponibilidad[[#This Row],[Fecha y hora fin]]-disponibilidad[[#This Row],[Fecha y hora inicio]])*1440</f>
        <v>0</v>
      </c>
    </row>
    <row r="3999" spans="6:6" ht="15">
      <c r="F3999" s="115">
        <f>+(disponibilidad[[#This Row],[Fecha y hora fin]]-disponibilidad[[#This Row],[Fecha y hora inicio]])*1440</f>
        <v>0</v>
      </c>
    </row>
    <row r="4000" spans="6:6" ht="15">
      <c r="F4000" s="115">
        <f>+(disponibilidad[[#This Row],[Fecha y hora fin]]-disponibilidad[[#This Row],[Fecha y hora inicio]])*1440</f>
        <v>0</v>
      </c>
    </row>
    <row r="4001" spans="6:6" ht="15">
      <c r="F4001" s="115">
        <f>+(disponibilidad[[#This Row],[Fecha y hora fin]]-disponibilidad[[#This Row],[Fecha y hora inicio]])*1440</f>
        <v>0</v>
      </c>
    </row>
    <row r="4002" spans="6:6" ht="15">
      <c r="F4002" s="115">
        <f>+(disponibilidad[[#This Row],[Fecha y hora fin]]-disponibilidad[[#This Row],[Fecha y hora inicio]])*1440</f>
        <v>0</v>
      </c>
    </row>
    <row r="4003" spans="6:6" ht="15">
      <c r="F4003" s="115">
        <f>+(disponibilidad[[#This Row],[Fecha y hora fin]]-disponibilidad[[#This Row],[Fecha y hora inicio]])*1440</f>
        <v>0</v>
      </c>
    </row>
    <row r="4004" spans="6:6" ht="15">
      <c r="F4004" s="115">
        <f>+(disponibilidad[[#This Row],[Fecha y hora fin]]-disponibilidad[[#This Row],[Fecha y hora inicio]])*1440</f>
        <v>0</v>
      </c>
    </row>
    <row r="4005" spans="6:6" ht="15">
      <c r="F4005" s="115">
        <f>+(disponibilidad[[#This Row],[Fecha y hora fin]]-disponibilidad[[#This Row],[Fecha y hora inicio]])*1440</f>
        <v>0</v>
      </c>
    </row>
    <row r="4006" spans="6:6" ht="15">
      <c r="F4006" s="115">
        <f>+(disponibilidad[[#This Row],[Fecha y hora fin]]-disponibilidad[[#This Row],[Fecha y hora inicio]])*1440</f>
        <v>0</v>
      </c>
    </row>
    <row r="4007" spans="6:6" ht="15">
      <c r="F4007" s="115">
        <f>+(disponibilidad[[#This Row],[Fecha y hora fin]]-disponibilidad[[#This Row],[Fecha y hora inicio]])*1440</f>
        <v>0</v>
      </c>
    </row>
    <row r="4008" spans="6:6" ht="15">
      <c r="F4008" s="115">
        <f>+(disponibilidad[[#This Row],[Fecha y hora fin]]-disponibilidad[[#This Row],[Fecha y hora inicio]])*1440</f>
        <v>0</v>
      </c>
    </row>
    <row r="4009" spans="6:6" ht="15">
      <c r="F4009" s="115">
        <f>+(disponibilidad[[#This Row],[Fecha y hora fin]]-disponibilidad[[#This Row],[Fecha y hora inicio]])*1440</f>
        <v>0</v>
      </c>
    </row>
    <row r="4010" spans="6:6" ht="15">
      <c r="F4010" s="115">
        <f>+(disponibilidad[[#This Row],[Fecha y hora fin]]-disponibilidad[[#This Row],[Fecha y hora inicio]])*1440</f>
        <v>0</v>
      </c>
    </row>
    <row r="4011" spans="6:6" ht="15">
      <c r="F4011" s="115">
        <f>+(disponibilidad[[#This Row],[Fecha y hora fin]]-disponibilidad[[#This Row],[Fecha y hora inicio]])*1440</f>
        <v>0</v>
      </c>
    </row>
    <row r="4012" spans="6:6" ht="15">
      <c r="F4012" s="115">
        <f>+(disponibilidad[[#This Row],[Fecha y hora fin]]-disponibilidad[[#This Row],[Fecha y hora inicio]])*1440</f>
        <v>0</v>
      </c>
    </row>
    <row r="4013" spans="6:6" ht="15">
      <c r="F4013" s="115">
        <f>+(disponibilidad[[#This Row],[Fecha y hora fin]]-disponibilidad[[#This Row],[Fecha y hora inicio]])*1440</f>
        <v>0</v>
      </c>
    </row>
    <row r="4014" spans="6:6" ht="15">
      <c r="F4014" s="115">
        <f>+(disponibilidad[[#This Row],[Fecha y hora fin]]-disponibilidad[[#This Row],[Fecha y hora inicio]])*1440</f>
        <v>0</v>
      </c>
    </row>
    <row r="4015" spans="6:6" ht="15">
      <c r="F4015" s="115">
        <f>+(disponibilidad[[#This Row],[Fecha y hora fin]]-disponibilidad[[#This Row],[Fecha y hora inicio]])*1440</f>
        <v>0</v>
      </c>
    </row>
    <row r="4016" spans="6:6" ht="15">
      <c r="F4016" s="115">
        <f>+(disponibilidad[[#This Row],[Fecha y hora fin]]-disponibilidad[[#This Row],[Fecha y hora inicio]])*1440</f>
        <v>0</v>
      </c>
    </row>
    <row r="4017" spans="6:6" ht="15">
      <c r="F4017" s="115">
        <f>+(disponibilidad[[#This Row],[Fecha y hora fin]]-disponibilidad[[#This Row],[Fecha y hora inicio]])*1440</f>
        <v>0</v>
      </c>
    </row>
    <row r="4018" spans="6:6" ht="15">
      <c r="F4018" s="115">
        <f>+(disponibilidad[[#This Row],[Fecha y hora fin]]-disponibilidad[[#This Row],[Fecha y hora inicio]])*1440</f>
        <v>0</v>
      </c>
    </row>
    <row r="4019" spans="6:6" ht="15">
      <c r="F4019" s="115">
        <f>+(disponibilidad[[#This Row],[Fecha y hora fin]]-disponibilidad[[#This Row],[Fecha y hora inicio]])*1440</f>
        <v>0</v>
      </c>
    </row>
    <row r="4020" spans="6:6" ht="15">
      <c r="F4020" s="115">
        <f>+(disponibilidad[[#This Row],[Fecha y hora fin]]-disponibilidad[[#This Row],[Fecha y hora inicio]])*1440</f>
        <v>0</v>
      </c>
    </row>
    <row r="4021" spans="6:6" ht="15">
      <c r="F4021" s="115">
        <f>+(disponibilidad[[#This Row],[Fecha y hora fin]]-disponibilidad[[#This Row],[Fecha y hora inicio]])*1440</f>
        <v>0</v>
      </c>
    </row>
    <row r="4022" spans="6:6" ht="15">
      <c r="F4022" s="115">
        <f>+(disponibilidad[[#This Row],[Fecha y hora fin]]-disponibilidad[[#This Row],[Fecha y hora inicio]])*1440</f>
        <v>0</v>
      </c>
    </row>
    <row r="4023" spans="6:6" ht="15">
      <c r="F4023" s="115">
        <f>+(disponibilidad[[#This Row],[Fecha y hora fin]]-disponibilidad[[#This Row],[Fecha y hora inicio]])*1440</f>
        <v>0</v>
      </c>
    </row>
    <row r="4024" spans="6:6" ht="15">
      <c r="F4024" s="115">
        <f>+(disponibilidad[[#This Row],[Fecha y hora fin]]-disponibilidad[[#This Row],[Fecha y hora inicio]])*1440</f>
        <v>0</v>
      </c>
    </row>
    <row r="4025" spans="6:6" ht="15">
      <c r="F4025" s="115">
        <f>+(disponibilidad[[#This Row],[Fecha y hora fin]]-disponibilidad[[#This Row],[Fecha y hora inicio]])*1440</f>
        <v>0</v>
      </c>
    </row>
    <row r="4026" spans="6:6" ht="15">
      <c r="F4026" s="115">
        <f>+(disponibilidad[[#This Row],[Fecha y hora fin]]-disponibilidad[[#This Row],[Fecha y hora inicio]])*1440</f>
        <v>0</v>
      </c>
    </row>
    <row r="4027" spans="6:6" ht="15">
      <c r="F4027" s="115">
        <f>+(disponibilidad[[#This Row],[Fecha y hora fin]]-disponibilidad[[#This Row],[Fecha y hora inicio]])*1440</f>
        <v>0</v>
      </c>
    </row>
    <row r="4028" spans="6:6" ht="15">
      <c r="F4028" s="115">
        <f>+(disponibilidad[[#This Row],[Fecha y hora fin]]-disponibilidad[[#This Row],[Fecha y hora inicio]])*1440</f>
        <v>0</v>
      </c>
    </row>
    <row r="4029" spans="6:6" ht="15">
      <c r="F4029" s="115">
        <f>+(disponibilidad[[#This Row],[Fecha y hora fin]]-disponibilidad[[#This Row],[Fecha y hora inicio]])*1440</f>
        <v>0</v>
      </c>
    </row>
    <row r="4030" spans="6:6" ht="15">
      <c r="F4030" s="115">
        <f>+(disponibilidad[[#This Row],[Fecha y hora fin]]-disponibilidad[[#This Row],[Fecha y hora inicio]])*1440</f>
        <v>0</v>
      </c>
    </row>
    <row r="4031" spans="6:6" ht="15">
      <c r="F4031" s="115">
        <f>+(disponibilidad[[#This Row],[Fecha y hora fin]]-disponibilidad[[#This Row],[Fecha y hora inicio]])*1440</f>
        <v>0</v>
      </c>
    </row>
    <row r="4032" spans="6:6" ht="15">
      <c r="F4032" s="115">
        <f>+(disponibilidad[[#This Row],[Fecha y hora fin]]-disponibilidad[[#This Row],[Fecha y hora inicio]])*1440</f>
        <v>0</v>
      </c>
    </row>
    <row r="4033" spans="6:6" ht="15">
      <c r="F4033" s="115">
        <f>+(disponibilidad[[#This Row],[Fecha y hora fin]]-disponibilidad[[#This Row],[Fecha y hora inicio]])*1440</f>
        <v>0</v>
      </c>
    </row>
    <row r="4034" spans="6:6" ht="15">
      <c r="F4034" s="115">
        <f>+(disponibilidad[[#This Row],[Fecha y hora fin]]-disponibilidad[[#This Row],[Fecha y hora inicio]])*1440</f>
        <v>0</v>
      </c>
    </row>
    <row r="4035" spans="6:6" ht="15">
      <c r="F4035" s="115">
        <f>+(disponibilidad[[#This Row],[Fecha y hora fin]]-disponibilidad[[#This Row],[Fecha y hora inicio]])*1440</f>
        <v>0</v>
      </c>
    </row>
    <row r="4036" spans="6:6" ht="15">
      <c r="F4036" s="115">
        <f>+(disponibilidad[[#This Row],[Fecha y hora fin]]-disponibilidad[[#This Row],[Fecha y hora inicio]])*1440</f>
        <v>0</v>
      </c>
    </row>
    <row r="4037" spans="6:6" ht="15">
      <c r="F4037" s="115">
        <f>+(disponibilidad[[#This Row],[Fecha y hora fin]]-disponibilidad[[#This Row],[Fecha y hora inicio]])*1440</f>
        <v>0</v>
      </c>
    </row>
    <row r="4038" spans="6:6" ht="15">
      <c r="F4038" s="115">
        <f>+(disponibilidad[[#This Row],[Fecha y hora fin]]-disponibilidad[[#This Row],[Fecha y hora inicio]])*1440</f>
        <v>0</v>
      </c>
    </row>
    <row r="4039" spans="6:6" ht="15">
      <c r="F4039" s="115">
        <f>+(disponibilidad[[#This Row],[Fecha y hora fin]]-disponibilidad[[#This Row],[Fecha y hora inicio]])*1440</f>
        <v>0</v>
      </c>
    </row>
    <row r="4040" spans="6:6" ht="15">
      <c r="F4040" s="115">
        <f>+(disponibilidad[[#This Row],[Fecha y hora fin]]-disponibilidad[[#This Row],[Fecha y hora inicio]])*1440</f>
        <v>0</v>
      </c>
    </row>
    <row r="4041" spans="6:6" ht="15">
      <c r="F4041" s="115">
        <f>+(disponibilidad[[#This Row],[Fecha y hora fin]]-disponibilidad[[#This Row],[Fecha y hora inicio]])*1440</f>
        <v>0</v>
      </c>
    </row>
    <row r="4042" spans="6:6" ht="15">
      <c r="F4042" s="115">
        <f>+(disponibilidad[[#This Row],[Fecha y hora fin]]-disponibilidad[[#This Row],[Fecha y hora inicio]])*1440</f>
        <v>0</v>
      </c>
    </row>
    <row r="4043" spans="6:6" ht="15">
      <c r="F4043" s="115">
        <f>+(disponibilidad[[#This Row],[Fecha y hora fin]]-disponibilidad[[#This Row],[Fecha y hora inicio]])*1440</f>
        <v>0</v>
      </c>
    </row>
    <row r="4044" spans="6:6" ht="15">
      <c r="F4044" s="115">
        <f>+(disponibilidad[[#This Row],[Fecha y hora fin]]-disponibilidad[[#This Row],[Fecha y hora inicio]])*1440</f>
        <v>0</v>
      </c>
    </row>
    <row r="4045" spans="6:6" ht="15">
      <c r="F4045" s="115">
        <f>+(disponibilidad[[#This Row],[Fecha y hora fin]]-disponibilidad[[#This Row],[Fecha y hora inicio]])*1440</f>
        <v>0</v>
      </c>
    </row>
    <row r="4046" spans="6:6" ht="15">
      <c r="F4046" s="115">
        <f>+(disponibilidad[[#This Row],[Fecha y hora fin]]-disponibilidad[[#This Row],[Fecha y hora inicio]])*1440</f>
        <v>0</v>
      </c>
    </row>
    <row r="4047" spans="6:6" ht="15">
      <c r="F4047" s="115">
        <f>+(disponibilidad[[#This Row],[Fecha y hora fin]]-disponibilidad[[#This Row],[Fecha y hora inicio]])*1440</f>
        <v>0</v>
      </c>
    </row>
    <row r="4048" spans="6:6" ht="15">
      <c r="F4048" s="115">
        <f>+(disponibilidad[[#This Row],[Fecha y hora fin]]-disponibilidad[[#This Row],[Fecha y hora inicio]])*1440</f>
        <v>0</v>
      </c>
    </row>
    <row r="4049" spans="6:6" ht="15">
      <c r="F4049" s="115">
        <f>+(disponibilidad[[#This Row],[Fecha y hora fin]]-disponibilidad[[#This Row],[Fecha y hora inicio]])*1440</f>
        <v>0</v>
      </c>
    </row>
    <row r="4050" spans="6:6" ht="15">
      <c r="F4050" s="115">
        <f>+(disponibilidad[[#This Row],[Fecha y hora fin]]-disponibilidad[[#This Row],[Fecha y hora inicio]])*1440</f>
        <v>0</v>
      </c>
    </row>
    <row r="4051" spans="6:6" ht="15">
      <c r="F4051" s="115">
        <f>+(disponibilidad[[#This Row],[Fecha y hora fin]]-disponibilidad[[#This Row],[Fecha y hora inicio]])*1440</f>
        <v>0</v>
      </c>
    </row>
    <row r="4052" spans="6:6" ht="15">
      <c r="F4052" s="115">
        <f>+(disponibilidad[[#This Row],[Fecha y hora fin]]-disponibilidad[[#This Row],[Fecha y hora inicio]])*1440</f>
        <v>0</v>
      </c>
    </row>
    <row r="4053" spans="6:6" ht="15">
      <c r="F4053" s="115">
        <f>+(disponibilidad[[#This Row],[Fecha y hora fin]]-disponibilidad[[#This Row],[Fecha y hora inicio]])*1440</f>
        <v>0</v>
      </c>
    </row>
    <row r="4054" spans="6:6" ht="15">
      <c r="F4054" s="115">
        <f>+(disponibilidad[[#This Row],[Fecha y hora fin]]-disponibilidad[[#This Row],[Fecha y hora inicio]])*1440</f>
        <v>0</v>
      </c>
    </row>
    <row r="4055" spans="6:6" ht="15">
      <c r="F4055" s="115">
        <f>+(disponibilidad[[#This Row],[Fecha y hora fin]]-disponibilidad[[#This Row],[Fecha y hora inicio]])*1440</f>
        <v>0</v>
      </c>
    </row>
    <row r="4056" spans="6:6" ht="15">
      <c r="F4056" s="115">
        <f>+(disponibilidad[[#This Row],[Fecha y hora fin]]-disponibilidad[[#This Row],[Fecha y hora inicio]])*1440</f>
        <v>0</v>
      </c>
    </row>
    <row r="4057" spans="6:6" ht="15">
      <c r="F4057" s="115">
        <f>+(disponibilidad[[#This Row],[Fecha y hora fin]]-disponibilidad[[#This Row],[Fecha y hora inicio]])*1440</f>
        <v>0</v>
      </c>
    </row>
    <row r="4058" spans="6:6" ht="15">
      <c r="F4058" s="115">
        <f>+(disponibilidad[[#This Row],[Fecha y hora fin]]-disponibilidad[[#This Row],[Fecha y hora inicio]])*1440</f>
        <v>0</v>
      </c>
    </row>
    <row r="4059" spans="6:6" ht="15">
      <c r="F4059" s="115">
        <f>+(disponibilidad[[#This Row],[Fecha y hora fin]]-disponibilidad[[#This Row],[Fecha y hora inicio]])*1440</f>
        <v>0</v>
      </c>
    </row>
    <row r="4060" spans="6:6" ht="15">
      <c r="F4060" s="115">
        <f>+(disponibilidad[[#This Row],[Fecha y hora fin]]-disponibilidad[[#This Row],[Fecha y hora inicio]])*1440</f>
        <v>0</v>
      </c>
    </row>
    <row r="4061" spans="6:6" ht="15">
      <c r="F4061" s="115">
        <f>+(disponibilidad[[#This Row],[Fecha y hora fin]]-disponibilidad[[#This Row],[Fecha y hora inicio]])*1440</f>
        <v>0</v>
      </c>
    </row>
    <row r="4062" spans="6:6" ht="15">
      <c r="F4062" s="115">
        <f>+(disponibilidad[[#This Row],[Fecha y hora fin]]-disponibilidad[[#This Row],[Fecha y hora inicio]])*1440</f>
        <v>0</v>
      </c>
    </row>
    <row r="4063" spans="6:6" ht="15">
      <c r="F4063" s="115">
        <f>+(disponibilidad[[#This Row],[Fecha y hora fin]]-disponibilidad[[#This Row],[Fecha y hora inicio]])*1440</f>
        <v>0</v>
      </c>
    </row>
    <row r="4064" spans="6:6" ht="15">
      <c r="F4064" s="115">
        <f>+(disponibilidad[[#This Row],[Fecha y hora fin]]-disponibilidad[[#This Row],[Fecha y hora inicio]])*1440</f>
        <v>0</v>
      </c>
    </row>
    <row r="4065" spans="6:6" ht="15">
      <c r="F4065" s="115">
        <f>+(disponibilidad[[#This Row],[Fecha y hora fin]]-disponibilidad[[#This Row],[Fecha y hora inicio]])*1440</f>
        <v>0</v>
      </c>
    </row>
    <row r="4066" spans="6:6" ht="15">
      <c r="F4066" s="115">
        <f>+(disponibilidad[[#This Row],[Fecha y hora fin]]-disponibilidad[[#This Row],[Fecha y hora inicio]])*1440</f>
        <v>0</v>
      </c>
    </row>
    <row r="4067" spans="6:6" ht="15">
      <c r="F4067" s="115">
        <f>+(disponibilidad[[#This Row],[Fecha y hora fin]]-disponibilidad[[#This Row],[Fecha y hora inicio]])*1440</f>
        <v>0</v>
      </c>
    </row>
    <row r="4068" spans="6:6" ht="15">
      <c r="F4068" s="115">
        <f>+(disponibilidad[[#This Row],[Fecha y hora fin]]-disponibilidad[[#This Row],[Fecha y hora inicio]])*1440</f>
        <v>0</v>
      </c>
    </row>
    <row r="4069" spans="6:6" ht="15">
      <c r="F4069" s="115">
        <f>+(disponibilidad[[#This Row],[Fecha y hora fin]]-disponibilidad[[#This Row],[Fecha y hora inicio]])*1440</f>
        <v>0</v>
      </c>
    </row>
    <row r="4070" spans="6:6" ht="15">
      <c r="F4070" s="115">
        <f>+(disponibilidad[[#This Row],[Fecha y hora fin]]-disponibilidad[[#This Row],[Fecha y hora inicio]])*1440</f>
        <v>0</v>
      </c>
    </row>
    <row r="4071" spans="6:6" ht="15">
      <c r="F4071" s="115">
        <f>+(disponibilidad[[#This Row],[Fecha y hora fin]]-disponibilidad[[#This Row],[Fecha y hora inicio]])*1440</f>
        <v>0</v>
      </c>
    </row>
    <row r="4072" spans="6:6" ht="15">
      <c r="F4072" s="115">
        <f>+(disponibilidad[[#This Row],[Fecha y hora fin]]-disponibilidad[[#This Row],[Fecha y hora inicio]])*1440</f>
        <v>0</v>
      </c>
    </row>
    <row r="4073" spans="6:6" ht="15">
      <c r="F4073" s="115">
        <f>+(disponibilidad[[#This Row],[Fecha y hora fin]]-disponibilidad[[#This Row],[Fecha y hora inicio]])*1440</f>
        <v>0</v>
      </c>
    </row>
    <row r="4074" spans="6:6" ht="15">
      <c r="F4074" s="115">
        <f>+(disponibilidad[[#This Row],[Fecha y hora fin]]-disponibilidad[[#This Row],[Fecha y hora inicio]])*1440</f>
        <v>0</v>
      </c>
    </row>
    <row r="4075" spans="6:6" ht="15">
      <c r="F4075" s="115">
        <f>+(disponibilidad[[#This Row],[Fecha y hora fin]]-disponibilidad[[#This Row],[Fecha y hora inicio]])*1440</f>
        <v>0</v>
      </c>
    </row>
    <row r="4076" spans="6:6" ht="15">
      <c r="F4076" s="115">
        <f>+(disponibilidad[[#This Row],[Fecha y hora fin]]-disponibilidad[[#This Row],[Fecha y hora inicio]])*1440</f>
        <v>0</v>
      </c>
    </row>
    <row r="4077" spans="6:6" ht="15">
      <c r="F4077" s="115">
        <f>+(disponibilidad[[#This Row],[Fecha y hora fin]]-disponibilidad[[#This Row],[Fecha y hora inicio]])*1440</f>
        <v>0</v>
      </c>
    </row>
    <row r="4078" spans="6:6" ht="15">
      <c r="F4078" s="115">
        <f>+(disponibilidad[[#This Row],[Fecha y hora fin]]-disponibilidad[[#This Row],[Fecha y hora inicio]])*1440</f>
        <v>0</v>
      </c>
    </row>
    <row r="4079" spans="6:6" ht="15">
      <c r="F4079" s="115">
        <f>+(disponibilidad[[#This Row],[Fecha y hora fin]]-disponibilidad[[#This Row],[Fecha y hora inicio]])*1440</f>
        <v>0</v>
      </c>
    </row>
    <row r="4080" spans="6:6" ht="15">
      <c r="F4080" s="115">
        <f>+(disponibilidad[[#This Row],[Fecha y hora fin]]-disponibilidad[[#This Row],[Fecha y hora inicio]])*1440</f>
        <v>0</v>
      </c>
    </row>
    <row r="4081" spans="6:6" ht="15">
      <c r="F4081" s="115">
        <f>+(disponibilidad[[#This Row],[Fecha y hora fin]]-disponibilidad[[#This Row],[Fecha y hora inicio]])*1440</f>
        <v>0</v>
      </c>
    </row>
    <row r="4082" spans="6:6" ht="15">
      <c r="F4082" s="115">
        <f>+(disponibilidad[[#This Row],[Fecha y hora fin]]-disponibilidad[[#This Row],[Fecha y hora inicio]])*1440</f>
        <v>0</v>
      </c>
    </row>
    <row r="4083" spans="6:6" ht="15">
      <c r="F4083" s="115">
        <f>+(disponibilidad[[#This Row],[Fecha y hora fin]]-disponibilidad[[#This Row],[Fecha y hora inicio]])*1440</f>
        <v>0</v>
      </c>
    </row>
    <row r="4084" spans="6:6" ht="15">
      <c r="F4084" s="115">
        <f>+(disponibilidad[[#This Row],[Fecha y hora fin]]-disponibilidad[[#This Row],[Fecha y hora inicio]])*1440</f>
        <v>0</v>
      </c>
    </row>
    <row r="4085" spans="6:6" ht="15">
      <c r="F4085" s="115">
        <f>+(disponibilidad[[#This Row],[Fecha y hora fin]]-disponibilidad[[#This Row],[Fecha y hora inicio]])*1440</f>
        <v>0</v>
      </c>
    </row>
    <row r="4086" spans="6:6" ht="15">
      <c r="F4086" s="115">
        <f>+(disponibilidad[[#This Row],[Fecha y hora fin]]-disponibilidad[[#This Row],[Fecha y hora inicio]])*1440</f>
        <v>0</v>
      </c>
    </row>
    <row r="4087" spans="6:6" ht="15">
      <c r="F4087" s="115">
        <f>+(disponibilidad[[#This Row],[Fecha y hora fin]]-disponibilidad[[#This Row],[Fecha y hora inicio]])*1440</f>
        <v>0</v>
      </c>
    </row>
    <row r="4088" spans="6:6" ht="15">
      <c r="F4088" s="115">
        <f>+(disponibilidad[[#This Row],[Fecha y hora fin]]-disponibilidad[[#This Row],[Fecha y hora inicio]])*1440</f>
        <v>0</v>
      </c>
    </row>
    <row r="4089" spans="6:6" ht="15">
      <c r="F4089" s="115">
        <f>+(disponibilidad[[#This Row],[Fecha y hora fin]]-disponibilidad[[#This Row],[Fecha y hora inicio]])*1440</f>
        <v>0</v>
      </c>
    </row>
    <row r="4090" spans="6:6" ht="15">
      <c r="F4090" s="115">
        <f>+(disponibilidad[[#This Row],[Fecha y hora fin]]-disponibilidad[[#This Row],[Fecha y hora inicio]])*1440</f>
        <v>0</v>
      </c>
    </row>
    <row r="4091" spans="6:6" ht="15">
      <c r="F4091" s="115">
        <f>+(disponibilidad[[#This Row],[Fecha y hora fin]]-disponibilidad[[#This Row],[Fecha y hora inicio]])*1440</f>
        <v>0</v>
      </c>
    </row>
    <row r="4092" spans="6:6" ht="15">
      <c r="F4092" s="115">
        <f>+(disponibilidad[[#This Row],[Fecha y hora fin]]-disponibilidad[[#This Row],[Fecha y hora inicio]])*1440</f>
        <v>0</v>
      </c>
    </row>
    <row r="4093" spans="6:6" ht="15">
      <c r="F4093" s="115">
        <f>+(disponibilidad[[#This Row],[Fecha y hora fin]]-disponibilidad[[#This Row],[Fecha y hora inicio]])*1440</f>
        <v>0</v>
      </c>
    </row>
    <row r="4094" spans="6:6" ht="15">
      <c r="F4094" s="115">
        <f>+(disponibilidad[[#This Row],[Fecha y hora fin]]-disponibilidad[[#This Row],[Fecha y hora inicio]])*1440</f>
        <v>0</v>
      </c>
    </row>
    <row r="4095" spans="6:6" ht="15">
      <c r="F4095" s="115">
        <f>+(disponibilidad[[#This Row],[Fecha y hora fin]]-disponibilidad[[#This Row],[Fecha y hora inicio]])*1440</f>
        <v>0</v>
      </c>
    </row>
    <row r="4096" spans="6:6" ht="15">
      <c r="F4096" s="115">
        <f>+(disponibilidad[[#This Row],[Fecha y hora fin]]-disponibilidad[[#This Row],[Fecha y hora inicio]])*1440</f>
        <v>0</v>
      </c>
    </row>
    <row r="4097" spans="6:6" ht="15">
      <c r="F4097" s="115">
        <f>+(disponibilidad[[#This Row],[Fecha y hora fin]]-disponibilidad[[#This Row],[Fecha y hora inicio]])*1440</f>
        <v>0</v>
      </c>
    </row>
    <row r="4098" spans="6:6" ht="15">
      <c r="F4098" s="115">
        <f>+(disponibilidad[[#This Row],[Fecha y hora fin]]-disponibilidad[[#This Row],[Fecha y hora inicio]])*1440</f>
        <v>0</v>
      </c>
    </row>
    <row r="4099" spans="6:6" ht="15">
      <c r="F4099" s="115">
        <f>+(disponibilidad[[#This Row],[Fecha y hora fin]]-disponibilidad[[#This Row],[Fecha y hora inicio]])*1440</f>
        <v>0</v>
      </c>
    </row>
    <row r="4100" spans="6:6" ht="15">
      <c r="F4100" s="115">
        <f>+(disponibilidad[[#This Row],[Fecha y hora fin]]-disponibilidad[[#This Row],[Fecha y hora inicio]])*1440</f>
        <v>0</v>
      </c>
    </row>
    <row r="4101" spans="6:6" ht="15">
      <c r="F4101" s="115">
        <f>+(disponibilidad[[#This Row],[Fecha y hora fin]]-disponibilidad[[#This Row],[Fecha y hora inicio]])*1440</f>
        <v>0</v>
      </c>
    </row>
    <row r="4102" spans="6:6" ht="15">
      <c r="F4102" s="115">
        <f>+(disponibilidad[[#This Row],[Fecha y hora fin]]-disponibilidad[[#This Row],[Fecha y hora inicio]])*1440</f>
        <v>0</v>
      </c>
    </row>
    <row r="4103" spans="6:6" ht="15">
      <c r="F4103" s="115">
        <f>+(disponibilidad[[#This Row],[Fecha y hora fin]]-disponibilidad[[#This Row],[Fecha y hora inicio]])*1440</f>
        <v>0</v>
      </c>
    </row>
    <row r="4104" spans="6:6" ht="15">
      <c r="F4104" s="115">
        <f>+(disponibilidad[[#This Row],[Fecha y hora fin]]-disponibilidad[[#This Row],[Fecha y hora inicio]])*1440</f>
        <v>0</v>
      </c>
    </row>
    <row r="4105" spans="6:6" ht="15">
      <c r="F4105" s="115">
        <f>+(disponibilidad[[#This Row],[Fecha y hora fin]]-disponibilidad[[#This Row],[Fecha y hora inicio]])*1440</f>
        <v>0</v>
      </c>
    </row>
    <row r="4106" spans="6:6" ht="15">
      <c r="F4106" s="115">
        <f>+(disponibilidad[[#This Row],[Fecha y hora fin]]-disponibilidad[[#This Row],[Fecha y hora inicio]])*1440</f>
        <v>0</v>
      </c>
    </row>
    <row r="4107" spans="6:6" ht="15">
      <c r="F4107" s="115">
        <f>+(disponibilidad[[#This Row],[Fecha y hora fin]]-disponibilidad[[#This Row],[Fecha y hora inicio]])*1440</f>
        <v>0</v>
      </c>
    </row>
    <row r="4108" spans="6:6" ht="15">
      <c r="F4108" s="115">
        <f>+(disponibilidad[[#This Row],[Fecha y hora fin]]-disponibilidad[[#This Row],[Fecha y hora inicio]])*1440</f>
        <v>0</v>
      </c>
    </row>
    <row r="4109" spans="6:6" ht="15">
      <c r="F4109" s="115">
        <f>+(disponibilidad[[#This Row],[Fecha y hora fin]]-disponibilidad[[#This Row],[Fecha y hora inicio]])*1440</f>
        <v>0</v>
      </c>
    </row>
    <row r="4110" spans="6:6" ht="15">
      <c r="F4110" s="115">
        <f>+(disponibilidad[[#This Row],[Fecha y hora fin]]-disponibilidad[[#This Row],[Fecha y hora inicio]])*1440</f>
        <v>0</v>
      </c>
    </row>
    <row r="4111" spans="6:6" ht="15">
      <c r="F4111" s="115">
        <f>+(disponibilidad[[#This Row],[Fecha y hora fin]]-disponibilidad[[#This Row],[Fecha y hora inicio]])*1440</f>
        <v>0</v>
      </c>
    </row>
    <row r="4112" spans="6:6" ht="15">
      <c r="F4112" s="115">
        <f>+(disponibilidad[[#This Row],[Fecha y hora fin]]-disponibilidad[[#This Row],[Fecha y hora inicio]])*1440</f>
        <v>0</v>
      </c>
    </row>
    <row r="4113" spans="6:6" ht="15">
      <c r="F4113" s="115">
        <f>+(disponibilidad[[#This Row],[Fecha y hora fin]]-disponibilidad[[#This Row],[Fecha y hora inicio]])*1440</f>
        <v>0</v>
      </c>
    </row>
    <row r="4114" spans="6:6" ht="15">
      <c r="F4114" s="115">
        <f>+(disponibilidad[[#This Row],[Fecha y hora fin]]-disponibilidad[[#This Row],[Fecha y hora inicio]])*1440</f>
        <v>0</v>
      </c>
    </row>
    <row r="4115" spans="6:6" ht="15">
      <c r="F4115" s="115">
        <f>+(disponibilidad[[#This Row],[Fecha y hora fin]]-disponibilidad[[#This Row],[Fecha y hora inicio]])*1440</f>
        <v>0</v>
      </c>
    </row>
    <row r="4116" spans="6:6" ht="15">
      <c r="F4116" s="115">
        <f>+(disponibilidad[[#This Row],[Fecha y hora fin]]-disponibilidad[[#This Row],[Fecha y hora inicio]])*1440</f>
        <v>0</v>
      </c>
    </row>
    <row r="4117" spans="6:6" ht="15">
      <c r="F4117" s="115">
        <f>+(disponibilidad[[#This Row],[Fecha y hora fin]]-disponibilidad[[#This Row],[Fecha y hora inicio]])*1440</f>
        <v>0</v>
      </c>
    </row>
    <row r="4118" spans="6:6" ht="15">
      <c r="F4118" s="115">
        <f>+(disponibilidad[[#This Row],[Fecha y hora fin]]-disponibilidad[[#This Row],[Fecha y hora inicio]])*1440</f>
        <v>0</v>
      </c>
    </row>
    <row r="4119" spans="6:6" ht="15">
      <c r="F4119" s="115">
        <f>+(disponibilidad[[#This Row],[Fecha y hora fin]]-disponibilidad[[#This Row],[Fecha y hora inicio]])*1440</f>
        <v>0</v>
      </c>
    </row>
    <row r="4120" spans="6:6" ht="15">
      <c r="F4120" s="115">
        <f>+(disponibilidad[[#This Row],[Fecha y hora fin]]-disponibilidad[[#This Row],[Fecha y hora inicio]])*1440</f>
        <v>0</v>
      </c>
    </row>
    <row r="4121" spans="6:6" ht="15">
      <c r="F4121" s="115">
        <f>+(disponibilidad[[#This Row],[Fecha y hora fin]]-disponibilidad[[#This Row],[Fecha y hora inicio]])*1440</f>
        <v>0</v>
      </c>
    </row>
    <row r="4122" spans="6:6" ht="15">
      <c r="F4122" s="115">
        <f>+(disponibilidad[[#This Row],[Fecha y hora fin]]-disponibilidad[[#This Row],[Fecha y hora inicio]])*1440</f>
        <v>0</v>
      </c>
    </row>
    <row r="4123" spans="6:6" ht="15">
      <c r="F4123" s="115">
        <f>+(disponibilidad[[#This Row],[Fecha y hora fin]]-disponibilidad[[#This Row],[Fecha y hora inicio]])*1440</f>
        <v>0</v>
      </c>
    </row>
    <row r="4124" spans="6:6" ht="15">
      <c r="F4124" s="115">
        <f>+(disponibilidad[[#This Row],[Fecha y hora fin]]-disponibilidad[[#This Row],[Fecha y hora inicio]])*1440</f>
        <v>0</v>
      </c>
    </row>
    <row r="4125" spans="6:6" ht="15">
      <c r="F4125" s="115">
        <f>+(disponibilidad[[#This Row],[Fecha y hora fin]]-disponibilidad[[#This Row],[Fecha y hora inicio]])*1440</f>
        <v>0</v>
      </c>
    </row>
    <row r="4126" spans="6:6" ht="15">
      <c r="F4126" s="115">
        <f>+(disponibilidad[[#This Row],[Fecha y hora fin]]-disponibilidad[[#This Row],[Fecha y hora inicio]])*1440</f>
        <v>0</v>
      </c>
    </row>
    <row r="4127" spans="6:6" ht="15">
      <c r="F4127" s="115">
        <f>+(disponibilidad[[#This Row],[Fecha y hora fin]]-disponibilidad[[#This Row],[Fecha y hora inicio]])*1440</f>
        <v>0</v>
      </c>
    </row>
    <row r="4128" spans="6:6" ht="15">
      <c r="F4128" s="115">
        <f>+(disponibilidad[[#This Row],[Fecha y hora fin]]-disponibilidad[[#This Row],[Fecha y hora inicio]])*1440</f>
        <v>0</v>
      </c>
    </row>
    <row r="4129" spans="6:6" ht="15">
      <c r="F4129" s="115">
        <f>+(disponibilidad[[#This Row],[Fecha y hora fin]]-disponibilidad[[#This Row],[Fecha y hora inicio]])*1440</f>
        <v>0</v>
      </c>
    </row>
    <row r="4130" spans="6:6" ht="15">
      <c r="F4130" s="115">
        <f>+(disponibilidad[[#This Row],[Fecha y hora fin]]-disponibilidad[[#This Row],[Fecha y hora inicio]])*1440</f>
        <v>0</v>
      </c>
    </row>
    <row r="4131" spans="6:6" ht="15">
      <c r="F4131" s="115">
        <f>+(disponibilidad[[#This Row],[Fecha y hora fin]]-disponibilidad[[#This Row],[Fecha y hora inicio]])*1440</f>
        <v>0</v>
      </c>
    </row>
    <row r="4132" spans="6:6" ht="15">
      <c r="F4132" s="115">
        <f>+(disponibilidad[[#This Row],[Fecha y hora fin]]-disponibilidad[[#This Row],[Fecha y hora inicio]])*1440</f>
        <v>0</v>
      </c>
    </row>
    <row r="4133" spans="6:6" ht="15">
      <c r="F4133" s="115">
        <f>+(disponibilidad[[#This Row],[Fecha y hora fin]]-disponibilidad[[#This Row],[Fecha y hora inicio]])*1440</f>
        <v>0</v>
      </c>
    </row>
    <row r="4134" spans="6:6" ht="15">
      <c r="F4134" s="115">
        <f>+(disponibilidad[[#This Row],[Fecha y hora fin]]-disponibilidad[[#This Row],[Fecha y hora inicio]])*1440</f>
        <v>0</v>
      </c>
    </row>
    <row r="4135" spans="6:6" ht="15">
      <c r="F4135" s="115">
        <f>+(disponibilidad[[#This Row],[Fecha y hora fin]]-disponibilidad[[#This Row],[Fecha y hora inicio]])*1440</f>
        <v>0</v>
      </c>
    </row>
    <row r="4136" spans="6:6" ht="15">
      <c r="F4136" s="115">
        <f>+(disponibilidad[[#This Row],[Fecha y hora fin]]-disponibilidad[[#This Row],[Fecha y hora inicio]])*1440</f>
        <v>0</v>
      </c>
    </row>
    <row r="4137" spans="6:6" ht="15">
      <c r="F4137" s="115">
        <f>+(disponibilidad[[#This Row],[Fecha y hora fin]]-disponibilidad[[#This Row],[Fecha y hora inicio]])*1440</f>
        <v>0</v>
      </c>
    </row>
    <row r="4138" spans="6:6" ht="15">
      <c r="F4138" s="115">
        <f>+(disponibilidad[[#This Row],[Fecha y hora fin]]-disponibilidad[[#This Row],[Fecha y hora inicio]])*1440</f>
        <v>0</v>
      </c>
    </row>
    <row r="4139" spans="6:6" ht="15">
      <c r="F4139" s="115">
        <f>+(disponibilidad[[#This Row],[Fecha y hora fin]]-disponibilidad[[#This Row],[Fecha y hora inicio]])*1440</f>
        <v>0</v>
      </c>
    </row>
    <row r="4140" spans="6:6" ht="15">
      <c r="F4140" s="115">
        <f>+(disponibilidad[[#This Row],[Fecha y hora fin]]-disponibilidad[[#This Row],[Fecha y hora inicio]])*1440</f>
        <v>0</v>
      </c>
    </row>
    <row r="4141" spans="6:6" ht="15">
      <c r="F4141" s="115">
        <f>+(disponibilidad[[#This Row],[Fecha y hora fin]]-disponibilidad[[#This Row],[Fecha y hora inicio]])*1440</f>
        <v>0</v>
      </c>
    </row>
    <row r="4142" spans="6:6" ht="15">
      <c r="F4142" s="115">
        <f>+(disponibilidad[[#This Row],[Fecha y hora fin]]-disponibilidad[[#This Row],[Fecha y hora inicio]])*1440</f>
        <v>0</v>
      </c>
    </row>
    <row r="4143" spans="6:6" ht="15">
      <c r="F4143" s="115">
        <f>+(disponibilidad[[#This Row],[Fecha y hora fin]]-disponibilidad[[#This Row],[Fecha y hora inicio]])*1440</f>
        <v>0</v>
      </c>
    </row>
    <row r="4144" spans="6:6" ht="15">
      <c r="F4144" s="115">
        <f>+(disponibilidad[[#This Row],[Fecha y hora fin]]-disponibilidad[[#This Row],[Fecha y hora inicio]])*1440</f>
        <v>0</v>
      </c>
    </row>
    <row r="4145" spans="6:6" ht="15">
      <c r="F4145" s="115">
        <f>+(disponibilidad[[#This Row],[Fecha y hora fin]]-disponibilidad[[#This Row],[Fecha y hora inicio]])*1440</f>
        <v>0</v>
      </c>
    </row>
    <row r="4146" spans="6:6" ht="15">
      <c r="F4146" s="115">
        <f>+(disponibilidad[[#This Row],[Fecha y hora fin]]-disponibilidad[[#This Row],[Fecha y hora inicio]])*1440</f>
        <v>0</v>
      </c>
    </row>
    <row r="4147" spans="6:6" ht="15">
      <c r="F4147" s="115">
        <f>+(disponibilidad[[#This Row],[Fecha y hora fin]]-disponibilidad[[#This Row],[Fecha y hora inicio]])*1440</f>
        <v>0</v>
      </c>
    </row>
    <row r="4148" spans="6:6" ht="15">
      <c r="F4148" s="115">
        <f>+(disponibilidad[[#This Row],[Fecha y hora fin]]-disponibilidad[[#This Row],[Fecha y hora inicio]])*1440</f>
        <v>0</v>
      </c>
    </row>
    <row r="4149" spans="6:6" ht="15">
      <c r="F4149" s="115">
        <f>+(disponibilidad[[#This Row],[Fecha y hora fin]]-disponibilidad[[#This Row],[Fecha y hora inicio]])*1440</f>
        <v>0</v>
      </c>
    </row>
    <row r="4150" spans="6:6" ht="15">
      <c r="F4150" s="115">
        <f>+(disponibilidad[[#This Row],[Fecha y hora fin]]-disponibilidad[[#This Row],[Fecha y hora inicio]])*1440</f>
        <v>0</v>
      </c>
    </row>
    <row r="4151" spans="6:6" ht="15">
      <c r="F4151" s="115">
        <f>+(disponibilidad[[#This Row],[Fecha y hora fin]]-disponibilidad[[#This Row],[Fecha y hora inicio]])*1440</f>
        <v>0</v>
      </c>
    </row>
    <row r="4152" spans="6:6" ht="15">
      <c r="F4152" s="115">
        <f>+(disponibilidad[[#This Row],[Fecha y hora fin]]-disponibilidad[[#This Row],[Fecha y hora inicio]])*1440</f>
        <v>0</v>
      </c>
    </row>
    <row r="4153" spans="6:6" ht="15">
      <c r="F4153" s="115">
        <f>+(disponibilidad[[#This Row],[Fecha y hora fin]]-disponibilidad[[#This Row],[Fecha y hora inicio]])*1440</f>
        <v>0</v>
      </c>
    </row>
    <row r="4154" spans="6:6" ht="15">
      <c r="F4154" s="115">
        <f>+(disponibilidad[[#This Row],[Fecha y hora fin]]-disponibilidad[[#This Row],[Fecha y hora inicio]])*1440</f>
        <v>0</v>
      </c>
    </row>
    <row r="4155" spans="6:6" ht="15">
      <c r="F4155" s="115">
        <f>+(disponibilidad[[#This Row],[Fecha y hora fin]]-disponibilidad[[#This Row],[Fecha y hora inicio]])*1440</f>
        <v>0</v>
      </c>
    </row>
    <row r="4156" spans="6:6" ht="15">
      <c r="F4156" s="115">
        <f>+(disponibilidad[[#This Row],[Fecha y hora fin]]-disponibilidad[[#This Row],[Fecha y hora inicio]])*1440</f>
        <v>0</v>
      </c>
    </row>
    <row r="4157" spans="6:6" ht="15">
      <c r="F4157" s="115">
        <f>+(disponibilidad[[#This Row],[Fecha y hora fin]]-disponibilidad[[#This Row],[Fecha y hora inicio]])*1440</f>
        <v>0</v>
      </c>
    </row>
    <row r="4158" spans="6:6" ht="15">
      <c r="F4158" s="115">
        <f>+(disponibilidad[[#This Row],[Fecha y hora fin]]-disponibilidad[[#This Row],[Fecha y hora inicio]])*1440</f>
        <v>0</v>
      </c>
    </row>
    <row r="4159" spans="6:6" ht="15">
      <c r="F4159" s="115">
        <f>+(disponibilidad[[#This Row],[Fecha y hora fin]]-disponibilidad[[#This Row],[Fecha y hora inicio]])*1440</f>
        <v>0</v>
      </c>
    </row>
    <row r="4160" spans="6:6" ht="15">
      <c r="F4160" s="115">
        <f>+(disponibilidad[[#This Row],[Fecha y hora fin]]-disponibilidad[[#This Row],[Fecha y hora inicio]])*1440</f>
        <v>0</v>
      </c>
    </row>
    <row r="4161" spans="6:6" ht="15">
      <c r="F4161" s="115">
        <f>+(disponibilidad[[#This Row],[Fecha y hora fin]]-disponibilidad[[#This Row],[Fecha y hora inicio]])*1440</f>
        <v>0</v>
      </c>
    </row>
    <row r="4162" spans="6:6" ht="15">
      <c r="F4162" s="115">
        <f>+(disponibilidad[[#This Row],[Fecha y hora fin]]-disponibilidad[[#This Row],[Fecha y hora inicio]])*1440</f>
        <v>0</v>
      </c>
    </row>
    <row r="4163" spans="6:6" ht="15">
      <c r="F4163" s="115">
        <f>+(disponibilidad[[#This Row],[Fecha y hora fin]]-disponibilidad[[#This Row],[Fecha y hora inicio]])*1440</f>
        <v>0</v>
      </c>
    </row>
    <row r="4164" spans="6:6" ht="15">
      <c r="F4164" s="115">
        <f>+(disponibilidad[[#This Row],[Fecha y hora fin]]-disponibilidad[[#This Row],[Fecha y hora inicio]])*1440</f>
        <v>0</v>
      </c>
    </row>
    <row r="4165" spans="6:6" ht="15">
      <c r="F4165" s="115">
        <f>+(disponibilidad[[#This Row],[Fecha y hora fin]]-disponibilidad[[#This Row],[Fecha y hora inicio]])*1440</f>
        <v>0</v>
      </c>
    </row>
    <row r="4166" spans="6:6" ht="15">
      <c r="F4166" s="115">
        <f>+(disponibilidad[[#This Row],[Fecha y hora fin]]-disponibilidad[[#This Row],[Fecha y hora inicio]])*1440</f>
        <v>0</v>
      </c>
    </row>
    <row r="4167" spans="6:6" ht="15">
      <c r="F4167" s="115">
        <f>+(disponibilidad[[#This Row],[Fecha y hora fin]]-disponibilidad[[#This Row],[Fecha y hora inicio]])*1440</f>
        <v>0</v>
      </c>
    </row>
    <row r="4168" spans="6:6" ht="15">
      <c r="F4168" s="115">
        <f>+(disponibilidad[[#This Row],[Fecha y hora fin]]-disponibilidad[[#This Row],[Fecha y hora inicio]])*1440</f>
        <v>0</v>
      </c>
    </row>
    <row r="4169" spans="6:6" ht="15">
      <c r="F4169" s="115">
        <f>+(disponibilidad[[#This Row],[Fecha y hora fin]]-disponibilidad[[#This Row],[Fecha y hora inicio]])*1440</f>
        <v>0</v>
      </c>
    </row>
    <row r="4170" spans="6:6" ht="15">
      <c r="F4170" s="115">
        <f>+(disponibilidad[[#This Row],[Fecha y hora fin]]-disponibilidad[[#This Row],[Fecha y hora inicio]])*1440</f>
        <v>0</v>
      </c>
    </row>
    <row r="4171" spans="6:6" ht="15">
      <c r="F4171" s="115">
        <f>+(disponibilidad[[#This Row],[Fecha y hora fin]]-disponibilidad[[#This Row],[Fecha y hora inicio]])*1440</f>
        <v>0</v>
      </c>
    </row>
    <row r="4172" spans="6:6" ht="15">
      <c r="F4172" s="115">
        <f>+(disponibilidad[[#This Row],[Fecha y hora fin]]-disponibilidad[[#This Row],[Fecha y hora inicio]])*1440</f>
        <v>0</v>
      </c>
    </row>
    <row r="4173" spans="6:6" ht="15">
      <c r="F4173" s="115">
        <f>+(disponibilidad[[#This Row],[Fecha y hora fin]]-disponibilidad[[#This Row],[Fecha y hora inicio]])*1440</f>
        <v>0</v>
      </c>
    </row>
    <row r="4174" spans="6:6" ht="15">
      <c r="F4174" s="115">
        <f>+(disponibilidad[[#This Row],[Fecha y hora fin]]-disponibilidad[[#This Row],[Fecha y hora inicio]])*1440</f>
        <v>0</v>
      </c>
    </row>
    <row r="4175" spans="6:6" ht="15">
      <c r="F4175" s="115">
        <f>+(disponibilidad[[#This Row],[Fecha y hora fin]]-disponibilidad[[#This Row],[Fecha y hora inicio]])*1440</f>
        <v>0</v>
      </c>
    </row>
    <row r="4176" spans="6:6" ht="15">
      <c r="F4176" s="115">
        <f>+(disponibilidad[[#This Row],[Fecha y hora fin]]-disponibilidad[[#This Row],[Fecha y hora inicio]])*1440</f>
        <v>0</v>
      </c>
    </row>
    <row r="4177" spans="6:6" ht="15">
      <c r="F4177" s="115">
        <f>+(disponibilidad[[#This Row],[Fecha y hora fin]]-disponibilidad[[#This Row],[Fecha y hora inicio]])*1440</f>
        <v>0</v>
      </c>
    </row>
    <row r="4178" spans="6:6" ht="15">
      <c r="F4178" s="115">
        <f>+(disponibilidad[[#This Row],[Fecha y hora fin]]-disponibilidad[[#This Row],[Fecha y hora inicio]])*1440</f>
        <v>0</v>
      </c>
    </row>
    <row r="4179" spans="6:6" ht="15">
      <c r="F4179" s="115">
        <f>+(disponibilidad[[#This Row],[Fecha y hora fin]]-disponibilidad[[#This Row],[Fecha y hora inicio]])*1440</f>
        <v>0</v>
      </c>
    </row>
    <row r="4180" spans="6:6" ht="15">
      <c r="F4180" s="115">
        <f>+(disponibilidad[[#This Row],[Fecha y hora fin]]-disponibilidad[[#This Row],[Fecha y hora inicio]])*1440</f>
        <v>0</v>
      </c>
    </row>
    <row r="4181" spans="6:6" ht="15">
      <c r="F4181" s="115">
        <f>+(disponibilidad[[#This Row],[Fecha y hora fin]]-disponibilidad[[#This Row],[Fecha y hora inicio]])*1440</f>
        <v>0</v>
      </c>
    </row>
    <row r="4182" spans="6:6" ht="15">
      <c r="F4182" s="115">
        <f>+(disponibilidad[[#This Row],[Fecha y hora fin]]-disponibilidad[[#This Row],[Fecha y hora inicio]])*1440</f>
        <v>0</v>
      </c>
    </row>
    <row r="4183" spans="6:6" ht="15">
      <c r="F4183" s="115">
        <f>+(disponibilidad[[#This Row],[Fecha y hora fin]]-disponibilidad[[#This Row],[Fecha y hora inicio]])*1440</f>
        <v>0</v>
      </c>
    </row>
    <row r="4184" spans="6:6" ht="15">
      <c r="F4184" s="115">
        <f>+(disponibilidad[[#This Row],[Fecha y hora fin]]-disponibilidad[[#This Row],[Fecha y hora inicio]])*1440</f>
        <v>0</v>
      </c>
    </row>
    <row r="4185" spans="6:6" ht="15">
      <c r="F4185" s="115">
        <f>+(disponibilidad[[#This Row],[Fecha y hora fin]]-disponibilidad[[#This Row],[Fecha y hora inicio]])*1440</f>
        <v>0</v>
      </c>
    </row>
    <row r="4186" spans="6:6" ht="15">
      <c r="F4186" s="115">
        <f>+(disponibilidad[[#This Row],[Fecha y hora fin]]-disponibilidad[[#This Row],[Fecha y hora inicio]])*1440</f>
        <v>0</v>
      </c>
    </row>
    <row r="4187" spans="6:6" ht="15">
      <c r="F4187" s="115">
        <f>+(disponibilidad[[#This Row],[Fecha y hora fin]]-disponibilidad[[#This Row],[Fecha y hora inicio]])*1440</f>
        <v>0</v>
      </c>
    </row>
    <row r="4188" spans="6:6" ht="15">
      <c r="F4188" s="115">
        <f>+(disponibilidad[[#This Row],[Fecha y hora fin]]-disponibilidad[[#This Row],[Fecha y hora inicio]])*1440</f>
        <v>0</v>
      </c>
    </row>
    <row r="4189" spans="6:6" ht="15">
      <c r="F4189" s="115">
        <f>+(disponibilidad[[#This Row],[Fecha y hora fin]]-disponibilidad[[#This Row],[Fecha y hora inicio]])*1440</f>
        <v>0</v>
      </c>
    </row>
    <row r="4190" spans="6:6" ht="15">
      <c r="F4190" s="115">
        <f>+(disponibilidad[[#This Row],[Fecha y hora fin]]-disponibilidad[[#This Row],[Fecha y hora inicio]])*1440</f>
        <v>0</v>
      </c>
    </row>
    <row r="4191" spans="6:6" ht="15">
      <c r="F4191" s="115">
        <f>+(disponibilidad[[#This Row],[Fecha y hora fin]]-disponibilidad[[#This Row],[Fecha y hora inicio]])*1440</f>
        <v>0</v>
      </c>
    </row>
    <row r="4192" spans="6:6" ht="15">
      <c r="F4192" s="115">
        <f>+(disponibilidad[[#This Row],[Fecha y hora fin]]-disponibilidad[[#This Row],[Fecha y hora inicio]])*1440</f>
        <v>0</v>
      </c>
    </row>
    <row r="4193" spans="6:6" ht="15">
      <c r="F4193" s="115">
        <f>+(disponibilidad[[#This Row],[Fecha y hora fin]]-disponibilidad[[#This Row],[Fecha y hora inicio]])*1440</f>
        <v>0</v>
      </c>
    </row>
    <row r="4194" spans="6:6" ht="15">
      <c r="F4194" s="115">
        <f>+(disponibilidad[[#This Row],[Fecha y hora fin]]-disponibilidad[[#This Row],[Fecha y hora inicio]])*1440</f>
        <v>0</v>
      </c>
    </row>
    <row r="4195" spans="6:6" ht="15">
      <c r="F4195" s="115">
        <f>+(disponibilidad[[#This Row],[Fecha y hora fin]]-disponibilidad[[#This Row],[Fecha y hora inicio]])*1440</f>
        <v>0</v>
      </c>
    </row>
    <row r="4196" spans="6:6" ht="15">
      <c r="F4196" s="115">
        <f>+(disponibilidad[[#This Row],[Fecha y hora fin]]-disponibilidad[[#This Row],[Fecha y hora inicio]])*1440</f>
        <v>0</v>
      </c>
    </row>
    <row r="4197" spans="6:6" ht="15">
      <c r="F4197" s="115">
        <f>+(disponibilidad[[#This Row],[Fecha y hora fin]]-disponibilidad[[#This Row],[Fecha y hora inicio]])*1440</f>
        <v>0</v>
      </c>
    </row>
    <row r="4198" spans="6:6" ht="15">
      <c r="F4198" s="115">
        <f>+(disponibilidad[[#This Row],[Fecha y hora fin]]-disponibilidad[[#This Row],[Fecha y hora inicio]])*1440</f>
        <v>0</v>
      </c>
    </row>
    <row r="4199" spans="6:6" ht="15">
      <c r="F4199" s="115">
        <f>+(disponibilidad[[#This Row],[Fecha y hora fin]]-disponibilidad[[#This Row],[Fecha y hora inicio]])*1440</f>
        <v>0</v>
      </c>
    </row>
    <row r="4200" spans="6:6" ht="15">
      <c r="F4200" s="115">
        <f>+(disponibilidad[[#This Row],[Fecha y hora fin]]-disponibilidad[[#This Row],[Fecha y hora inicio]])*1440</f>
        <v>0</v>
      </c>
    </row>
    <row r="4201" spans="6:6" ht="15">
      <c r="F4201" s="115">
        <f>+(disponibilidad[[#This Row],[Fecha y hora fin]]-disponibilidad[[#This Row],[Fecha y hora inicio]])*1440</f>
        <v>0</v>
      </c>
    </row>
    <row r="4202" spans="6:6" ht="15">
      <c r="F4202" s="115">
        <f>+(disponibilidad[[#This Row],[Fecha y hora fin]]-disponibilidad[[#This Row],[Fecha y hora inicio]])*1440</f>
        <v>0</v>
      </c>
    </row>
    <row r="4203" spans="6:6" ht="15">
      <c r="F4203" s="115">
        <f>+(disponibilidad[[#This Row],[Fecha y hora fin]]-disponibilidad[[#This Row],[Fecha y hora inicio]])*1440</f>
        <v>0</v>
      </c>
    </row>
    <row r="4204" spans="6:6" ht="15">
      <c r="F4204" s="115">
        <f>+(disponibilidad[[#This Row],[Fecha y hora fin]]-disponibilidad[[#This Row],[Fecha y hora inicio]])*1440</f>
        <v>0</v>
      </c>
    </row>
    <row r="4205" spans="6:6" ht="15">
      <c r="F4205" s="115">
        <f>+(disponibilidad[[#This Row],[Fecha y hora fin]]-disponibilidad[[#This Row],[Fecha y hora inicio]])*1440</f>
        <v>0</v>
      </c>
    </row>
    <row r="4206" spans="6:6" ht="15">
      <c r="F4206" s="115">
        <f>+(disponibilidad[[#This Row],[Fecha y hora fin]]-disponibilidad[[#This Row],[Fecha y hora inicio]])*1440</f>
        <v>0</v>
      </c>
    </row>
    <row r="4207" spans="6:6" ht="15">
      <c r="F4207" s="115">
        <f>+(disponibilidad[[#This Row],[Fecha y hora fin]]-disponibilidad[[#This Row],[Fecha y hora inicio]])*1440</f>
        <v>0</v>
      </c>
    </row>
    <row r="4208" spans="6:6" ht="15">
      <c r="F4208" s="115">
        <f>+(disponibilidad[[#This Row],[Fecha y hora fin]]-disponibilidad[[#This Row],[Fecha y hora inicio]])*1440</f>
        <v>0</v>
      </c>
    </row>
    <row r="4209" spans="6:6" ht="15">
      <c r="F4209" s="115">
        <f>+(disponibilidad[[#This Row],[Fecha y hora fin]]-disponibilidad[[#This Row],[Fecha y hora inicio]])*1440</f>
        <v>0</v>
      </c>
    </row>
    <row r="4210" spans="6:6" ht="15">
      <c r="F4210" s="115">
        <f>+(disponibilidad[[#This Row],[Fecha y hora fin]]-disponibilidad[[#This Row],[Fecha y hora inicio]])*1440</f>
        <v>0</v>
      </c>
    </row>
    <row r="4211" spans="6:6" ht="15">
      <c r="F4211" s="115">
        <f>+(disponibilidad[[#This Row],[Fecha y hora fin]]-disponibilidad[[#This Row],[Fecha y hora inicio]])*1440</f>
        <v>0</v>
      </c>
    </row>
    <row r="4212" spans="6:6" ht="15">
      <c r="F4212" s="115">
        <f>+(disponibilidad[[#This Row],[Fecha y hora fin]]-disponibilidad[[#This Row],[Fecha y hora inicio]])*1440</f>
        <v>0</v>
      </c>
    </row>
    <row r="4213" spans="6:6" ht="15">
      <c r="F4213" s="115">
        <f>+(disponibilidad[[#This Row],[Fecha y hora fin]]-disponibilidad[[#This Row],[Fecha y hora inicio]])*1440</f>
        <v>0</v>
      </c>
    </row>
    <row r="4214" spans="6:6" ht="15">
      <c r="F4214" s="115">
        <f>+(disponibilidad[[#This Row],[Fecha y hora fin]]-disponibilidad[[#This Row],[Fecha y hora inicio]])*1440</f>
        <v>0</v>
      </c>
    </row>
    <row r="4215" spans="6:6" ht="15">
      <c r="F4215" s="115">
        <f>+(disponibilidad[[#This Row],[Fecha y hora fin]]-disponibilidad[[#This Row],[Fecha y hora inicio]])*1440</f>
        <v>0</v>
      </c>
    </row>
    <row r="4216" spans="6:6" ht="15">
      <c r="F4216" s="115">
        <f>+(disponibilidad[[#This Row],[Fecha y hora fin]]-disponibilidad[[#This Row],[Fecha y hora inicio]])*1440</f>
        <v>0</v>
      </c>
    </row>
    <row r="4217" spans="6:6" ht="15">
      <c r="F4217" s="115">
        <f>+(disponibilidad[[#This Row],[Fecha y hora fin]]-disponibilidad[[#This Row],[Fecha y hora inicio]])*1440</f>
        <v>0</v>
      </c>
    </row>
    <row r="4218" spans="6:6" ht="15">
      <c r="F4218" s="115">
        <f>+(disponibilidad[[#This Row],[Fecha y hora fin]]-disponibilidad[[#This Row],[Fecha y hora inicio]])*1440</f>
        <v>0</v>
      </c>
    </row>
    <row r="4219" spans="6:6" ht="15">
      <c r="F4219" s="115">
        <f>+(disponibilidad[[#This Row],[Fecha y hora fin]]-disponibilidad[[#This Row],[Fecha y hora inicio]])*1440</f>
        <v>0</v>
      </c>
    </row>
    <row r="4220" spans="6:6" ht="15">
      <c r="F4220" s="115">
        <f>+(disponibilidad[[#This Row],[Fecha y hora fin]]-disponibilidad[[#This Row],[Fecha y hora inicio]])*1440</f>
        <v>0</v>
      </c>
    </row>
    <row r="4221" spans="6:6" ht="15">
      <c r="F4221" s="115">
        <f>+(disponibilidad[[#This Row],[Fecha y hora fin]]-disponibilidad[[#This Row],[Fecha y hora inicio]])*1440</f>
        <v>0</v>
      </c>
    </row>
    <row r="4222" spans="6:6" ht="15">
      <c r="F4222" s="115">
        <f>+(disponibilidad[[#This Row],[Fecha y hora fin]]-disponibilidad[[#This Row],[Fecha y hora inicio]])*1440</f>
        <v>0</v>
      </c>
    </row>
    <row r="4223" spans="6:6" ht="15">
      <c r="F4223" s="115">
        <f>+(disponibilidad[[#This Row],[Fecha y hora fin]]-disponibilidad[[#This Row],[Fecha y hora inicio]])*1440</f>
        <v>0</v>
      </c>
    </row>
    <row r="4224" spans="6:6" ht="15">
      <c r="F4224" s="115">
        <f>+(disponibilidad[[#This Row],[Fecha y hora fin]]-disponibilidad[[#This Row],[Fecha y hora inicio]])*1440</f>
        <v>0</v>
      </c>
    </row>
    <row r="4225" spans="6:6" ht="15">
      <c r="F4225" s="115">
        <f>+(disponibilidad[[#This Row],[Fecha y hora fin]]-disponibilidad[[#This Row],[Fecha y hora inicio]])*1440</f>
        <v>0</v>
      </c>
    </row>
    <row r="4226" spans="6:6" ht="15">
      <c r="F4226" s="115">
        <f>+(disponibilidad[[#This Row],[Fecha y hora fin]]-disponibilidad[[#This Row],[Fecha y hora inicio]])*1440</f>
        <v>0</v>
      </c>
    </row>
    <row r="4227" spans="6:6" ht="15">
      <c r="F4227" s="115">
        <f>+(disponibilidad[[#This Row],[Fecha y hora fin]]-disponibilidad[[#This Row],[Fecha y hora inicio]])*1440</f>
        <v>0</v>
      </c>
    </row>
    <row r="4228" spans="6:6" ht="15">
      <c r="F4228" s="115">
        <f>+(disponibilidad[[#This Row],[Fecha y hora fin]]-disponibilidad[[#This Row],[Fecha y hora inicio]])*1440</f>
        <v>0</v>
      </c>
    </row>
    <row r="4229" spans="6:6" ht="15">
      <c r="F4229" s="115">
        <f>+(disponibilidad[[#This Row],[Fecha y hora fin]]-disponibilidad[[#This Row],[Fecha y hora inicio]])*1440</f>
        <v>0</v>
      </c>
    </row>
    <row r="4230" spans="6:6" ht="15">
      <c r="F4230" s="115">
        <f>+(disponibilidad[[#This Row],[Fecha y hora fin]]-disponibilidad[[#This Row],[Fecha y hora inicio]])*1440</f>
        <v>0</v>
      </c>
    </row>
    <row r="4231" spans="6:6" ht="15">
      <c r="F4231" s="115">
        <f>+(disponibilidad[[#This Row],[Fecha y hora fin]]-disponibilidad[[#This Row],[Fecha y hora inicio]])*1440</f>
        <v>0</v>
      </c>
    </row>
    <row r="4232" spans="6:6" ht="15">
      <c r="F4232" s="115">
        <f>+(disponibilidad[[#This Row],[Fecha y hora fin]]-disponibilidad[[#This Row],[Fecha y hora inicio]])*1440</f>
        <v>0</v>
      </c>
    </row>
    <row r="4233" spans="6:6" ht="15">
      <c r="F4233" s="115">
        <f>+(disponibilidad[[#This Row],[Fecha y hora fin]]-disponibilidad[[#This Row],[Fecha y hora inicio]])*1440</f>
        <v>0</v>
      </c>
    </row>
    <row r="4234" spans="6:6" ht="15">
      <c r="F4234" s="115">
        <f>+(disponibilidad[[#This Row],[Fecha y hora fin]]-disponibilidad[[#This Row],[Fecha y hora inicio]])*1440</f>
        <v>0</v>
      </c>
    </row>
    <row r="4235" spans="6:6" ht="15">
      <c r="F4235" s="115">
        <f>+(disponibilidad[[#This Row],[Fecha y hora fin]]-disponibilidad[[#This Row],[Fecha y hora inicio]])*1440</f>
        <v>0</v>
      </c>
    </row>
    <row r="4236" spans="6:6" ht="15">
      <c r="F4236" s="115">
        <f>+(disponibilidad[[#This Row],[Fecha y hora fin]]-disponibilidad[[#This Row],[Fecha y hora inicio]])*1440</f>
        <v>0</v>
      </c>
    </row>
    <row r="4237" spans="6:6" ht="15">
      <c r="F4237" s="115">
        <f>+(disponibilidad[[#This Row],[Fecha y hora fin]]-disponibilidad[[#This Row],[Fecha y hora inicio]])*1440</f>
        <v>0</v>
      </c>
    </row>
    <row r="4238" spans="6:6" ht="15">
      <c r="F4238" s="115">
        <f>+(disponibilidad[[#This Row],[Fecha y hora fin]]-disponibilidad[[#This Row],[Fecha y hora inicio]])*1440</f>
        <v>0</v>
      </c>
    </row>
    <row r="4239" spans="6:6" ht="15">
      <c r="F4239" s="115">
        <f>+(disponibilidad[[#This Row],[Fecha y hora fin]]-disponibilidad[[#This Row],[Fecha y hora inicio]])*1440</f>
        <v>0</v>
      </c>
    </row>
    <row r="4240" spans="6:6" ht="15">
      <c r="F4240" s="115">
        <f>+(disponibilidad[[#This Row],[Fecha y hora fin]]-disponibilidad[[#This Row],[Fecha y hora inicio]])*1440</f>
        <v>0</v>
      </c>
    </row>
    <row r="4241" spans="6:6" ht="15">
      <c r="F4241" s="115">
        <f>+(disponibilidad[[#This Row],[Fecha y hora fin]]-disponibilidad[[#This Row],[Fecha y hora inicio]])*1440</f>
        <v>0</v>
      </c>
    </row>
    <row r="4242" spans="6:6" ht="15">
      <c r="F4242" s="115">
        <f>+(disponibilidad[[#This Row],[Fecha y hora fin]]-disponibilidad[[#This Row],[Fecha y hora inicio]])*1440</f>
        <v>0</v>
      </c>
    </row>
    <row r="4243" spans="6:6" ht="15">
      <c r="F4243" s="115">
        <f>+(disponibilidad[[#This Row],[Fecha y hora fin]]-disponibilidad[[#This Row],[Fecha y hora inicio]])*1440</f>
        <v>0</v>
      </c>
    </row>
    <row r="4244" spans="6:6" ht="15">
      <c r="F4244" s="115">
        <f>+(disponibilidad[[#This Row],[Fecha y hora fin]]-disponibilidad[[#This Row],[Fecha y hora inicio]])*1440</f>
        <v>0</v>
      </c>
    </row>
    <row r="4245" spans="6:6" ht="15">
      <c r="F4245" s="115">
        <f>+(disponibilidad[[#This Row],[Fecha y hora fin]]-disponibilidad[[#This Row],[Fecha y hora inicio]])*1440</f>
        <v>0</v>
      </c>
    </row>
    <row r="4246" spans="6:6" ht="15">
      <c r="F4246" s="115">
        <f>+(disponibilidad[[#This Row],[Fecha y hora fin]]-disponibilidad[[#This Row],[Fecha y hora inicio]])*1440</f>
        <v>0</v>
      </c>
    </row>
    <row r="4247" spans="6:6" ht="15">
      <c r="F4247" s="115">
        <f>+(disponibilidad[[#This Row],[Fecha y hora fin]]-disponibilidad[[#This Row],[Fecha y hora inicio]])*1440</f>
        <v>0</v>
      </c>
    </row>
    <row r="4248" spans="6:6" ht="15">
      <c r="F4248" s="115">
        <f>+(disponibilidad[[#This Row],[Fecha y hora fin]]-disponibilidad[[#This Row],[Fecha y hora inicio]])*1440</f>
        <v>0</v>
      </c>
    </row>
    <row r="4249" spans="6:6" ht="15">
      <c r="F4249" s="115">
        <f>+(disponibilidad[[#This Row],[Fecha y hora fin]]-disponibilidad[[#This Row],[Fecha y hora inicio]])*1440</f>
        <v>0</v>
      </c>
    </row>
    <row r="4250" spans="6:6" ht="15">
      <c r="F4250" s="115">
        <f>+(disponibilidad[[#This Row],[Fecha y hora fin]]-disponibilidad[[#This Row],[Fecha y hora inicio]])*1440</f>
        <v>0</v>
      </c>
    </row>
    <row r="4251" spans="6:6" ht="15">
      <c r="F4251" s="115">
        <f>+(disponibilidad[[#This Row],[Fecha y hora fin]]-disponibilidad[[#This Row],[Fecha y hora inicio]])*1440</f>
        <v>0</v>
      </c>
    </row>
    <row r="4252" spans="6:6" ht="15">
      <c r="F4252" s="115">
        <f>+(disponibilidad[[#This Row],[Fecha y hora fin]]-disponibilidad[[#This Row],[Fecha y hora inicio]])*1440</f>
        <v>0</v>
      </c>
    </row>
    <row r="4253" spans="6:6" ht="15">
      <c r="F4253" s="115">
        <f>+(disponibilidad[[#This Row],[Fecha y hora fin]]-disponibilidad[[#This Row],[Fecha y hora inicio]])*1440</f>
        <v>0</v>
      </c>
    </row>
    <row r="4254" spans="6:6" ht="15">
      <c r="F4254" s="115">
        <f>+(disponibilidad[[#This Row],[Fecha y hora fin]]-disponibilidad[[#This Row],[Fecha y hora inicio]])*1440</f>
        <v>0</v>
      </c>
    </row>
    <row r="4255" spans="6:6" ht="15">
      <c r="F4255" s="115">
        <f>+(disponibilidad[[#This Row],[Fecha y hora fin]]-disponibilidad[[#This Row],[Fecha y hora inicio]])*1440</f>
        <v>0</v>
      </c>
    </row>
    <row r="4256" spans="6:6" ht="15">
      <c r="F4256" s="115">
        <f>+(disponibilidad[[#This Row],[Fecha y hora fin]]-disponibilidad[[#This Row],[Fecha y hora inicio]])*1440</f>
        <v>0</v>
      </c>
    </row>
    <row r="4257" spans="6:6" ht="15">
      <c r="F4257" s="115">
        <f>+(disponibilidad[[#This Row],[Fecha y hora fin]]-disponibilidad[[#This Row],[Fecha y hora inicio]])*1440</f>
        <v>0</v>
      </c>
    </row>
    <row r="4258" spans="6:6" ht="15">
      <c r="F4258" s="115">
        <f>+(disponibilidad[[#This Row],[Fecha y hora fin]]-disponibilidad[[#This Row],[Fecha y hora inicio]])*1440</f>
        <v>0</v>
      </c>
    </row>
    <row r="4259" spans="6:6" ht="15">
      <c r="F4259" s="115">
        <f>+(disponibilidad[[#This Row],[Fecha y hora fin]]-disponibilidad[[#This Row],[Fecha y hora inicio]])*1440</f>
        <v>0</v>
      </c>
    </row>
    <row r="4260" spans="6:6" ht="15">
      <c r="F4260" s="115">
        <f>+(disponibilidad[[#This Row],[Fecha y hora fin]]-disponibilidad[[#This Row],[Fecha y hora inicio]])*1440</f>
        <v>0</v>
      </c>
    </row>
    <row r="4261" spans="6:6" ht="15">
      <c r="F4261" s="115">
        <f>+(disponibilidad[[#This Row],[Fecha y hora fin]]-disponibilidad[[#This Row],[Fecha y hora inicio]])*1440</f>
        <v>0</v>
      </c>
    </row>
    <row r="4262" spans="6:6" ht="15">
      <c r="F4262" s="115">
        <f>+(disponibilidad[[#This Row],[Fecha y hora fin]]-disponibilidad[[#This Row],[Fecha y hora inicio]])*1440</f>
        <v>0</v>
      </c>
    </row>
    <row r="4263" spans="6:6" ht="15">
      <c r="F4263" s="115">
        <f>+(disponibilidad[[#This Row],[Fecha y hora fin]]-disponibilidad[[#This Row],[Fecha y hora inicio]])*1440</f>
        <v>0</v>
      </c>
    </row>
    <row r="4264" spans="6:6" ht="15">
      <c r="F4264" s="115">
        <f>+(disponibilidad[[#This Row],[Fecha y hora fin]]-disponibilidad[[#This Row],[Fecha y hora inicio]])*1440</f>
        <v>0</v>
      </c>
    </row>
    <row r="4265" spans="6:6" ht="15">
      <c r="F4265" s="115">
        <f>+(disponibilidad[[#This Row],[Fecha y hora fin]]-disponibilidad[[#This Row],[Fecha y hora inicio]])*1440</f>
        <v>0</v>
      </c>
    </row>
    <row r="4266" spans="6:6" ht="15">
      <c r="F4266" s="115">
        <f>+(disponibilidad[[#This Row],[Fecha y hora fin]]-disponibilidad[[#This Row],[Fecha y hora inicio]])*1440</f>
        <v>0</v>
      </c>
    </row>
    <row r="4267" spans="6:6" ht="15">
      <c r="F4267" s="115">
        <f>+(disponibilidad[[#This Row],[Fecha y hora fin]]-disponibilidad[[#This Row],[Fecha y hora inicio]])*1440</f>
        <v>0</v>
      </c>
    </row>
    <row r="4268" spans="6:6" ht="15">
      <c r="F4268" s="115">
        <f>+(disponibilidad[[#This Row],[Fecha y hora fin]]-disponibilidad[[#This Row],[Fecha y hora inicio]])*1440</f>
        <v>0</v>
      </c>
    </row>
    <row r="4269" spans="6:6" ht="15">
      <c r="F4269" s="115">
        <f>+(disponibilidad[[#This Row],[Fecha y hora fin]]-disponibilidad[[#This Row],[Fecha y hora inicio]])*1440</f>
        <v>0</v>
      </c>
    </row>
    <row r="4270" spans="6:6" ht="15">
      <c r="F4270" s="115">
        <f>+(disponibilidad[[#This Row],[Fecha y hora fin]]-disponibilidad[[#This Row],[Fecha y hora inicio]])*1440</f>
        <v>0</v>
      </c>
    </row>
    <row r="4271" spans="6:6" ht="15">
      <c r="F4271" s="115">
        <f>+(disponibilidad[[#This Row],[Fecha y hora fin]]-disponibilidad[[#This Row],[Fecha y hora inicio]])*1440</f>
        <v>0</v>
      </c>
    </row>
    <row r="4272" spans="6:6" ht="15">
      <c r="F4272" s="115">
        <f>+(disponibilidad[[#This Row],[Fecha y hora fin]]-disponibilidad[[#This Row],[Fecha y hora inicio]])*1440</f>
        <v>0</v>
      </c>
    </row>
    <row r="4273" spans="6:6" ht="15">
      <c r="F4273" s="115">
        <f>+(disponibilidad[[#This Row],[Fecha y hora fin]]-disponibilidad[[#This Row],[Fecha y hora inicio]])*1440</f>
        <v>0</v>
      </c>
    </row>
    <row r="4274" spans="6:6" ht="15">
      <c r="F4274" s="115">
        <f>+(disponibilidad[[#This Row],[Fecha y hora fin]]-disponibilidad[[#This Row],[Fecha y hora inicio]])*1440</f>
        <v>0</v>
      </c>
    </row>
    <row r="4275" spans="6:6" ht="15">
      <c r="F4275" s="115">
        <f>+(disponibilidad[[#This Row],[Fecha y hora fin]]-disponibilidad[[#This Row],[Fecha y hora inicio]])*1440</f>
        <v>0</v>
      </c>
    </row>
    <row r="4276" spans="6:6" ht="15">
      <c r="F4276" s="115">
        <f>+(disponibilidad[[#This Row],[Fecha y hora fin]]-disponibilidad[[#This Row],[Fecha y hora inicio]])*1440</f>
        <v>0</v>
      </c>
    </row>
    <row r="4277" spans="6:6" ht="15">
      <c r="F4277" s="115">
        <f>+(disponibilidad[[#This Row],[Fecha y hora fin]]-disponibilidad[[#This Row],[Fecha y hora inicio]])*1440</f>
        <v>0</v>
      </c>
    </row>
    <row r="4278" spans="6:6" ht="15">
      <c r="F4278" s="115">
        <f>+(disponibilidad[[#This Row],[Fecha y hora fin]]-disponibilidad[[#This Row],[Fecha y hora inicio]])*1440</f>
        <v>0</v>
      </c>
    </row>
    <row r="4279" spans="6:6" ht="15">
      <c r="F4279" s="115">
        <f>+(disponibilidad[[#This Row],[Fecha y hora fin]]-disponibilidad[[#This Row],[Fecha y hora inicio]])*1440</f>
        <v>0</v>
      </c>
    </row>
    <row r="4280" spans="6:6" ht="15">
      <c r="F4280" s="115">
        <f>+(disponibilidad[[#This Row],[Fecha y hora fin]]-disponibilidad[[#This Row],[Fecha y hora inicio]])*1440</f>
        <v>0</v>
      </c>
    </row>
    <row r="4281" spans="6:6" ht="15">
      <c r="F4281" s="115">
        <f>+(disponibilidad[[#This Row],[Fecha y hora fin]]-disponibilidad[[#This Row],[Fecha y hora inicio]])*1440</f>
        <v>0</v>
      </c>
    </row>
    <row r="4282" spans="6:6" ht="15">
      <c r="F4282" s="115">
        <f>+(disponibilidad[[#This Row],[Fecha y hora fin]]-disponibilidad[[#This Row],[Fecha y hora inicio]])*1440</f>
        <v>0</v>
      </c>
    </row>
    <row r="4283" spans="6:6" ht="15">
      <c r="F4283" s="115">
        <f>+(disponibilidad[[#This Row],[Fecha y hora fin]]-disponibilidad[[#This Row],[Fecha y hora inicio]])*1440</f>
        <v>0</v>
      </c>
    </row>
    <row r="4284" spans="6:6" ht="15">
      <c r="F4284" s="115">
        <f>+(disponibilidad[[#This Row],[Fecha y hora fin]]-disponibilidad[[#This Row],[Fecha y hora inicio]])*1440</f>
        <v>0</v>
      </c>
    </row>
    <row r="4285" spans="6:6" ht="15">
      <c r="F4285" s="115">
        <f>+(disponibilidad[[#This Row],[Fecha y hora fin]]-disponibilidad[[#This Row],[Fecha y hora inicio]])*1440</f>
        <v>0</v>
      </c>
    </row>
    <row r="4286" spans="6:6" ht="15">
      <c r="F4286" s="115">
        <f>+(disponibilidad[[#This Row],[Fecha y hora fin]]-disponibilidad[[#This Row],[Fecha y hora inicio]])*1440</f>
        <v>0</v>
      </c>
    </row>
    <row r="4287" spans="6:6" ht="15">
      <c r="F4287" s="115">
        <f>+(disponibilidad[[#This Row],[Fecha y hora fin]]-disponibilidad[[#This Row],[Fecha y hora inicio]])*1440</f>
        <v>0</v>
      </c>
    </row>
    <row r="4288" spans="6:6" ht="15">
      <c r="F4288" s="115">
        <f>+(disponibilidad[[#This Row],[Fecha y hora fin]]-disponibilidad[[#This Row],[Fecha y hora inicio]])*1440</f>
        <v>0</v>
      </c>
    </row>
    <row r="4289" spans="6:6" ht="15">
      <c r="F4289" s="115">
        <f>+(disponibilidad[[#This Row],[Fecha y hora fin]]-disponibilidad[[#This Row],[Fecha y hora inicio]])*1440</f>
        <v>0</v>
      </c>
    </row>
    <row r="4290" spans="6:6" ht="15">
      <c r="F4290" s="115">
        <f>+(disponibilidad[[#This Row],[Fecha y hora fin]]-disponibilidad[[#This Row],[Fecha y hora inicio]])*1440</f>
        <v>0</v>
      </c>
    </row>
    <row r="4291" spans="6:6" ht="15">
      <c r="F4291" s="115">
        <f>+(disponibilidad[[#This Row],[Fecha y hora fin]]-disponibilidad[[#This Row],[Fecha y hora inicio]])*1440</f>
        <v>0</v>
      </c>
    </row>
    <row r="4292" spans="6:6" ht="15">
      <c r="F4292" s="115">
        <f>+(disponibilidad[[#This Row],[Fecha y hora fin]]-disponibilidad[[#This Row],[Fecha y hora inicio]])*1440</f>
        <v>0</v>
      </c>
    </row>
    <row r="4293" spans="6:6" ht="15">
      <c r="F4293" s="115">
        <f>+(disponibilidad[[#This Row],[Fecha y hora fin]]-disponibilidad[[#This Row],[Fecha y hora inicio]])*1440</f>
        <v>0</v>
      </c>
    </row>
    <row r="4294" spans="6:6" ht="15">
      <c r="F4294" s="115">
        <f>+(disponibilidad[[#This Row],[Fecha y hora fin]]-disponibilidad[[#This Row],[Fecha y hora inicio]])*1440</f>
        <v>0</v>
      </c>
    </row>
    <row r="4295" spans="6:6" ht="15">
      <c r="F4295" s="115">
        <f>+(disponibilidad[[#This Row],[Fecha y hora fin]]-disponibilidad[[#This Row],[Fecha y hora inicio]])*1440</f>
        <v>0</v>
      </c>
    </row>
    <row r="4296" spans="6:6" ht="15">
      <c r="F4296" s="115">
        <f>+(disponibilidad[[#This Row],[Fecha y hora fin]]-disponibilidad[[#This Row],[Fecha y hora inicio]])*1440</f>
        <v>0</v>
      </c>
    </row>
    <row r="4297" spans="6:6" ht="15">
      <c r="F4297" s="115">
        <f>+(disponibilidad[[#This Row],[Fecha y hora fin]]-disponibilidad[[#This Row],[Fecha y hora inicio]])*1440</f>
        <v>0</v>
      </c>
    </row>
    <row r="4298" spans="6:6" ht="15">
      <c r="F4298" s="115">
        <f>+(disponibilidad[[#This Row],[Fecha y hora fin]]-disponibilidad[[#This Row],[Fecha y hora inicio]])*1440</f>
        <v>0</v>
      </c>
    </row>
    <row r="4299" spans="6:6" ht="15">
      <c r="F4299" s="115">
        <f>+(disponibilidad[[#This Row],[Fecha y hora fin]]-disponibilidad[[#This Row],[Fecha y hora inicio]])*1440</f>
        <v>0</v>
      </c>
    </row>
    <row r="4300" spans="6:6" ht="15">
      <c r="F4300" s="115">
        <f>+(disponibilidad[[#This Row],[Fecha y hora fin]]-disponibilidad[[#This Row],[Fecha y hora inicio]])*1440</f>
        <v>0</v>
      </c>
    </row>
    <row r="4301" spans="6:6" ht="15">
      <c r="F4301" s="115">
        <f>+(disponibilidad[[#This Row],[Fecha y hora fin]]-disponibilidad[[#This Row],[Fecha y hora inicio]])*1440</f>
        <v>0</v>
      </c>
    </row>
    <row r="4302" spans="6:6" ht="15">
      <c r="F4302" s="115">
        <f>+(disponibilidad[[#This Row],[Fecha y hora fin]]-disponibilidad[[#This Row],[Fecha y hora inicio]])*1440</f>
        <v>0</v>
      </c>
    </row>
    <row r="4303" spans="6:6" ht="15">
      <c r="F4303" s="115">
        <f>+(disponibilidad[[#This Row],[Fecha y hora fin]]-disponibilidad[[#This Row],[Fecha y hora inicio]])*1440</f>
        <v>0</v>
      </c>
    </row>
    <row r="4304" spans="6:6" ht="15">
      <c r="F4304" s="115">
        <f>+(disponibilidad[[#This Row],[Fecha y hora fin]]-disponibilidad[[#This Row],[Fecha y hora inicio]])*1440</f>
        <v>0</v>
      </c>
    </row>
    <row r="4305" spans="6:6" ht="15">
      <c r="F4305" s="115">
        <f>+(disponibilidad[[#This Row],[Fecha y hora fin]]-disponibilidad[[#This Row],[Fecha y hora inicio]])*1440</f>
        <v>0</v>
      </c>
    </row>
    <row r="4306" spans="6:6" ht="15">
      <c r="F4306" s="115">
        <f>+(disponibilidad[[#This Row],[Fecha y hora fin]]-disponibilidad[[#This Row],[Fecha y hora inicio]])*1440</f>
        <v>0</v>
      </c>
    </row>
    <row r="4307" spans="6:6" ht="15">
      <c r="F4307" s="115">
        <f>+(disponibilidad[[#This Row],[Fecha y hora fin]]-disponibilidad[[#This Row],[Fecha y hora inicio]])*1440</f>
        <v>0</v>
      </c>
    </row>
    <row r="4308" spans="6:6" ht="15">
      <c r="F4308" s="115">
        <f>+(disponibilidad[[#This Row],[Fecha y hora fin]]-disponibilidad[[#This Row],[Fecha y hora inicio]])*1440</f>
        <v>0</v>
      </c>
    </row>
    <row r="4309" spans="6:6" ht="15">
      <c r="F4309" s="115">
        <f>+(disponibilidad[[#This Row],[Fecha y hora fin]]-disponibilidad[[#This Row],[Fecha y hora inicio]])*1440</f>
        <v>0</v>
      </c>
    </row>
    <row r="4310" spans="6:6" ht="15">
      <c r="F4310" s="115">
        <f>+(disponibilidad[[#This Row],[Fecha y hora fin]]-disponibilidad[[#This Row],[Fecha y hora inicio]])*1440</f>
        <v>0</v>
      </c>
    </row>
    <row r="4311" spans="6:6" ht="15">
      <c r="F4311" s="115">
        <f>+(disponibilidad[[#This Row],[Fecha y hora fin]]-disponibilidad[[#This Row],[Fecha y hora inicio]])*1440</f>
        <v>0</v>
      </c>
    </row>
    <row r="4312" spans="6:6" ht="15">
      <c r="F4312" s="115">
        <f>+(disponibilidad[[#This Row],[Fecha y hora fin]]-disponibilidad[[#This Row],[Fecha y hora inicio]])*1440</f>
        <v>0</v>
      </c>
    </row>
    <row r="4313" spans="6:6" ht="15">
      <c r="F4313" s="115">
        <f>+(disponibilidad[[#This Row],[Fecha y hora fin]]-disponibilidad[[#This Row],[Fecha y hora inicio]])*1440</f>
        <v>0</v>
      </c>
    </row>
    <row r="4314" spans="6:6" ht="15">
      <c r="F4314" s="115">
        <f>+(disponibilidad[[#This Row],[Fecha y hora fin]]-disponibilidad[[#This Row],[Fecha y hora inicio]])*1440</f>
        <v>0</v>
      </c>
    </row>
    <row r="4315" spans="6:6" ht="15">
      <c r="F4315" s="115">
        <f>+(disponibilidad[[#This Row],[Fecha y hora fin]]-disponibilidad[[#This Row],[Fecha y hora inicio]])*1440</f>
        <v>0</v>
      </c>
    </row>
    <row r="4316" spans="6:6" ht="15">
      <c r="F4316" s="115">
        <f>+(disponibilidad[[#This Row],[Fecha y hora fin]]-disponibilidad[[#This Row],[Fecha y hora inicio]])*1440</f>
        <v>0</v>
      </c>
    </row>
    <row r="4317" spans="6:6" ht="15">
      <c r="F4317" s="115">
        <f>+(disponibilidad[[#This Row],[Fecha y hora fin]]-disponibilidad[[#This Row],[Fecha y hora inicio]])*1440</f>
        <v>0</v>
      </c>
    </row>
    <row r="4318" spans="6:6" ht="15">
      <c r="F4318" s="115">
        <f>+(disponibilidad[[#This Row],[Fecha y hora fin]]-disponibilidad[[#This Row],[Fecha y hora inicio]])*1440</f>
        <v>0</v>
      </c>
    </row>
    <row r="4319" spans="6:6" ht="15">
      <c r="F4319" s="115">
        <f>+(disponibilidad[[#This Row],[Fecha y hora fin]]-disponibilidad[[#This Row],[Fecha y hora inicio]])*1440</f>
        <v>0</v>
      </c>
    </row>
    <row r="4320" spans="6:6" ht="15">
      <c r="F4320" s="115">
        <f>+(disponibilidad[[#This Row],[Fecha y hora fin]]-disponibilidad[[#This Row],[Fecha y hora inicio]])*1440</f>
        <v>0</v>
      </c>
    </row>
    <row r="4321" spans="6:6" ht="15">
      <c r="F4321" s="115">
        <f>+(disponibilidad[[#This Row],[Fecha y hora fin]]-disponibilidad[[#This Row],[Fecha y hora inicio]])*1440</f>
        <v>0</v>
      </c>
    </row>
    <row r="4322" spans="6:6" ht="15">
      <c r="F4322" s="115">
        <f>+(disponibilidad[[#This Row],[Fecha y hora fin]]-disponibilidad[[#This Row],[Fecha y hora inicio]])*1440</f>
        <v>0</v>
      </c>
    </row>
    <row r="4323" spans="6:6" ht="15">
      <c r="F4323" s="115">
        <f>+(disponibilidad[[#This Row],[Fecha y hora fin]]-disponibilidad[[#This Row],[Fecha y hora inicio]])*1440</f>
        <v>0</v>
      </c>
    </row>
    <row r="4324" spans="6:6" ht="15">
      <c r="F4324" s="115">
        <f>+(disponibilidad[[#This Row],[Fecha y hora fin]]-disponibilidad[[#This Row],[Fecha y hora inicio]])*1440</f>
        <v>0</v>
      </c>
    </row>
    <row r="4325" spans="6:6" ht="15">
      <c r="F4325" s="115">
        <f>+(disponibilidad[[#This Row],[Fecha y hora fin]]-disponibilidad[[#This Row],[Fecha y hora inicio]])*1440</f>
        <v>0</v>
      </c>
    </row>
    <row r="4326" spans="6:6" ht="15">
      <c r="F4326" s="115">
        <f>+(disponibilidad[[#This Row],[Fecha y hora fin]]-disponibilidad[[#This Row],[Fecha y hora inicio]])*1440</f>
        <v>0</v>
      </c>
    </row>
    <row r="4327" spans="6:6" ht="15">
      <c r="F4327" s="115">
        <f>+(disponibilidad[[#This Row],[Fecha y hora fin]]-disponibilidad[[#This Row],[Fecha y hora inicio]])*1440</f>
        <v>0</v>
      </c>
    </row>
    <row r="4328" spans="6:6" ht="15">
      <c r="F4328" s="115">
        <f>+(disponibilidad[[#This Row],[Fecha y hora fin]]-disponibilidad[[#This Row],[Fecha y hora inicio]])*1440</f>
        <v>0</v>
      </c>
    </row>
    <row r="4329" spans="6:6" ht="15">
      <c r="F4329" s="115">
        <f>+(disponibilidad[[#This Row],[Fecha y hora fin]]-disponibilidad[[#This Row],[Fecha y hora inicio]])*1440</f>
        <v>0</v>
      </c>
    </row>
    <row r="4330" spans="6:6" ht="15">
      <c r="F4330" s="115">
        <f>+(disponibilidad[[#This Row],[Fecha y hora fin]]-disponibilidad[[#This Row],[Fecha y hora inicio]])*1440</f>
        <v>0</v>
      </c>
    </row>
    <row r="4331" spans="6:6" ht="15">
      <c r="F4331" s="115">
        <f>+(disponibilidad[[#This Row],[Fecha y hora fin]]-disponibilidad[[#This Row],[Fecha y hora inicio]])*1440</f>
        <v>0</v>
      </c>
    </row>
    <row r="4332" spans="6:6" ht="15">
      <c r="F4332" s="115">
        <f>+(disponibilidad[[#This Row],[Fecha y hora fin]]-disponibilidad[[#This Row],[Fecha y hora inicio]])*1440</f>
        <v>0</v>
      </c>
    </row>
    <row r="4333" spans="6:6" ht="15">
      <c r="F4333" s="115">
        <f>+(disponibilidad[[#This Row],[Fecha y hora fin]]-disponibilidad[[#This Row],[Fecha y hora inicio]])*1440</f>
        <v>0</v>
      </c>
    </row>
    <row r="4334" spans="6:6" ht="15">
      <c r="F4334" s="115">
        <f>+(disponibilidad[[#This Row],[Fecha y hora fin]]-disponibilidad[[#This Row],[Fecha y hora inicio]])*1440</f>
        <v>0</v>
      </c>
    </row>
    <row r="4335" spans="6:6" ht="15">
      <c r="F4335" s="115">
        <f>+(disponibilidad[[#This Row],[Fecha y hora fin]]-disponibilidad[[#This Row],[Fecha y hora inicio]])*1440</f>
        <v>0</v>
      </c>
    </row>
    <row r="4336" spans="6:6" ht="15">
      <c r="F4336" s="115">
        <f>+(disponibilidad[[#This Row],[Fecha y hora fin]]-disponibilidad[[#This Row],[Fecha y hora inicio]])*1440</f>
        <v>0</v>
      </c>
    </row>
    <row r="4337" spans="6:6" ht="15">
      <c r="F4337" s="115">
        <f>+(disponibilidad[[#This Row],[Fecha y hora fin]]-disponibilidad[[#This Row],[Fecha y hora inicio]])*1440</f>
        <v>0</v>
      </c>
    </row>
    <row r="4338" spans="6:6" ht="15">
      <c r="F4338" s="115">
        <f>+(disponibilidad[[#This Row],[Fecha y hora fin]]-disponibilidad[[#This Row],[Fecha y hora inicio]])*1440</f>
        <v>0</v>
      </c>
    </row>
    <row r="4339" spans="6:6" ht="15">
      <c r="F4339" s="115">
        <f>+(disponibilidad[[#This Row],[Fecha y hora fin]]-disponibilidad[[#This Row],[Fecha y hora inicio]])*1440</f>
        <v>0</v>
      </c>
    </row>
    <row r="4340" spans="6:6" ht="15">
      <c r="F4340" s="115">
        <f>+(disponibilidad[[#This Row],[Fecha y hora fin]]-disponibilidad[[#This Row],[Fecha y hora inicio]])*1440</f>
        <v>0</v>
      </c>
    </row>
    <row r="4341" spans="6:6" ht="15">
      <c r="F4341" s="115">
        <f>+(disponibilidad[[#This Row],[Fecha y hora fin]]-disponibilidad[[#This Row],[Fecha y hora inicio]])*1440</f>
        <v>0</v>
      </c>
    </row>
    <row r="4342" spans="6:6" ht="15">
      <c r="F4342" s="115">
        <f>+(disponibilidad[[#This Row],[Fecha y hora fin]]-disponibilidad[[#This Row],[Fecha y hora inicio]])*1440</f>
        <v>0</v>
      </c>
    </row>
    <row r="4343" spans="6:6" ht="15">
      <c r="F4343" s="115">
        <f>+(disponibilidad[[#This Row],[Fecha y hora fin]]-disponibilidad[[#This Row],[Fecha y hora inicio]])*1440</f>
        <v>0</v>
      </c>
    </row>
    <row r="4344" spans="6:6" ht="15">
      <c r="F4344" s="115">
        <f>+(disponibilidad[[#This Row],[Fecha y hora fin]]-disponibilidad[[#This Row],[Fecha y hora inicio]])*1440</f>
        <v>0</v>
      </c>
    </row>
    <row r="4345" spans="6:6" ht="15">
      <c r="F4345" s="115">
        <f>+(disponibilidad[[#This Row],[Fecha y hora fin]]-disponibilidad[[#This Row],[Fecha y hora inicio]])*1440</f>
        <v>0</v>
      </c>
    </row>
    <row r="4346" spans="6:6" ht="15">
      <c r="F4346" s="115">
        <f>+(disponibilidad[[#This Row],[Fecha y hora fin]]-disponibilidad[[#This Row],[Fecha y hora inicio]])*1440</f>
        <v>0</v>
      </c>
    </row>
    <row r="4347" spans="6:6" ht="15">
      <c r="F4347" s="115">
        <f>+(disponibilidad[[#This Row],[Fecha y hora fin]]-disponibilidad[[#This Row],[Fecha y hora inicio]])*1440</f>
        <v>0</v>
      </c>
    </row>
    <row r="4348" spans="6:6" ht="15">
      <c r="F4348" s="115">
        <f>+(disponibilidad[[#This Row],[Fecha y hora fin]]-disponibilidad[[#This Row],[Fecha y hora inicio]])*1440</f>
        <v>0</v>
      </c>
    </row>
    <row r="4349" spans="6:6" ht="15">
      <c r="F4349" s="115">
        <f>+(disponibilidad[[#This Row],[Fecha y hora fin]]-disponibilidad[[#This Row],[Fecha y hora inicio]])*1440</f>
        <v>0</v>
      </c>
    </row>
    <row r="4350" spans="6:6" ht="15">
      <c r="F4350" s="115">
        <f>+(disponibilidad[[#This Row],[Fecha y hora fin]]-disponibilidad[[#This Row],[Fecha y hora inicio]])*1440</f>
        <v>0</v>
      </c>
    </row>
    <row r="4351" spans="6:6" ht="15">
      <c r="F4351" s="115">
        <f>+(disponibilidad[[#This Row],[Fecha y hora fin]]-disponibilidad[[#This Row],[Fecha y hora inicio]])*1440</f>
        <v>0</v>
      </c>
    </row>
    <row r="4352" spans="6:6" ht="15">
      <c r="F4352" s="115">
        <f>+(disponibilidad[[#This Row],[Fecha y hora fin]]-disponibilidad[[#This Row],[Fecha y hora inicio]])*1440</f>
        <v>0</v>
      </c>
    </row>
    <row r="4353" spans="6:6" ht="15">
      <c r="F4353" s="115">
        <f>+(disponibilidad[[#This Row],[Fecha y hora fin]]-disponibilidad[[#This Row],[Fecha y hora inicio]])*1440</f>
        <v>0</v>
      </c>
    </row>
    <row r="4354" spans="6:6" ht="15">
      <c r="F4354" s="115">
        <f>+(disponibilidad[[#This Row],[Fecha y hora fin]]-disponibilidad[[#This Row],[Fecha y hora inicio]])*1440</f>
        <v>0</v>
      </c>
    </row>
    <row r="4355" spans="6:6" ht="15">
      <c r="F4355" s="115">
        <f>+(disponibilidad[[#This Row],[Fecha y hora fin]]-disponibilidad[[#This Row],[Fecha y hora inicio]])*1440</f>
        <v>0</v>
      </c>
    </row>
    <row r="4356" spans="6:6" ht="15">
      <c r="F4356" s="115">
        <f>+(disponibilidad[[#This Row],[Fecha y hora fin]]-disponibilidad[[#This Row],[Fecha y hora inicio]])*1440</f>
        <v>0</v>
      </c>
    </row>
    <row r="4357" spans="6:6" ht="15">
      <c r="F4357" s="115">
        <f>+(disponibilidad[[#This Row],[Fecha y hora fin]]-disponibilidad[[#This Row],[Fecha y hora inicio]])*1440</f>
        <v>0</v>
      </c>
    </row>
    <row r="4358" spans="6:6" ht="15">
      <c r="F4358" s="115">
        <f>+(disponibilidad[[#This Row],[Fecha y hora fin]]-disponibilidad[[#This Row],[Fecha y hora inicio]])*1440</f>
        <v>0</v>
      </c>
    </row>
    <row r="4359" spans="6:6" ht="15">
      <c r="F4359" s="115">
        <f>+(disponibilidad[[#This Row],[Fecha y hora fin]]-disponibilidad[[#This Row],[Fecha y hora inicio]])*1440</f>
        <v>0</v>
      </c>
    </row>
    <row r="4360" spans="6:6" ht="15">
      <c r="F4360" s="115">
        <f>+(disponibilidad[[#This Row],[Fecha y hora fin]]-disponibilidad[[#This Row],[Fecha y hora inicio]])*1440</f>
        <v>0</v>
      </c>
    </row>
    <row r="4361" spans="6:6" ht="15">
      <c r="F4361" s="115">
        <f>+(disponibilidad[[#This Row],[Fecha y hora fin]]-disponibilidad[[#This Row],[Fecha y hora inicio]])*1440</f>
        <v>0</v>
      </c>
    </row>
    <row r="4362" spans="6:6" ht="15">
      <c r="F4362" s="115">
        <f>+(disponibilidad[[#This Row],[Fecha y hora fin]]-disponibilidad[[#This Row],[Fecha y hora inicio]])*1440</f>
        <v>0</v>
      </c>
    </row>
    <row r="4363" spans="6:6" ht="15">
      <c r="F4363" s="115">
        <f>+(disponibilidad[[#This Row],[Fecha y hora fin]]-disponibilidad[[#This Row],[Fecha y hora inicio]])*1440</f>
        <v>0</v>
      </c>
    </row>
    <row r="4364" spans="6:6" ht="15">
      <c r="F4364" s="115">
        <f>+(disponibilidad[[#This Row],[Fecha y hora fin]]-disponibilidad[[#This Row],[Fecha y hora inicio]])*1440</f>
        <v>0</v>
      </c>
    </row>
    <row r="4365" spans="6:6" ht="15">
      <c r="F4365" s="115">
        <f>+(disponibilidad[[#This Row],[Fecha y hora fin]]-disponibilidad[[#This Row],[Fecha y hora inicio]])*1440</f>
        <v>0</v>
      </c>
    </row>
    <row r="4366" spans="6:6" ht="15">
      <c r="F4366" s="115">
        <f>+(disponibilidad[[#This Row],[Fecha y hora fin]]-disponibilidad[[#This Row],[Fecha y hora inicio]])*1440</f>
        <v>0</v>
      </c>
    </row>
    <row r="4367" spans="6:6" ht="15">
      <c r="F4367" s="115">
        <f>+(disponibilidad[[#This Row],[Fecha y hora fin]]-disponibilidad[[#This Row],[Fecha y hora inicio]])*1440</f>
        <v>0</v>
      </c>
    </row>
    <row r="4368" spans="6:6" ht="15">
      <c r="F4368" s="115">
        <f>+(disponibilidad[[#This Row],[Fecha y hora fin]]-disponibilidad[[#This Row],[Fecha y hora inicio]])*1440</f>
        <v>0</v>
      </c>
    </row>
    <row r="4369" spans="6:6" ht="15">
      <c r="F4369" s="115">
        <f>+(disponibilidad[[#This Row],[Fecha y hora fin]]-disponibilidad[[#This Row],[Fecha y hora inicio]])*1440</f>
        <v>0</v>
      </c>
    </row>
    <row r="4370" spans="6:6" ht="15">
      <c r="F4370" s="115">
        <f>+(disponibilidad[[#This Row],[Fecha y hora fin]]-disponibilidad[[#This Row],[Fecha y hora inicio]])*1440</f>
        <v>0</v>
      </c>
    </row>
    <row r="4371" spans="6:6" ht="15">
      <c r="F4371" s="115">
        <f>+(disponibilidad[[#This Row],[Fecha y hora fin]]-disponibilidad[[#This Row],[Fecha y hora inicio]])*1440</f>
        <v>0</v>
      </c>
    </row>
    <row r="4372" spans="6:6" ht="15">
      <c r="F4372" s="115">
        <f>+(disponibilidad[[#This Row],[Fecha y hora fin]]-disponibilidad[[#This Row],[Fecha y hora inicio]])*1440</f>
        <v>0</v>
      </c>
    </row>
    <row r="4373" spans="6:6" ht="15">
      <c r="F4373" s="115">
        <f>+(disponibilidad[[#This Row],[Fecha y hora fin]]-disponibilidad[[#This Row],[Fecha y hora inicio]])*1440</f>
        <v>0</v>
      </c>
    </row>
    <row r="4374" spans="6:6" ht="15">
      <c r="F4374" s="115">
        <f>+(disponibilidad[[#This Row],[Fecha y hora fin]]-disponibilidad[[#This Row],[Fecha y hora inicio]])*1440</f>
        <v>0</v>
      </c>
    </row>
    <row r="4375" spans="6:6" ht="15">
      <c r="F4375" s="115">
        <f>+(disponibilidad[[#This Row],[Fecha y hora fin]]-disponibilidad[[#This Row],[Fecha y hora inicio]])*1440</f>
        <v>0</v>
      </c>
    </row>
    <row r="4376" spans="6:6" ht="15">
      <c r="F4376" s="115">
        <f>+(disponibilidad[[#This Row],[Fecha y hora fin]]-disponibilidad[[#This Row],[Fecha y hora inicio]])*1440</f>
        <v>0</v>
      </c>
    </row>
    <row r="4377" spans="6:6" ht="15">
      <c r="F4377" s="115">
        <f>+(disponibilidad[[#This Row],[Fecha y hora fin]]-disponibilidad[[#This Row],[Fecha y hora inicio]])*1440</f>
        <v>0</v>
      </c>
    </row>
    <row r="4378" spans="6:6" ht="15">
      <c r="F4378" s="115">
        <f>+(disponibilidad[[#This Row],[Fecha y hora fin]]-disponibilidad[[#This Row],[Fecha y hora inicio]])*1440</f>
        <v>0</v>
      </c>
    </row>
    <row r="4379" spans="6:6" ht="15">
      <c r="F4379" s="115">
        <f>+(disponibilidad[[#This Row],[Fecha y hora fin]]-disponibilidad[[#This Row],[Fecha y hora inicio]])*1440</f>
        <v>0</v>
      </c>
    </row>
    <row r="4380" spans="6:6" ht="15">
      <c r="F4380" s="115">
        <f>+(disponibilidad[[#This Row],[Fecha y hora fin]]-disponibilidad[[#This Row],[Fecha y hora inicio]])*1440</f>
        <v>0</v>
      </c>
    </row>
    <row r="4381" spans="6:6" ht="15">
      <c r="F4381" s="115">
        <f>+(disponibilidad[[#This Row],[Fecha y hora fin]]-disponibilidad[[#This Row],[Fecha y hora inicio]])*1440</f>
        <v>0</v>
      </c>
    </row>
    <row r="4382" spans="6:6" ht="15">
      <c r="F4382" s="115">
        <f>+(disponibilidad[[#This Row],[Fecha y hora fin]]-disponibilidad[[#This Row],[Fecha y hora inicio]])*1440</f>
        <v>0</v>
      </c>
    </row>
    <row r="4383" spans="6:6" ht="15">
      <c r="F4383" s="115">
        <f>+(disponibilidad[[#This Row],[Fecha y hora fin]]-disponibilidad[[#This Row],[Fecha y hora inicio]])*1440</f>
        <v>0</v>
      </c>
    </row>
    <row r="4384" spans="6:6" ht="15">
      <c r="F4384" s="115">
        <f>+(disponibilidad[[#This Row],[Fecha y hora fin]]-disponibilidad[[#This Row],[Fecha y hora inicio]])*1440</f>
        <v>0</v>
      </c>
    </row>
    <row r="4385" spans="6:6" ht="15">
      <c r="F4385" s="115">
        <f>+(disponibilidad[[#This Row],[Fecha y hora fin]]-disponibilidad[[#This Row],[Fecha y hora inicio]])*1440</f>
        <v>0</v>
      </c>
    </row>
    <row r="4386" spans="6:6" ht="15">
      <c r="F4386" s="115">
        <f>+(disponibilidad[[#This Row],[Fecha y hora fin]]-disponibilidad[[#This Row],[Fecha y hora inicio]])*1440</f>
        <v>0</v>
      </c>
    </row>
    <row r="4387" spans="6:6" ht="15">
      <c r="F4387" s="115">
        <f>+(disponibilidad[[#This Row],[Fecha y hora fin]]-disponibilidad[[#This Row],[Fecha y hora inicio]])*1440</f>
        <v>0</v>
      </c>
    </row>
    <row r="4388" spans="6:6" ht="15">
      <c r="F4388" s="115">
        <f>+(disponibilidad[[#This Row],[Fecha y hora fin]]-disponibilidad[[#This Row],[Fecha y hora inicio]])*1440</f>
        <v>0</v>
      </c>
    </row>
    <row r="4389" spans="6:6" ht="15">
      <c r="F4389" s="115">
        <f>+(disponibilidad[[#This Row],[Fecha y hora fin]]-disponibilidad[[#This Row],[Fecha y hora inicio]])*1440</f>
        <v>0</v>
      </c>
    </row>
    <row r="4390" spans="6:6" ht="15">
      <c r="F4390" s="115">
        <f>+(disponibilidad[[#This Row],[Fecha y hora fin]]-disponibilidad[[#This Row],[Fecha y hora inicio]])*1440</f>
        <v>0</v>
      </c>
    </row>
    <row r="4391" spans="6:6" ht="15">
      <c r="F4391" s="115">
        <f>+(disponibilidad[[#This Row],[Fecha y hora fin]]-disponibilidad[[#This Row],[Fecha y hora inicio]])*1440</f>
        <v>0</v>
      </c>
    </row>
    <row r="4392" spans="6:6" ht="15">
      <c r="F4392" s="115">
        <f>+(disponibilidad[[#This Row],[Fecha y hora fin]]-disponibilidad[[#This Row],[Fecha y hora inicio]])*1440</f>
        <v>0</v>
      </c>
    </row>
    <row r="4393" spans="6:6" ht="15">
      <c r="F4393" s="115">
        <f>+(disponibilidad[[#This Row],[Fecha y hora fin]]-disponibilidad[[#This Row],[Fecha y hora inicio]])*1440</f>
        <v>0</v>
      </c>
    </row>
    <row r="4394" spans="6:6" ht="15">
      <c r="F4394" s="115">
        <f>+(disponibilidad[[#This Row],[Fecha y hora fin]]-disponibilidad[[#This Row],[Fecha y hora inicio]])*1440</f>
        <v>0</v>
      </c>
    </row>
    <row r="4395" spans="6:6" ht="15">
      <c r="F4395" s="115">
        <f>+(disponibilidad[[#This Row],[Fecha y hora fin]]-disponibilidad[[#This Row],[Fecha y hora inicio]])*1440</f>
        <v>0</v>
      </c>
    </row>
    <row r="4396" spans="6:6" ht="15">
      <c r="F4396" s="115">
        <f>+(disponibilidad[[#This Row],[Fecha y hora fin]]-disponibilidad[[#This Row],[Fecha y hora inicio]])*1440</f>
        <v>0</v>
      </c>
    </row>
    <row r="4397" spans="6:6" ht="15">
      <c r="F4397" s="115">
        <f>+(disponibilidad[[#This Row],[Fecha y hora fin]]-disponibilidad[[#This Row],[Fecha y hora inicio]])*1440</f>
        <v>0</v>
      </c>
    </row>
    <row r="4398" spans="6:6" ht="15">
      <c r="F4398" s="115">
        <f>+(disponibilidad[[#This Row],[Fecha y hora fin]]-disponibilidad[[#This Row],[Fecha y hora inicio]])*1440</f>
        <v>0</v>
      </c>
    </row>
    <row r="4399" spans="6:6" ht="15">
      <c r="F4399" s="115">
        <f>+(disponibilidad[[#This Row],[Fecha y hora fin]]-disponibilidad[[#This Row],[Fecha y hora inicio]])*1440</f>
        <v>0</v>
      </c>
    </row>
    <row r="4400" spans="6:6" ht="15">
      <c r="F4400" s="115">
        <f>+(disponibilidad[[#This Row],[Fecha y hora fin]]-disponibilidad[[#This Row],[Fecha y hora inicio]])*1440</f>
        <v>0</v>
      </c>
    </row>
    <row r="4401" spans="6:6" ht="15">
      <c r="F4401" s="115">
        <f>+(disponibilidad[[#This Row],[Fecha y hora fin]]-disponibilidad[[#This Row],[Fecha y hora inicio]])*1440</f>
        <v>0</v>
      </c>
    </row>
    <row r="4402" spans="6:6" ht="15">
      <c r="F4402" s="115">
        <f>+(disponibilidad[[#This Row],[Fecha y hora fin]]-disponibilidad[[#This Row],[Fecha y hora inicio]])*1440</f>
        <v>0</v>
      </c>
    </row>
    <row r="4403" spans="6:6" ht="15">
      <c r="F4403" s="115">
        <f>+(disponibilidad[[#This Row],[Fecha y hora fin]]-disponibilidad[[#This Row],[Fecha y hora inicio]])*1440</f>
        <v>0</v>
      </c>
    </row>
    <row r="4404" spans="6:6" ht="15">
      <c r="F4404" s="115">
        <f>+(disponibilidad[[#This Row],[Fecha y hora fin]]-disponibilidad[[#This Row],[Fecha y hora inicio]])*1440</f>
        <v>0</v>
      </c>
    </row>
    <row r="4405" spans="6:6" ht="15">
      <c r="F4405" s="115">
        <f>+(disponibilidad[[#This Row],[Fecha y hora fin]]-disponibilidad[[#This Row],[Fecha y hora inicio]])*1440</f>
        <v>0</v>
      </c>
    </row>
    <row r="4406" spans="6:6" ht="15">
      <c r="F4406" s="115">
        <f>+(disponibilidad[[#This Row],[Fecha y hora fin]]-disponibilidad[[#This Row],[Fecha y hora inicio]])*1440</f>
        <v>0</v>
      </c>
    </row>
    <row r="4407" spans="6:6" ht="15">
      <c r="F4407" s="115">
        <f>+(disponibilidad[[#This Row],[Fecha y hora fin]]-disponibilidad[[#This Row],[Fecha y hora inicio]])*1440</f>
        <v>0</v>
      </c>
    </row>
    <row r="4408" spans="6:6" ht="15">
      <c r="F4408" s="115">
        <f>+(disponibilidad[[#This Row],[Fecha y hora fin]]-disponibilidad[[#This Row],[Fecha y hora inicio]])*1440</f>
        <v>0</v>
      </c>
    </row>
    <row r="4409" spans="6:6" ht="15">
      <c r="F4409" s="115">
        <f>+(disponibilidad[[#This Row],[Fecha y hora fin]]-disponibilidad[[#This Row],[Fecha y hora inicio]])*1440</f>
        <v>0</v>
      </c>
    </row>
    <row r="4410" spans="6:6" ht="15">
      <c r="F4410" s="115">
        <f>+(disponibilidad[[#This Row],[Fecha y hora fin]]-disponibilidad[[#This Row],[Fecha y hora inicio]])*1440</f>
        <v>0</v>
      </c>
    </row>
    <row r="4411" spans="6:6" ht="15">
      <c r="F4411" s="115">
        <f>+(disponibilidad[[#This Row],[Fecha y hora fin]]-disponibilidad[[#This Row],[Fecha y hora inicio]])*1440</f>
        <v>0</v>
      </c>
    </row>
    <row r="4412" spans="6:6" ht="15">
      <c r="F4412" s="115">
        <f>+(disponibilidad[[#This Row],[Fecha y hora fin]]-disponibilidad[[#This Row],[Fecha y hora inicio]])*1440</f>
        <v>0</v>
      </c>
    </row>
    <row r="4413" spans="6:6" ht="15">
      <c r="F4413" s="115">
        <f>+(disponibilidad[[#This Row],[Fecha y hora fin]]-disponibilidad[[#This Row],[Fecha y hora inicio]])*1440</f>
        <v>0</v>
      </c>
    </row>
    <row r="4414" spans="6:6" ht="15">
      <c r="F4414" s="115">
        <f>+(disponibilidad[[#This Row],[Fecha y hora fin]]-disponibilidad[[#This Row],[Fecha y hora inicio]])*1440</f>
        <v>0</v>
      </c>
    </row>
    <row r="4415" spans="6:6" ht="15">
      <c r="F4415" s="115">
        <f>+(disponibilidad[[#This Row],[Fecha y hora fin]]-disponibilidad[[#This Row],[Fecha y hora inicio]])*1440</f>
        <v>0</v>
      </c>
    </row>
    <row r="4416" spans="6:6" ht="15">
      <c r="F4416" s="115">
        <f>+(disponibilidad[[#This Row],[Fecha y hora fin]]-disponibilidad[[#This Row],[Fecha y hora inicio]])*1440</f>
        <v>0</v>
      </c>
    </row>
    <row r="4417" spans="6:6" ht="15">
      <c r="F4417" s="115">
        <f>+(disponibilidad[[#This Row],[Fecha y hora fin]]-disponibilidad[[#This Row],[Fecha y hora inicio]])*1440</f>
        <v>0</v>
      </c>
    </row>
    <row r="4418" spans="6:6" ht="15">
      <c r="F4418" s="115">
        <f>+(disponibilidad[[#This Row],[Fecha y hora fin]]-disponibilidad[[#This Row],[Fecha y hora inicio]])*1440</f>
        <v>0</v>
      </c>
    </row>
    <row r="4419" spans="6:6" ht="15">
      <c r="F4419" s="115">
        <f>+(disponibilidad[[#This Row],[Fecha y hora fin]]-disponibilidad[[#This Row],[Fecha y hora inicio]])*1440</f>
        <v>0</v>
      </c>
    </row>
    <row r="4420" spans="6:6" ht="15">
      <c r="F4420" s="115">
        <f>+(disponibilidad[[#This Row],[Fecha y hora fin]]-disponibilidad[[#This Row],[Fecha y hora inicio]])*1440</f>
        <v>0</v>
      </c>
    </row>
    <row r="4421" spans="6:6" ht="15">
      <c r="F4421" s="115">
        <f>+(disponibilidad[[#This Row],[Fecha y hora fin]]-disponibilidad[[#This Row],[Fecha y hora inicio]])*1440</f>
        <v>0</v>
      </c>
    </row>
    <row r="4422" spans="6:6" ht="15">
      <c r="F4422" s="115">
        <f>+(disponibilidad[[#This Row],[Fecha y hora fin]]-disponibilidad[[#This Row],[Fecha y hora inicio]])*1440</f>
        <v>0</v>
      </c>
    </row>
    <row r="4423" spans="6:6" ht="15">
      <c r="F4423" s="115">
        <f>+(disponibilidad[[#This Row],[Fecha y hora fin]]-disponibilidad[[#This Row],[Fecha y hora inicio]])*1440</f>
        <v>0</v>
      </c>
    </row>
    <row r="4424" spans="6:6" ht="15">
      <c r="F4424" s="115">
        <f>+(disponibilidad[[#This Row],[Fecha y hora fin]]-disponibilidad[[#This Row],[Fecha y hora inicio]])*1440</f>
        <v>0</v>
      </c>
    </row>
    <row r="4425" spans="6:6" ht="15">
      <c r="F4425" s="115">
        <f>+(disponibilidad[[#This Row],[Fecha y hora fin]]-disponibilidad[[#This Row],[Fecha y hora inicio]])*1440</f>
        <v>0</v>
      </c>
    </row>
    <row r="4426" spans="6:6" ht="15">
      <c r="F4426" s="115">
        <f>+(disponibilidad[[#This Row],[Fecha y hora fin]]-disponibilidad[[#This Row],[Fecha y hora inicio]])*1440</f>
        <v>0</v>
      </c>
    </row>
    <row r="4427" spans="6:6" ht="15">
      <c r="F4427" s="115">
        <f>+(disponibilidad[[#This Row],[Fecha y hora fin]]-disponibilidad[[#This Row],[Fecha y hora inicio]])*1440</f>
        <v>0</v>
      </c>
    </row>
    <row r="4428" spans="6:6" ht="15">
      <c r="F4428" s="115">
        <f>+(disponibilidad[[#This Row],[Fecha y hora fin]]-disponibilidad[[#This Row],[Fecha y hora inicio]])*1440</f>
        <v>0</v>
      </c>
    </row>
    <row r="4429" spans="6:6" ht="15">
      <c r="F4429" s="115">
        <f>+(disponibilidad[[#This Row],[Fecha y hora fin]]-disponibilidad[[#This Row],[Fecha y hora inicio]])*1440</f>
        <v>0</v>
      </c>
    </row>
    <row r="4430" spans="6:6" ht="15">
      <c r="F4430" s="115">
        <f>+(disponibilidad[[#This Row],[Fecha y hora fin]]-disponibilidad[[#This Row],[Fecha y hora inicio]])*1440</f>
        <v>0</v>
      </c>
    </row>
    <row r="4431" spans="6:6" ht="15">
      <c r="F4431" s="115">
        <f>+(disponibilidad[[#This Row],[Fecha y hora fin]]-disponibilidad[[#This Row],[Fecha y hora inicio]])*1440</f>
        <v>0</v>
      </c>
    </row>
    <row r="4432" spans="6:6" ht="15">
      <c r="F4432" s="115">
        <f>+(disponibilidad[[#This Row],[Fecha y hora fin]]-disponibilidad[[#This Row],[Fecha y hora inicio]])*1440</f>
        <v>0</v>
      </c>
    </row>
    <row r="4433" spans="6:6" ht="15">
      <c r="F4433" s="115">
        <f>+(disponibilidad[[#This Row],[Fecha y hora fin]]-disponibilidad[[#This Row],[Fecha y hora inicio]])*1440</f>
        <v>0</v>
      </c>
    </row>
    <row r="4434" spans="6:6" ht="15">
      <c r="F4434" s="115">
        <f>+(disponibilidad[[#This Row],[Fecha y hora fin]]-disponibilidad[[#This Row],[Fecha y hora inicio]])*1440</f>
        <v>0</v>
      </c>
    </row>
    <row r="4435" spans="6:6" ht="15">
      <c r="F4435" s="115">
        <f>+(disponibilidad[[#This Row],[Fecha y hora fin]]-disponibilidad[[#This Row],[Fecha y hora inicio]])*1440</f>
        <v>0</v>
      </c>
    </row>
    <row r="4436" spans="6:6" ht="15">
      <c r="F4436" s="115">
        <f>+(disponibilidad[[#This Row],[Fecha y hora fin]]-disponibilidad[[#This Row],[Fecha y hora inicio]])*1440</f>
        <v>0</v>
      </c>
    </row>
    <row r="4437" spans="6:6" ht="15">
      <c r="F4437" s="115">
        <f>+(disponibilidad[[#This Row],[Fecha y hora fin]]-disponibilidad[[#This Row],[Fecha y hora inicio]])*1440</f>
        <v>0</v>
      </c>
    </row>
    <row r="4438" spans="6:6" ht="15">
      <c r="F4438" s="115">
        <f>+(disponibilidad[[#This Row],[Fecha y hora fin]]-disponibilidad[[#This Row],[Fecha y hora inicio]])*1440</f>
        <v>0</v>
      </c>
    </row>
    <row r="4439" spans="6:6" ht="15">
      <c r="F4439" s="115">
        <f>+(disponibilidad[[#This Row],[Fecha y hora fin]]-disponibilidad[[#This Row],[Fecha y hora inicio]])*1440</f>
        <v>0</v>
      </c>
    </row>
    <row r="4440" spans="6:6" ht="15">
      <c r="F4440" s="115">
        <f>+(disponibilidad[[#This Row],[Fecha y hora fin]]-disponibilidad[[#This Row],[Fecha y hora inicio]])*1440</f>
        <v>0</v>
      </c>
    </row>
    <row r="4441" spans="6:6" ht="15">
      <c r="F4441" s="115">
        <f>+(disponibilidad[[#This Row],[Fecha y hora fin]]-disponibilidad[[#This Row],[Fecha y hora inicio]])*1440</f>
        <v>0</v>
      </c>
    </row>
    <row r="4442" spans="6:6" ht="15">
      <c r="F4442" s="115">
        <f>+(disponibilidad[[#This Row],[Fecha y hora fin]]-disponibilidad[[#This Row],[Fecha y hora inicio]])*1440</f>
        <v>0</v>
      </c>
    </row>
    <row r="4443" spans="6:6" ht="15">
      <c r="F4443" s="115">
        <f>+(disponibilidad[[#This Row],[Fecha y hora fin]]-disponibilidad[[#This Row],[Fecha y hora inicio]])*1440</f>
        <v>0</v>
      </c>
    </row>
    <row r="4444" spans="6:6" ht="15">
      <c r="F4444" s="115">
        <f>+(disponibilidad[[#This Row],[Fecha y hora fin]]-disponibilidad[[#This Row],[Fecha y hora inicio]])*1440</f>
        <v>0</v>
      </c>
    </row>
    <row r="4445" spans="6:6" ht="15">
      <c r="F4445" s="115">
        <f>+(disponibilidad[[#This Row],[Fecha y hora fin]]-disponibilidad[[#This Row],[Fecha y hora inicio]])*1440</f>
        <v>0</v>
      </c>
    </row>
    <row r="4446" spans="6:6" ht="15">
      <c r="F4446" s="115">
        <f>+(disponibilidad[[#This Row],[Fecha y hora fin]]-disponibilidad[[#This Row],[Fecha y hora inicio]])*1440</f>
        <v>0</v>
      </c>
    </row>
    <row r="4447" spans="6:6" ht="15">
      <c r="F4447" s="115">
        <f>+(disponibilidad[[#This Row],[Fecha y hora fin]]-disponibilidad[[#This Row],[Fecha y hora inicio]])*1440</f>
        <v>0</v>
      </c>
    </row>
    <row r="4448" spans="6:6" ht="15">
      <c r="F4448" s="115">
        <f>+(disponibilidad[[#This Row],[Fecha y hora fin]]-disponibilidad[[#This Row],[Fecha y hora inicio]])*1440</f>
        <v>0</v>
      </c>
    </row>
    <row r="4449" spans="6:6" ht="15">
      <c r="F4449" s="115">
        <f>+(disponibilidad[[#This Row],[Fecha y hora fin]]-disponibilidad[[#This Row],[Fecha y hora inicio]])*1440</f>
        <v>0</v>
      </c>
    </row>
    <row r="4450" spans="6:6" ht="15">
      <c r="F4450" s="115">
        <f>+(disponibilidad[[#This Row],[Fecha y hora fin]]-disponibilidad[[#This Row],[Fecha y hora inicio]])*1440</f>
        <v>0</v>
      </c>
    </row>
    <row r="4451" spans="6:6" ht="15">
      <c r="F4451" s="115">
        <f>+(disponibilidad[[#This Row],[Fecha y hora fin]]-disponibilidad[[#This Row],[Fecha y hora inicio]])*1440</f>
        <v>0</v>
      </c>
    </row>
    <row r="4452" spans="6:6" ht="15">
      <c r="F4452" s="115">
        <f>+(disponibilidad[[#This Row],[Fecha y hora fin]]-disponibilidad[[#This Row],[Fecha y hora inicio]])*1440</f>
        <v>0</v>
      </c>
    </row>
    <row r="4453" spans="6:6" ht="15">
      <c r="F4453" s="115">
        <f>+(disponibilidad[[#This Row],[Fecha y hora fin]]-disponibilidad[[#This Row],[Fecha y hora inicio]])*1440</f>
        <v>0</v>
      </c>
    </row>
    <row r="4454" spans="6:6" ht="15">
      <c r="F4454" s="115">
        <f>+(disponibilidad[[#This Row],[Fecha y hora fin]]-disponibilidad[[#This Row],[Fecha y hora inicio]])*1440</f>
        <v>0</v>
      </c>
    </row>
    <row r="4455" spans="6:6" ht="15">
      <c r="F4455" s="115">
        <f>+(disponibilidad[[#This Row],[Fecha y hora fin]]-disponibilidad[[#This Row],[Fecha y hora inicio]])*1440</f>
        <v>0</v>
      </c>
    </row>
    <row r="4456" spans="6:6" ht="15">
      <c r="F4456" s="115">
        <f>+(disponibilidad[[#This Row],[Fecha y hora fin]]-disponibilidad[[#This Row],[Fecha y hora inicio]])*1440</f>
        <v>0</v>
      </c>
    </row>
    <row r="4457" spans="6:6" ht="15">
      <c r="F4457" s="115">
        <f>+(disponibilidad[[#This Row],[Fecha y hora fin]]-disponibilidad[[#This Row],[Fecha y hora inicio]])*1440</f>
        <v>0</v>
      </c>
    </row>
    <row r="4458" spans="6:6" ht="15">
      <c r="F4458" s="115">
        <f>+(disponibilidad[[#This Row],[Fecha y hora fin]]-disponibilidad[[#This Row],[Fecha y hora inicio]])*1440</f>
        <v>0</v>
      </c>
    </row>
    <row r="4459" spans="6:6" ht="15">
      <c r="F4459" s="115">
        <f>+(disponibilidad[[#This Row],[Fecha y hora fin]]-disponibilidad[[#This Row],[Fecha y hora inicio]])*1440</f>
        <v>0</v>
      </c>
    </row>
    <row r="4460" spans="6:6" ht="15">
      <c r="F4460" s="115">
        <f>+(disponibilidad[[#This Row],[Fecha y hora fin]]-disponibilidad[[#This Row],[Fecha y hora inicio]])*1440</f>
        <v>0</v>
      </c>
    </row>
    <row r="4461" spans="6:6" ht="15">
      <c r="F4461" s="115">
        <f>+(disponibilidad[[#This Row],[Fecha y hora fin]]-disponibilidad[[#This Row],[Fecha y hora inicio]])*1440</f>
        <v>0</v>
      </c>
    </row>
    <row r="4462" spans="6:6" ht="15">
      <c r="F4462" s="115">
        <f>+(disponibilidad[[#This Row],[Fecha y hora fin]]-disponibilidad[[#This Row],[Fecha y hora inicio]])*1440</f>
        <v>0</v>
      </c>
    </row>
    <row r="4463" spans="6:6" ht="15">
      <c r="F4463" s="115">
        <f>+(disponibilidad[[#This Row],[Fecha y hora fin]]-disponibilidad[[#This Row],[Fecha y hora inicio]])*1440</f>
        <v>0</v>
      </c>
    </row>
    <row r="4464" spans="6:6" ht="15">
      <c r="F4464" s="115">
        <f>+(disponibilidad[[#This Row],[Fecha y hora fin]]-disponibilidad[[#This Row],[Fecha y hora inicio]])*1440</f>
        <v>0</v>
      </c>
    </row>
    <row r="4465" spans="6:6" ht="15">
      <c r="F4465" s="115">
        <f>+(disponibilidad[[#This Row],[Fecha y hora fin]]-disponibilidad[[#This Row],[Fecha y hora inicio]])*1440</f>
        <v>0</v>
      </c>
    </row>
    <row r="4466" spans="6:6" ht="15">
      <c r="F4466" s="115">
        <f>+(disponibilidad[[#This Row],[Fecha y hora fin]]-disponibilidad[[#This Row],[Fecha y hora inicio]])*1440</f>
        <v>0</v>
      </c>
    </row>
    <row r="4467" spans="6:6" ht="15">
      <c r="F4467" s="115">
        <f>+(disponibilidad[[#This Row],[Fecha y hora fin]]-disponibilidad[[#This Row],[Fecha y hora inicio]])*1440</f>
        <v>0</v>
      </c>
    </row>
    <row r="4468" spans="6:6" ht="15">
      <c r="F4468" s="115">
        <f>+(disponibilidad[[#This Row],[Fecha y hora fin]]-disponibilidad[[#This Row],[Fecha y hora inicio]])*1440</f>
        <v>0</v>
      </c>
    </row>
    <row r="4469" spans="6:6" ht="15">
      <c r="F4469" s="115">
        <f>+(disponibilidad[[#This Row],[Fecha y hora fin]]-disponibilidad[[#This Row],[Fecha y hora inicio]])*1440</f>
        <v>0</v>
      </c>
    </row>
    <row r="4470" spans="6:6" ht="15">
      <c r="F4470" s="115">
        <f>+(disponibilidad[[#This Row],[Fecha y hora fin]]-disponibilidad[[#This Row],[Fecha y hora inicio]])*1440</f>
        <v>0</v>
      </c>
    </row>
    <row r="4471" spans="6:6" ht="15">
      <c r="F4471" s="115">
        <f>+(disponibilidad[[#This Row],[Fecha y hora fin]]-disponibilidad[[#This Row],[Fecha y hora inicio]])*1440</f>
        <v>0</v>
      </c>
    </row>
    <row r="4472" spans="6:6" ht="15">
      <c r="F4472" s="115">
        <f>+(disponibilidad[[#This Row],[Fecha y hora fin]]-disponibilidad[[#This Row],[Fecha y hora inicio]])*1440</f>
        <v>0</v>
      </c>
    </row>
    <row r="4473" spans="6:6" ht="15">
      <c r="F4473" s="115">
        <f>+(disponibilidad[[#This Row],[Fecha y hora fin]]-disponibilidad[[#This Row],[Fecha y hora inicio]])*1440</f>
        <v>0</v>
      </c>
    </row>
    <row r="4474" spans="6:6" ht="15">
      <c r="F4474" s="115">
        <f>+(disponibilidad[[#This Row],[Fecha y hora fin]]-disponibilidad[[#This Row],[Fecha y hora inicio]])*1440</f>
        <v>0</v>
      </c>
    </row>
    <row r="4475" spans="6:6" ht="15">
      <c r="F4475" s="115">
        <f>+(disponibilidad[[#This Row],[Fecha y hora fin]]-disponibilidad[[#This Row],[Fecha y hora inicio]])*1440</f>
        <v>0</v>
      </c>
    </row>
    <row r="4476" spans="6:6" ht="15">
      <c r="F4476" s="115">
        <f>+(disponibilidad[[#This Row],[Fecha y hora fin]]-disponibilidad[[#This Row],[Fecha y hora inicio]])*1440</f>
        <v>0</v>
      </c>
    </row>
    <row r="4477" spans="6:6" ht="15">
      <c r="F4477" s="115">
        <f>+(disponibilidad[[#This Row],[Fecha y hora fin]]-disponibilidad[[#This Row],[Fecha y hora inicio]])*1440</f>
        <v>0</v>
      </c>
    </row>
    <row r="4478" spans="6:6" ht="15">
      <c r="F4478" s="115">
        <f>+(disponibilidad[[#This Row],[Fecha y hora fin]]-disponibilidad[[#This Row],[Fecha y hora inicio]])*1440</f>
        <v>0</v>
      </c>
    </row>
    <row r="4479" spans="6:6" ht="15">
      <c r="F4479" s="115">
        <f>+(disponibilidad[[#This Row],[Fecha y hora fin]]-disponibilidad[[#This Row],[Fecha y hora inicio]])*1440</f>
        <v>0</v>
      </c>
    </row>
    <row r="4480" spans="6:6" ht="15">
      <c r="F4480" s="115">
        <f>+(disponibilidad[[#This Row],[Fecha y hora fin]]-disponibilidad[[#This Row],[Fecha y hora inicio]])*1440</f>
        <v>0</v>
      </c>
    </row>
    <row r="4481" spans="6:6" ht="15">
      <c r="F4481" s="115">
        <f>+(disponibilidad[[#This Row],[Fecha y hora fin]]-disponibilidad[[#This Row],[Fecha y hora inicio]])*1440</f>
        <v>0</v>
      </c>
    </row>
    <row r="4482" spans="6:6" ht="15">
      <c r="F4482" s="115">
        <f>+(disponibilidad[[#This Row],[Fecha y hora fin]]-disponibilidad[[#This Row],[Fecha y hora inicio]])*1440</f>
        <v>0</v>
      </c>
    </row>
    <row r="4483" spans="6:6" ht="15">
      <c r="F4483" s="115">
        <f>+(disponibilidad[[#This Row],[Fecha y hora fin]]-disponibilidad[[#This Row],[Fecha y hora inicio]])*1440</f>
        <v>0</v>
      </c>
    </row>
    <row r="4484" spans="6:6" ht="15">
      <c r="F4484" s="115">
        <f>+(disponibilidad[[#This Row],[Fecha y hora fin]]-disponibilidad[[#This Row],[Fecha y hora inicio]])*1440</f>
        <v>0</v>
      </c>
    </row>
    <row r="4485" spans="6:6" ht="15">
      <c r="F4485" s="115">
        <f>+(disponibilidad[[#This Row],[Fecha y hora fin]]-disponibilidad[[#This Row],[Fecha y hora inicio]])*1440</f>
        <v>0</v>
      </c>
    </row>
    <row r="4486" spans="6:6" ht="15">
      <c r="F4486" s="115">
        <f>+(disponibilidad[[#This Row],[Fecha y hora fin]]-disponibilidad[[#This Row],[Fecha y hora inicio]])*1440</f>
        <v>0</v>
      </c>
    </row>
    <row r="4487" spans="6:6" ht="15">
      <c r="F4487" s="115">
        <f>+(disponibilidad[[#This Row],[Fecha y hora fin]]-disponibilidad[[#This Row],[Fecha y hora inicio]])*1440</f>
        <v>0</v>
      </c>
    </row>
    <row r="4488" spans="6:6" ht="15">
      <c r="F4488" s="115">
        <f>+(disponibilidad[[#This Row],[Fecha y hora fin]]-disponibilidad[[#This Row],[Fecha y hora inicio]])*1440</f>
        <v>0</v>
      </c>
    </row>
    <row r="4489" spans="6:6" ht="15">
      <c r="F4489" s="115">
        <f>+(disponibilidad[[#This Row],[Fecha y hora fin]]-disponibilidad[[#This Row],[Fecha y hora inicio]])*1440</f>
        <v>0</v>
      </c>
    </row>
    <row r="4490" spans="6:6" ht="15">
      <c r="F4490" s="115">
        <f>+(disponibilidad[[#This Row],[Fecha y hora fin]]-disponibilidad[[#This Row],[Fecha y hora inicio]])*1440</f>
        <v>0</v>
      </c>
    </row>
    <row r="4491" spans="6:6" ht="15">
      <c r="F4491" s="115">
        <f>+(disponibilidad[[#This Row],[Fecha y hora fin]]-disponibilidad[[#This Row],[Fecha y hora inicio]])*1440</f>
        <v>0</v>
      </c>
    </row>
    <row r="4492" spans="6:6" ht="15">
      <c r="F4492" s="115">
        <f>+(disponibilidad[[#This Row],[Fecha y hora fin]]-disponibilidad[[#This Row],[Fecha y hora inicio]])*1440</f>
        <v>0</v>
      </c>
    </row>
    <row r="4493" spans="6:6" ht="15">
      <c r="F4493" s="115">
        <f>+(disponibilidad[[#This Row],[Fecha y hora fin]]-disponibilidad[[#This Row],[Fecha y hora inicio]])*1440</f>
        <v>0</v>
      </c>
    </row>
    <row r="4494" spans="6:6" ht="15">
      <c r="F4494" s="115">
        <f>+(disponibilidad[[#This Row],[Fecha y hora fin]]-disponibilidad[[#This Row],[Fecha y hora inicio]])*1440</f>
        <v>0</v>
      </c>
    </row>
    <row r="4495" spans="6:6" ht="15">
      <c r="F4495" s="115">
        <f>+(disponibilidad[[#This Row],[Fecha y hora fin]]-disponibilidad[[#This Row],[Fecha y hora inicio]])*1440</f>
        <v>0</v>
      </c>
    </row>
    <row r="4496" spans="6:6" ht="15">
      <c r="F4496" s="115">
        <f>+(disponibilidad[[#This Row],[Fecha y hora fin]]-disponibilidad[[#This Row],[Fecha y hora inicio]])*1440</f>
        <v>0</v>
      </c>
    </row>
    <row r="4497" spans="6:6" ht="15">
      <c r="F4497" s="115">
        <f>+(disponibilidad[[#This Row],[Fecha y hora fin]]-disponibilidad[[#This Row],[Fecha y hora inicio]])*1440</f>
        <v>0</v>
      </c>
    </row>
    <row r="4498" spans="6:6" ht="15">
      <c r="F4498" s="115">
        <f>+(disponibilidad[[#This Row],[Fecha y hora fin]]-disponibilidad[[#This Row],[Fecha y hora inicio]])*1440</f>
        <v>0</v>
      </c>
    </row>
    <row r="4499" spans="6:6" ht="15">
      <c r="F4499" s="115">
        <f>+(disponibilidad[[#This Row],[Fecha y hora fin]]-disponibilidad[[#This Row],[Fecha y hora inicio]])*1440</f>
        <v>0</v>
      </c>
    </row>
    <row r="4500" spans="6:6" ht="15">
      <c r="F4500" s="115">
        <f>+(disponibilidad[[#This Row],[Fecha y hora fin]]-disponibilidad[[#This Row],[Fecha y hora inicio]])*1440</f>
        <v>0</v>
      </c>
    </row>
    <row r="4501" spans="6:6" ht="15">
      <c r="F4501" s="115">
        <f>+(disponibilidad[[#This Row],[Fecha y hora fin]]-disponibilidad[[#This Row],[Fecha y hora inicio]])*1440</f>
        <v>0</v>
      </c>
    </row>
    <row r="4502" spans="6:6" ht="15">
      <c r="F4502" s="115">
        <f>+(disponibilidad[[#This Row],[Fecha y hora fin]]-disponibilidad[[#This Row],[Fecha y hora inicio]])*1440</f>
        <v>0</v>
      </c>
    </row>
    <row r="4503" spans="6:6" ht="15">
      <c r="F4503" s="115">
        <f>+(disponibilidad[[#This Row],[Fecha y hora fin]]-disponibilidad[[#This Row],[Fecha y hora inicio]])*1440</f>
        <v>0</v>
      </c>
    </row>
    <row r="4504" spans="6:6" ht="15">
      <c r="F4504" s="115">
        <f>+(disponibilidad[[#This Row],[Fecha y hora fin]]-disponibilidad[[#This Row],[Fecha y hora inicio]])*1440</f>
        <v>0</v>
      </c>
    </row>
    <row r="4505" spans="6:6" ht="15">
      <c r="F4505" s="115">
        <f>+(disponibilidad[[#This Row],[Fecha y hora fin]]-disponibilidad[[#This Row],[Fecha y hora inicio]])*1440</f>
        <v>0</v>
      </c>
    </row>
    <row r="4506" spans="6:6" ht="15">
      <c r="F4506" s="115">
        <f>+(disponibilidad[[#This Row],[Fecha y hora fin]]-disponibilidad[[#This Row],[Fecha y hora inicio]])*1440</f>
        <v>0</v>
      </c>
    </row>
    <row r="4507" spans="6:6" ht="15">
      <c r="F4507" s="115">
        <f>+(disponibilidad[[#This Row],[Fecha y hora fin]]-disponibilidad[[#This Row],[Fecha y hora inicio]])*1440</f>
        <v>0</v>
      </c>
    </row>
    <row r="4508" spans="6:6" ht="15">
      <c r="F4508" s="115">
        <f>+(disponibilidad[[#This Row],[Fecha y hora fin]]-disponibilidad[[#This Row],[Fecha y hora inicio]])*1440</f>
        <v>0</v>
      </c>
    </row>
    <row r="4509" spans="6:6" ht="15">
      <c r="F4509" s="115">
        <f>+(disponibilidad[[#This Row],[Fecha y hora fin]]-disponibilidad[[#This Row],[Fecha y hora inicio]])*1440</f>
        <v>0</v>
      </c>
    </row>
    <row r="4510" spans="6:6" ht="15">
      <c r="F4510" s="115">
        <f>+(disponibilidad[[#This Row],[Fecha y hora fin]]-disponibilidad[[#This Row],[Fecha y hora inicio]])*1440</f>
        <v>0</v>
      </c>
    </row>
    <row r="4511" spans="6:6" ht="15">
      <c r="F4511" s="115">
        <f>+(disponibilidad[[#This Row],[Fecha y hora fin]]-disponibilidad[[#This Row],[Fecha y hora inicio]])*1440</f>
        <v>0</v>
      </c>
    </row>
    <row r="4512" spans="6:6" ht="15">
      <c r="F4512" s="115">
        <f>+(disponibilidad[[#This Row],[Fecha y hora fin]]-disponibilidad[[#This Row],[Fecha y hora inicio]])*1440</f>
        <v>0</v>
      </c>
    </row>
    <row r="4513" spans="6:6" ht="15">
      <c r="F4513" s="115">
        <f>+(disponibilidad[[#This Row],[Fecha y hora fin]]-disponibilidad[[#This Row],[Fecha y hora inicio]])*1440</f>
        <v>0</v>
      </c>
    </row>
    <row r="4514" spans="6:6" ht="15">
      <c r="F4514" s="115">
        <f>+(disponibilidad[[#This Row],[Fecha y hora fin]]-disponibilidad[[#This Row],[Fecha y hora inicio]])*1440</f>
        <v>0</v>
      </c>
    </row>
    <row r="4515" spans="6:6" ht="15">
      <c r="F4515" s="115">
        <f>+(disponibilidad[[#This Row],[Fecha y hora fin]]-disponibilidad[[#This Row],[Fecha y hora inicio]])*1440</f>
        <v>0</v>
      </c>
    </row>
    <row r="4516" spans="6:6" ht="15">
      <c r="F4516" s="115">
        <f>+(disponibilidad[[#This Row],[Fecha y hora fin]]-disponibilidad[[#This Row],[Fecha y hora inicio]])*1440</f>
        <v>0</v>
      </c>
    </row>
    <row r="4517" spans="6:6" ht="15">
      <c r="F4517" s="115">
        <f>+(disponibilidad[[#This Row],[Fecha y hora fin]]-disponibilidad[[#This Row],[Fecha y hora inicio]])*1440</f>
        <v>0</v>
      </c>
    </row>
    <row r="4518" spans="6:6" ht="15">
      <c r="F4518" s="115">
        <f>+(disponibilidad[[#This Row],[Fecha y hora fin]]-disponibilidad[[#This Row],[Fecha y hora inicio]])*1440</f>
        <v>0</v>
      </c>
    </row>
    <row r="4519" spans="6:6" ht="15">
      <c r="F4519" s="115">
        <f>+(disponibilidad[[#This Row],[Fecha y hora fin]]-disponibilidad[[#This Row],[Fecha y hora inicio]])*1440</f>
        <v>0</v>
      </c>
    </row>
    <row r="4520" spans="6:6" ht="15">
      <c r="F4520" s="115">
        <f>+(disponibilidad[[#This Row],[Fecha y hora fin]]-disponibilidad[[#This Row],[Fecha y hora inicio]])*1440</f>
        <v>0</v>
      </c>
    </row>
    <row r="4521" spans="6:6" ht="15">
      <c r="F4521" s="115">
        <f>+(disponibilidad[[#This Row],[Fecha y hora fin]]-disponibilidad[[#This Row],[Fecha y hora inicio]])*1440</f>
        <v>0</v>
      </c>
    </row>
    <row r="4522" spans="6:6" ht="15">
      <c r="F4522" s="115">
        <f>+(disponibilidad[[#This Row],[Fecha y hora fin]]-disponibilidad[[#This Row],[Fecha y hora inicio]])*1440</f>
        <v>0</v>
      </c>
    </row>
    <row r="4523" spans="6:6" ht="15">
      <c r="F4523" s="115">
        <f>+(disponibilidad[[#This Row],[Fecha y hora fin]]-disponibilidad[[#This Row],[Fecha y hora inicio]])*1440</f>
        <v>0</v>
      </c>
    </row>
    <row r="4524" spans="6:6" ht="15">
      <c r="F4524" s="115">
        <f>+(disponibilidad[[#This Row],[Fecha y hora fin]]-disponibilidad[[#This Row],[Fecha y hora inicio]])*1440</f>
        <v>0</v>
      </c>
    </row>
    <row r="4525" spans="6:6" ht="15">
      <c r="F4525" s="115">
        <f>+(disponibilidad[[#This Row],[Fecha y hora fin]]-disponibilidad[[#This Row],[Fecha y hora inicio]])*1440</f>
        <v>0</v>
      </c>
    </row>
    <row r="4526" spans="6:6" ht="15">
      <c r="F4526" s="115">
        <f>+(disponibilidad[[#This Row],[Fecha y hora fin]]-disponibilidad[[#This Row],[Fecha y hora inicio]])*1440</f>
        <v>0</v>
      </c>
    </row>
    <row r="4527" spans="6:6" ht="15">
      <c r="F4527" s="115">
        <f>+(disponibilidad[[#This Row],[Fecha y hora fin]]-disponibilidad[[#This Row],[Fecha y hora inicio]])*1440</f>
        <v>0</v>
      </c>
    </row>
    <row r="4528" spans="6:6" ht="15">
      <c r="F4528" s="115">
        <f>+(disponibilidad[[#This Row],[Fecha y hora fin]]-disponibilidad[[#This Row],[Fecha y hora inicio]])*1440</f>
        <v>0</v>
      </c>
    </row>
    <row r="4529" spans="6:6" ht="15">
      <c r="F4529" s="115">
        <f>+(disponibilidad[[#This Row],[Fecha y hora fin]]-disponibilidad[[#This Row],[Fecha y hora inicio]])*1440</f>
        <v>0</v>
      </c>
    </row>
    <row r="4530" spans="6:6" ht="15">
      <c r="F4530" s="115">
        <f>+(disponibilidad[[#This Row],[Fecha y hora fin]]-disponibilidad[[#This Row],[Fecha y hora inicio]])*1440</f>
        <v>0</v>
      </c>
    </row>
    <row r="4531" spans="6:6" ht="15">
      <c r="F4531" s="115">
        <f>+(disponibilidad[[#This Row],[Fecha y hora fin]]-disponibilidad[[#This Row],[Fecha y hora inicio]])*1440</f>
        <v>0</v>
      </c>
    </row>
    <row r="4532" spans="6:6" ht="15">
      <c r="F4532" s="115">
        <f>+(disponibilidad[[#This Row],[Fecha y hora fin]]-disponibilidad[[#This Row],[Fecha y hora inicio]])*1440</f>
        <v>0</v>
      </c>
    </row>
    <row r="4533" spans="6:6" ht="15">
      <c r="F4533" s="115">
        <f>+(disponibilidad[[#This Row],[Fecha y hora fin]]-disponibilidad[[#This Row],[Fecha y hora inicio]])*1440</f>
        <v>0</v>
      </c>
    </row>
    <row r="4534" spans="6:6" ht="15">
      <c r="F4534" s="115">
        <f>+(disponibilidad[[#This Row],[Fecha y hora fin]]-disponibilidad[[#This Row],[Fecha y hora inicio]])*1440</f>
        <v>0</v>
      </c>
    </row>
    <row r="4535" spans="6:6" ht="15">
      <c r="F4535" s="115">
        <f>+(disponibilidad[[#This Row],[Fecha y hora fin]]-disponibilidad[[#This Row],[Fecha y hora inicio]])*1440</f>
        <v>0</v>
      </c>
    </row>
    <row r="4536" spans="6:6" ht="15">
      <c r="F4536" s="115">
        <f>+(disponibilidad[[#This Row],[Fecha y hora fin]]-disponibilidad[[#This Row],[Fecha y hora inicio]])*1440</f>
        <v>0</v>
      </c>
    </row>
    <row r="4537" spans="6:6" ht="15">
      <c r="F4537" s="115">
        <f>+(disponibilidad[[#This Row],[Fecha y hora fin]]-disponibilidad[[#This Row],[Fecha y hora inicio]])*1440</f>
        <v>0</v>
      </c>
    </row>
    <row r="4538" spans="6:6" ht="15">
      <c r="F4538" s="115">
        <f>+(disponibilidad[[#This Row],[Fecha y hora fin]]-disponibilidad[[#This Row],[Fecha y hora inicio]])*1440</f>
        <v>0</v>
      </c>
    </row>
    <row r="4539" spans="6:6" ht="15">
      <c r="F4539" s="115">
        <f>+(disponibilidad[[#This Row],[Fecha y hora fin]]-disponibilidad[[#This Row],[Fecha y hora inicio]])*1440</f>
        <v>0</v>
      </c>
    </row>
    <row r="4540" spans="6:6" ht="15">
      <c r="F4540" s="115">
        <f>+(disponibilidad[[#This Row],[Fecha y hora fin]]-disponibilidad[[#This Row],[Fecha y hora inicio]])*1440</f>
        <v>0</v>
      </c>
    </row>
    <row r="4541" spans="6:6" ht="15">
      <c r="F4541" s="115">
        <f>+(disponibilidad[[#This Row],[Fecha y hora fin]]-disponibilidad[[#This Row],[Fecha y hora inicio]])*1440</f>
        <v>0</v>
      </c>
    </row>
    <row r="4542" spans="6:6" ht="15">
      <c r="F4542" s="115">
        <f>+(disponibilidad[[#This Row],[Fecha y hora fin]]-disponibilidad[[#This Row],[Fecha y hora inicio]])*1440</f>
        <v>0</v>
      </c>
    </row>
    <row r="4543" spans="6:6" ht="15">
      <c r="F4543" s="115">
        <f>+(disponibilidad[[#This Row],[Fecha y hora fin]]-disponibilidad[[#This Row],[Fecha y hora inicio]])*1440</f>
        <v>0</v>
      </c>
    </row>
    <row r="4544" spans="6:6" ht="15">
      <c r="F4544" s="115">
        <f>+(disponibilidad[[#This Row],[Fecha y hora fin]]-disponibilidad[[#This Row],[Fecha y hora inicio]])*1440</f>
        <v>0</v>
      </c>
    </row>
    <row r="4545" spans="6:6" ht="15">
      <c r="F4545" s="115">
        <f>+(disponibilidad[[#This Row],[Fecha y hora fin]]-disponibilidad[[#This Row],[Fecha y hora inicio]])*1440</f>
        <v>0</v>
      </c>
    </row>
    <row r="4546" spans="6:6" ht="15">
      <c r="F4546" s="115">
        <f>+(disponibilidad[[#This Row],[Fecha y hora fin]]-disponibilidad[[#This Row],[Fecha y hora inicio]])*1440</f>
        <v>0</v>
      </c>
    </row>
    <row r="4547" spans="6:6" ht="15">
      <c r="F4547" s="115">
        <f>+(disponibilidad[[#This Row],[Fecha y hora fin]]-disponibilidad[[#This Row],[Fecha y hora inicio]])*1440</f>
        <v>0</v>
      </c>
    </row>
    <row r="4548" spans="6:6" ht="15">
      <c r="F4548" s="115">
        <f>+(disponibilidad[[#This Row],[Fecha y hora fin]]-disponibilidad[[#This Row],[Fecha y hora inicio]])*1440</f>
        <v>0</v>
      </c>
    </row>
    <row r="4549" spans="6:6" ht="15">
      <c r="F4549" s="115">
        <f>+(disponibilidad[[#This Row],[Fecha y hora fin]]-disponibilidad[[#This Row],[Fecha y hora inicio]])*1440</f>
        <v>0</v>
      </c>
    </row>
    <row r="4550" spans="6:6" ht="15">
      <c r="F4550" s="115">
        <f>+(disponibilidad[[#This Row],[Fecha y hora fin]]-disponibilidad[[#This Row],[Fecha y hora inicio]])*1440</f>
        <v>0</v>
      </c>
    </row>
    <row r="4551" spans="6:6" ht="15">
      <c r="F4551" s="115">
        <f>+(disponibilidad[[#This Row],[Fecha y hora fin]]-disponibilidad[[#This Row],[Fecha y hora inicio]])*1440</f>
        <v>0</v>
      </c>
    </row>
    <row r="4552" spans="6:6" ht="15">
      <c r="F4552" s="115">
        <f>+(disponibilidad[[#This Row],[Fecha y hora fin]]-disponibilidad[[#This Row],[Fecha y hora inicio]])*1440</f>
        <v>0</v>
      </c>
    </row>
    <row r="4553" spans="6:6" ht="15">
      <c r="F4553" s="115">
        <f>+(disponibilidad[[#This Row],[Fecha y hora fin]]-disponibilidad[[#This Row],[Fecha y hora inicio]])*1440</f>
        <v>0</v>
      </c>
    </row>
    <row r="4554" spans="6:6" ht="15">
      <c r="F4554" s="115">
        <f>+(disponibilidad[[#This Row],[Fecha y hora fin]]-disponibilidad[[#This Row],[Fecha y hora inicio]])*1440</f>
        <v>0</v>
      </c>
    </row>
    <row r="4555" spans="6:6" ht="15">
      <c r="F4555" s="115">
        <f>+(disponibilidad[[#This Row],[Fecha y hora fin]]-disponibilidad[[#This Row],[Fecha y hora inicio]])*1440</f>
        <v>0</v>
      </c>
    </row>
    <row r="4556" spans="6:6" ht="15">
      <c r="F4556" s="115">
        <f>+(disponibilidad[[#This Row],[Fecha y hora fin]]-disponibilidad[[#This Row],[Fecha y hora inicio]])*1440</f>
        <v>0</v>
      </c>
    </row>
    <row r="4557" spans="6:6" ht="15">
      <c r="F4557" s="115">
        <f>+(disponibilidad[[#This Row],[Fecha y hora fin]]-disponibilidad[[#This Row],[Fecha y hora inicio]])*1440</f>
        <v>0</v>
      </c>
    </row>
    <row r="4558" spans="6:6" ht="15">
      <c r="F4558" s="115">
        <f>+(disponibilidad[[#This Row],[Fecha y hora fin]]-disponibilidad[[#This Row],[Fecha y hora inicio]])*1440</f>
        <v>0</v>
      </c>
    </row>
    <row r="4559" spans="6:6" ht="15">
      <c r="F4559" s="115">
        <f>+(disponibilidad[[#This Row],[Fecha y hora fin]]-disponibilidad[[#This Row],[Fecha y hora inicio]])*1440</f>
        <v>0</v>
      </c>
    </row>
    <row r="4560" spans="6:6" ht="15">
      <c r="F4560" s="115">
        <f>+(disponibilidad[[#This Row],[Fecha y hora fin]]-disponibilidad[[#This Row],[Fecha y hora inicio]])*1440</f>
        <v>0</v>
      </c>
    </row>
    <row r="4561" spans="6:6" ht="15">
      <c r="F4561" s="115">
        <f>+(disponibilidad[[#This Row],[Fecha y hora fin]]-disponibilidad[[#This Row],[Fecha y hora inicio]])*1440</f>
        <v>0</v>
      </c>
    </row>
    <row r="4562" spans="6:6" ht="15">
      <c r="F4562" s="115">
        <f>+(disponibilidad[[#This Row],[Fecha y hora fin]]-disponibilidad[[#This Row],[Fecha y hora inicio]])*1440</f>
        <v>0</v>
      </c>
    </row>
    <row r="4563" spans="6:6" ht="15">
      <c r="F4563" s="115">
        <f>+(disponibilidad[[#This Row],[Fecha y hora fin]]-disponibilidad[[#This Row],[Fecha y hora inicio]])*1440</f>
        <v>0</v>
      </c>
    </row>
    <row r="4564" spans="6:6" ht="15">
      <c r="F4564" s="115">
        <f>+(disponibilidad[[#This Row],[Fecha y hora fin]]-disponibilidad[[#This Row],[Fecha y hora inicio]])*1440</f>
        <v>0</v>
      </c>
    </row>
    <row r="4565" spans="6:6" ht="15">
      <c r="F4565" s="115">
        <f>+(disponibilidad[[#This Row],[Fecha y hora fin]]-disponibilidad[[#This Row],[Fecha y hora inicio]])*1440</f>
        <v>0</v>
      </c>
    </row>
    <row r="4566" spans="6:6" ht="15">
      <c r="F4566" s="115">
        <f>+(disponibilidad[[#This Row],[Fecha y hora fin]]-disponibilidad[[#This Row],[Fecha y hora inicio]])*1440</f>
        <v>0</v>
      </c>
    </row>
    <row r="4567" spans="6:6" ht="15">
      <c r="F4567" s="115">
        <f>+(disponibilidad[[#This Row],[Fecha y hora fin]]-disponibilidad[[#This Row],[Fecha y hora inicio]])*1440</f>
        <v>0</v>
      </c>
    </row>
    <row r="4568" spans="6:6" ht="15">
      <c r="F4568" s="115">
        <f>+(disponibilidad[[#This Row],[Fecha y hora fin]]-disponibilidad[[#This Row],[Fecha y hora inicio]])*1440</f>
        <v>0</v>
      </c>
    </row>
    <row r="4569" spans="6:6" ht="15">
      <c r="F4569" s="115">
        <f>+(disponibilidad[[#This Row],[Fecha y hora fin]]-disponibilidad[[#This Row],[Fecha y hora inicio]])*1440</f>
        <v>0</v>
      </c>
    </row>
    <row r="4570" spans="6:6" ht="15">
      <c r="F4570" s="115">
        <f>+(disponibilidad[[#This Row],[Fecha y hora fin]]-disponibilidad[[#This Row],[Fecha y hora inicio]])*1440</f>
        <v>0</v>
      </c>
    </row>
    <row r="4571" spans="6:6" ht="15">
      <c r="F4571" s="115">
        <f>+(disponibilidad[[#This Row],[Fecha y hora fin]]-disponibilidad[[#This Row],[Fecha y hora inicio]])*1440</f>
        <v>0</v>
      </c>
    </row>
    <row r="4572" spans="6:6" ht="15">
      <c r="F4572" s="115">
        <f>+(disponibilidad[[#This Row],[Fecha y hora fin]]-disponibilidad[[#This Row],[Fecha y hora inicio]])*1440</f>
        <v>0</v>
      </c>
    </row>
    <row r="4573" spans="6:6" ht="15">
      <c r="F4573" s="115">
        <f>+(disponibilidad[[#This Row],[Fecha y hora fin]]-disponibilidad[[#This Row],[Fecha y hora inicio]])*1440</f>
        <v>0</v>
      </c>
    </row>
    <row r="4574" spans="6:6" ht="15">
      <c r="F4574" s="115">
        <f>+(disponibilidad[[#This Row],[Fecha y hora fin]]-disponibilidad[[#This Row],[Fecha y hora inicio]])*1440</f>
        <v>0</v>
      </c>
    </row>
    <row r="4575" spans="6:6" ht="15">
      <c r="F4575" s="115">
        <f>+(disponibilidad[[#This Row],[Fecha y hora fin]]-disponibilidad[[#This Row],[Fecha y hora inicio]])*1440</f>
        <v>0</v>
      </c>
    </row>
    <row r="4576" spans="6:6" ht="15">
      <c r="F4576" s="115">
        <f>+(disponibilidad[[#This Row],[Fecha y hora fin]]-disponibilidad[[#This Row],[Fecha y hora inicio]])*1440</f>
        <v>0</v>
      </c>
    </row>
    <row r="4577" spans="6:6" ht="15">
      <c r="F4577" s="115">
        <f>+(disponibilidad[[#This Row],[Fecha y hora fin]]-disponibilidad[[#This Row],[Fecha y hora inicio]])*1440</f>
        <v>0</v>
      </c>
    </row>
    <row r="4578" spans="6:6" ht="15">
      <c r="F4578" s="115">
        <f>+(disponibilidad[[#This Row],[Fecha y hora fin]]-disponibilidad[[#This Row],[Fecha y hora inicio]])*1440</f>
        <v>0</v>
      </c>
    </row>
    <row r="4579" spans="6:6" ht="15">
      <c r="F4579" s="115">
        <f>+(disponibilidad[[#This Row],[Fecha y hora fin]]-disponibilidad[[#This Row],[Fecha y hora inicio]])*1440</f>
        <v>0</v>
      </c>
    </row>
    <row r="4580" spans="6:6" ht="15">
      <c r="F4580" s="115">
        <f>+(disponibilidad[[#This Row],[Fecha y hora fin]]-disponibilidad[[#This Row],[Fecha y hora inicio]])*1440</f>
        <v>0</v>
      </c>
    </row>
    <row r="4581" spans="6:6" ht="15">
      <c r="F4581" s="115">
        <f>+(disponibilidad[[#This Row],[Fecha y hora fin]]-disponibilidad[[#This Row],[Fecha y hora inicio]])*1440</f>
        <v>0</v>
      </c>
    </row>
    <row r="4582" spans="6:6" ht="15">
      <c r="F4582" s="115">
        <f>+(disponibilidad[[#This Row],[Fecha y hora fin]]-disponibilidad[[#This Row],[Fecha y hora inicio]])*1440</f>
        <v>0</v>
      </c>
    </row>
    <row r="4583" spans="6:6" ht="15">
      <c r="F4583" s="115">
        <f>+(disponibilidad[[#This Row],[Fecha y hora fin]]-disponibilidad[[#This Row],[Fecha y hora inicio]])*1440</f>
        <v>0</v>
      </c>
    </row>
    <row r="4584" spans="6:6" ht="15">
      <c r="F4584" s="115">
        <f>+(disponibilidad[[#This Row],[Fecha y hora fin]]-disponibilidad[[#This Row],[Fecha y hora inicio]])*1440</f>
        <v>0</v>
      </c>
    </row>
    <row r="4585" spans="6:6" ht="15">
      <c r="F4585" s="115">
        <f>+(disponibilidad[[#This Row],[Fecha y hora fin]]-disponibilidad[[#This Row],[Fecha y hora inicio]])*1440</f>
        <v>0</v>
      </c>
    </row>
    <row r="4586" spans="6:6" ht="15">
      <c r="F4586" s="115">
        <f>+(disponibilidad[[#This Row],[Fecha y hora fin]]-disponibilidad[[#This Row],[Fecha y hora inicio]])*1440</f>
        <v>0</v>
      </c>
    </row>
    <row r="4587" spans="6:6" ht="15">
      <c r="F4587" s="115">
        <f>+(disponibilidad[[#This Row],[Fecha y hora fin]]-disponibilidad[[#This Row],[Fecha y hora inicio]])*1440</f>
        <v>0</v>
      </c>
    </row>
    <row r="4588" spans="6:6" ht="15">
      <c r="F4588" s="115">
        <f>+(disponibilidad[[#This Row],[Fecha y hora fin]]-disponibilidad[[#This Row],[Fecha y hora inicio]])*1440</f>
        <v>0</v>
      </c>
    </row>
    <row r="4589" spans="6:6" ht="15">
      <c r="F4589" s="115">
        <f>+(disponibilidad[[#This Row],[Fecha y hora fin]]-disponibilidad[[#This Row],[Fecha y hora inicio]])*1440</f>
        <v>0</v>
      </c>
    </row>
    <row r="4590" spans="6:6" ht="15">
      <c r="F4590" s="115">
        <f>+(disponibilidad[[#This Row],[Fecha y hora fin]]-disponibilidad[[#This Row],[Fecha y hora inicio]])*1440</f>
        <v>0</v>
      </c>
    </row>
    <row r="4591" spans="6:6" ht="15">
      <c r="F4591" s="115">
        <f>+(disponibilidad[[#This Row],[Fecha y hora fin]]-disponibilidad[[#This Row],[Fecha y hora inicio]])*1440</f>
        <v>0</v>
      </c>
    </row>
    <row r="4592" spans="6:6" ht="15">
      <c r="F4592" s="115">
        <f>+(disponibilidad[[#This Row],[Fecha y hora fin]]-disponibilidad[[#This Row],[Fecha y hora inicio]])*1440</f>
        <v>0</v>
      </c>
    </row>
    <row r="4593" spans="6:6" ht="15">
      <c r="F4593" s="115">
        <f>+(disponibilidad[[#This Row],[Fecha y hora fin]]-disponibilidad[[#This Row],[Fecha y hora inicio]])*1440</f>
        <v>0</v>
      </c>
    </row>
    <row r="4594" spans="6:6" ht="15">
      <c r="F4594" s="115">
        <f>+(disponibilidad[[#This Row],[Fecha y hora fin]]-disponibilidad[[#This Row],[Fecha y hora inicio]])*1440</f>
        <v>0</v>
      </c>
    </row>
    <row r="4595" spans="6:6" ht="15">
      <c r="F4595" s="115">
        <f>+(disponibilidad[[#This Row],[Fecha y hora fin]]-disponibilidad[[#This Row],[Fecha y hora inicio]])*1440</f>
        <v>0</v>
      </c>
    </row>
    <row r="4596" spans="6:6" ht="15">
      <c r="F4596" s="115">
        <f>+(disponibilidad[[#This Row],[Fecha y hora fin]]-disponibilidad[[#This Row],[Fecha y hora inicio]])*1440</f>
        <v>0</v>
      </c>
    </row>
    <row r="4597" spans="6:6" ht="15">
      <c r="F4597" s="115">
        <f>+(disponibilidad[[#This Row],[Fecha y hora fin]]-disponibilidad[[#This Row],[Fecha y hora inicio]])*1440</f>
        <v>0</v>
      </c>
    </row>
    <row r="4598" spans="6:6" ht="15">
      <c r="F4598" s="115">
        <f>+(disponibilidad[[#This Row],[Fecha y hora fin]]-disponibilidad[[#This Row],[Fecha y hora inicio]])*1440</f>
        <v>0</v>
      </c>
    </row>
    <row r="4599" spans="6:6" ht="15">
      <c r="F4599" s="115">
        <f>+(disponibilidad[[#This Row],[Fecha y hora fin]]-disponibilidad[[#This Row],[Fecha y hora inicio]])*1440</f>
        <v>0</v>
      </c>
    </row>
    <row r="4600" spans="6:6" ht="15">
      <c r="F4600" s="115">
        <f>+(disponibilidad[[#This Row],[Fecha y hora fin]]-disponibilidad[[#This Row],[Fecha y hora inicio]])*1440</f>
        <v>0</v>
      </c>
    </row>
    <row r="4601" spans="6:6" ht="15">
      <c r="F4601" s="115">
        <f>+(disponibilidad[[#This Row],[Fecha y hora fin]]-disponibilidad[[#This Row],[Fecha y hora inicio]])*1440</f>
        <v>0</v>
      </c>
    </row>
    <row r="4602" spans="6:6" ht="15">
      <c r="F4602" s="115">
        <f>+(disponibilidad[[#This Row],[Fecha y hora fin]]-disponibilidad[[#This Row],[Fecha y hora inicio]])*1440</f>
        <v>0</v>
      </c>
    </row>
    <row r="4603" spans="6:6" ht="15">
      <c r="F4603" s="115">
        <f>+(disponibilidad[[#This Row],[Fecha y hora fin]]-disponibilidad[[#This Row],[Fecha y hora inicio]])*1440</f>
        <v>0</v>
      </c>
    </row>
    <row r="4604" spans="6:6" ht="15">
      <c r="F4604" s="115">
        <f>+(disponibilidad[[#This Row],[Fecha y hora fin]]-disponibilidad[[#This Row],[Fecha y hora inicio]])*1440</f>
        <v>0</v>
      </c>
    </row>
    <row r="4605" spans="6:6" ht="15">
      <c r="F4605" s="115">
        <f>+(disponibilidad[[#This Row],[Fecha y hora fin]]-disponibilidad[[#This Row],[Fecha y hora inicio]])*1440</f>
        <v>0</v>
      </c>
    </row>
    <row r="4606" spans="6:6" ht="15">
      <c r="F4606" s="115">
        <f>+(disponibilidad[[#This Row],[Fecha y hora fin]]-disponibilidad[[#This Row],[Fecha y hora inicio]])*1440</f>
        <v>0</v>
      </c>
    </row>
    <row r="4607" spans="6:6" ht="15">
      <c r="F4607" s="115">
        <f>+(disponibilidad[[#This Row],[Fecha y hora fin]]-disponibilidad[[#This Row],[Fecha y hora inicio]])*1440</f>
        <v>0</v>
      </c>
    </row>
    <row r="4608" spans="6:6" ht="15">
      <c r="F4608" s="115">
        <f>+(disponibilidad[[#This Row],[Fecha y hora fin]]-disponibilidad[[#This Row],[Fecha y hora inicio]])*1440</f>
        <v>0</v>
      </c>
    </row>
    <row r="4609" spans="6:6" ht="15">
      <c r="F4609" s="115">
        <f>+(disponibilidad[[#This Row],[Fecha y hora fin]]-disponibilidad[[#This Row],[Fecha y hora inicio]])*1440</f>
        <v>0</v>
      </c>
    </row>
    <row r="4610" spans="6:6" ht="15">
      <c r="F4610" s="115">
        <f>+(disponibilidad[[#This Row],[Fecha y hora fin]]-disponibilidad[[#This Row],[Fecha y hora inicio]])*1440</f>
        <v>0</v>
      </c>
    </row>
    <row r="4611" spans="6:6" ht="15">
      <c r="F4611" s="115">
        <f>+(disponibilidad[[#This Row],[Fecha y hora fin]]-disponibilidad[[#This Row],[Fecha y hora inicio]])*1440</f>
        <v>0</v>
      </c>
    </row>
    <row r="4612" spans="6:6" ht="15">
      <c r="F4612" s="115">
        <f>+(disponibilidad[[#This Row],[Fecha y hora fin]]-disponibilidad[[#This Row],[Fecha y hora inicio]])*1440</f>
        <v>0</v>
      </c>
    </row>
    <row r="4613" spans="6:6" ht="15">
      <c r="F4613" s="115">
        <f>+(disponibilidad[[#This Row],[Fecha y hora fin]]-disponibilidad[[#This Row],[Fecha y hora inicio]])*1440</f>
        <v>0</v>
      </c>
    </row>
    <row r="4614" spans="6:6" ht="15">
      <c r="F4614" s="115">
        <f>+(disponibilidad[[#This Row],[Fecha y hora fin]]-disponibilidad[[#This Row],[Fecha y hora inicio]])*1440</f>
        <v>0</v>
      </c>
    </row>
    <row r="4615" spans="6:6" ht="15">
      <c r="F4615" s="115">
        <f>+(disponibilidad[[#This Row],[Fecha y hora fin]]-disponibilidad[[#This Row],[Fecha y hora inicio]])*1440</f>
        <v>0</v>
      </c>
    </row>
    <row r="4616" spans="6:6" ht="15">
      <c r="F4616" s="115">
        <f>+(disponibilidad[[#This Row],[Fecha y hora fin]]-disponibilidad[[#This Row],[Fecha y hora inicio]])*1440</f>
        <v>0</v>
      </c>
    </row>
    <row r="4617" spans="6:6" ht="15">
      <c r="F4617" s="115">
        <f>+(disponibilidad[[#This Row],[Fecha y hora fin]]-disponibilidad[[#This Row],[Fecha y hora inicio]])*1440</f>
        <v>0</v>
      </c>
    </row>
    <row r="4618" spans="6:6" ht="15">
      <c r="F4618" s="115">
        <f>+(disponibilidad[[#This Row],[Fecha y hora fin]]-disponibilidad[[#This Row],[Fecha y hora inicio]])*1440</f>
        <v>0</v>
      </c>
    </row>
    <row r="4619" spans="6:6" ht="15">
      <c r="F4619" s="115">
        <f>+(disponibilidad[[#This Row],[Fecha y hora fin]]-disponibilidad[[#This Row],[Fecha y hora inicio]])*1440</f>
        <v>0</v>
      </c>
    </row>
    <row r="4620" spans="6:6" ht="15">
      <c r="F4620" s="115">
        <f>+(disponibilidad[[#This Row],[Fecha y hora fin]]-disponibilidad[[#This Row],[Fecha y hora inicio]])*1440</f>
        <v>0</v>
      </c>
    </row>
    <row r="4621" spans="6:6" ht="15">
      <c r="F4621" s="115">
        <f>+(disponibilidad[[#This Row],[Fecha y hora fin]]-disponibilidad[[#This Row],[Fecha y hora inicio]])*1440</f>
        <v>0</v>
      </c>
    </row>
    <row r="4622" spans="6:6" ht="15">
      <c r="F4622" s="115">
        <f>+(disponibilidad[[#This Row],[Fecha y hora fin]]-disponibilidad[[#This Row],[Fecha y hora inicio]])*1440</f>
        <v>0</v>
      </c>
    </row>
    <row r="4623" spans="6:6" ht="15">
      <c r="F4623" s="115">
        <f>+(disponibilidad[[#This Row],[Fecha y hora fin]]-disponibilidad[[#This Row],[Fecha y hora inicio]])*1440</f>
        <v>0</v>
      </c>
    </row>
    <row r="4624" spans="6:6" ht="15">
      <c r="F4624" s="115">
        <f>+(disponibilidad[[#This Row],[Fecha y hora fin]]-disponibilidad[[#This Row],[Fecha y hora inicio]])*1440</f>
        <v>0</v>
      </c>
    </row>
    <row r="4625" spans="6:6" ht="15">
      <c r="F4625" s="115">
        <f>+(disponibilidad[[#This Row],[Fecha y hora fin]]-disponibilidad[[#This Row],[Fecha y hora inicio]])*1440</f>
        <v>0</v>
      </c>
    </row>
    <row r="4626" spans="6:6" ht="15">
      <c r="F4626" s="115">
        <f>+(disponibilidad[[#This Row],[Fecha y hora fin]]-disponibilidad[[#This Row],[Fecha y hora inicio]])*1440</f>
        <v>0</v>
      </c>
    </row>
    <row r="4627" spans="6:6" ht="15">
      <c r="F4627" s="115">
        <f>+(disponibilidad[[#This Row],[Fecha y hora fin]]-disponibilidad[[#This Row],[Fecha y hora inicio]])*1440</f>
        <v>0</v>
      </c>
    </row>
    <row r="4628" spans="6:6" ht="15">
      <c r="F4628" s="115">
        <f>+(disponibilidad[[#This Row],[Fecha y hora fin]]-disponibilidad[[#This Row],[Fecha y hora inicio]])*1440</f>
        <v>0</v>
      </c>
    </row>
    <row r="4629" spans="6:6" ht="15">
      <c r="F4629" s="115">
        <f>+(disponibilidad[[#This Row],[Fecha y hora fin]]-disponibilidad[[#This Row],[Fecha y hora inicio]])*1440</f>
        <v>0</v>
      </c>
    </row>
    <row r="4630" spans="6:6" ht="15">
      <c r="F4630" s="115">
        <f>+(disponibilidad[[#This Row],[Fecha y hora fin]]-disponibilidad[[#This Row],[Fecha y hora inicio]])*1440</f>
        <v>0</v>
      </c>
    </row>
    <row r="4631" spans="6:6" ht="15">
      <c r="F4631" s="115">
        <f>+(disponibilidad[[#This Row],[Fecha y hora fin]]-disponibilidad[[#This Row],[Fecha y hora inicio]])*1440</f>
        <v>0</v>
      </c>
    </row>
    <row r="4632" spans="6:6" ht="15">
      <c r="F4632" s="115">
        <f>+(disponibilidad[[#This Row],[Fecha y hora fin]]-disponibilidad[[#This Row],[Fecha y hora inicio]])*1440</f>
        <v>0</v>
      </c>
    </row>
    <row r="4633" spans="6:6" ht="15">
      <c r="F4633" s="115">
        <f>+(disponibilidad[[#This Row],[Fecha y hora fin]]-disponibilidad[[#This Row],[Fecha y hora inicio]])*1440</f>
        <v>0</v>
      </c>
    </row>
    <row r="4634" spans="6:6" ht="15">
      <c r="F4634" s="115">
        <f>+(disponibilidad[[#This Row],[Fecha y hora fin]]-disponibilidad[[#This Row],[Fecha y hora inicio]])*1440</f>
        <v>0</v>
      </c>
    </row>
    <row r="4635" spans="6:6" ht="15">
      <c r="F4635" s="115">
        <f>+(disponibilidad[[#This Row],[Fecha y hora fin]]-disponibilidad[[#This Row],[Fecha y hora inicio]])*1440</f>
        <v>0</v>
      </c>
    </row>
    <row r="4636" spans="6:6" ht="15">
      <c r="F4636" s="115">
        <f>+(disponibilidad[[#This Row],[Fecha y hora fin]]-disponibilidad[[#This Row],[Fecha y hora inicio]])*1440</f>
        <v>0</v>
      </c>
    </row>
    <row r="4637" spans="6:6" ht="15">
      <c r="F4637" s="115">
        <f>+(disponibilidad[[#This Row],[Fecha y hora fin]]-disponibilidad[[#This Row],[Fecha y hora inicio]])*1440</f>
        <v>0</v>
      </c>
    </row>
    <row r="4638" spans="6:6" ht="15">
      <c r="F4638" s="115">
        <f>+(disponibilidad[[#This Row],[Fecha y hora fin]]-disponibilidad[[#This Row],[Fecha y hora inicio]])*1440</f>
        <v>0</v>
      </c>
    </row>
    <row r="4639" spans="6:6" ht="15">
      <c r="F4639" s="115">
        <f>+(disponibilidad[[#This Row],[Fecha y hora fin]]-disponibilidad[[#This Row],[Fecha y hora inicio]])*1440</f>
        <v>0</v>
      </c>
    </row>
    <row r="4640" spans="6:6" ht="15">
      <c r="F4640" s="115">
        <f>+(disponibilidad[[#This Row],[Fecha y hora fin]]-disponibilidad[[#This Row],[Fecha y hora inicio]])*1440</f>
        <v>0</v>
      </c>
    </row>
    <row r="4641" spans="6:6" ht="15">
      <c r="F4641" s="115">
        <f>+(disponibilidad[[#This Row],[Fecha y hora fin]]-disponibilidad[[#This Row],[Fecha y hora inicio]])*1440</f>
        <v>0</v>
      </c>
    </row>
    <row r="4642" spans="6:6" ht="15">
      <c r="F4642" s="115">
        <f>+(disponibilidad[[#This Row],[Fecha y hora fin]]-disponibilidad[[#This Row],[Fecha y hora inicio]])*1440</f>
        <v>0</v>
      </c>
    </row>
    <row r="4643" spans="6:6" ht="15">
      <c r="F4643" s="115">
        <f>+(disponibilidad[[#This Row],[Fecha y hora fin]]-disponibilidad[[#This Row],[Fecha y hora inicio]])*1440</f>
        <v>0</v>
      </c>
    </row>
    <row r="4644" spans="6:6" ht="15">
      <c r="F4644" s="115">
        <f>+(disponibilidad[[#This Row],[Fecha y hora fin]]-disponibilidad[[#This Row],[Fecha y hora inicio]])*1440</f>
        <v>0</v>
      </c>
    </row>
    <row r="4645" spans="6:6" ht="15">
      <c r="F4645" s="115">
        <f>+(disponibilidad[[#This Row],[Fecha y hora fin]]-disponibilidad[[#This Row],[Fecha y hora inicio]])*1440</f>
        <v>0</v>
      </c>
    </row>
    <row r="4646" spans="6:6" ht="15">
      <c r="F4646" s="115">
        <f>+(disponibilidad[[#This Row],[Fecha y hora fin]]-disponibilidad[[#This Row],[Fecha y hora inicio]])*1440</f>
        <v>0</v>
      </c>
    </row>
    <row r="4647" spans="6:6" ht="15">
      <c r="F4647" s="115">
        <f>+(disponibilidad[[#This Row],[Fecha y hora fin]]-disponibilidad[[#This Row],[Fecha y hora inicio]])*1440</f>
        <v>0</v>
      </c>
    </row>
    <row r="4648" spans="6:6" ht="15">
      <c r="F4648" s="115">
        <f>+(disponibilidad[[#This Row],[Fecha y hora fin]]-disponibilidad[[#This Row],[Fecha y hora inicio]])*1440</f>
        <v>0</v>
      </c>
    </row>
    <row r="4649" spans="6:6" ht="15">
      <c r="F4649" s="115">
        <f>+(disponibilidad[[#This Row],[Fecha y hora fin]]-disponibilidad[[#This Row],[Fecha y hora inicio]])*1440</f>
        <v>0</v>
      </c>
    </row>
    <row r="4650" spans="6:6" ht="15">
      <c r="F4650" s="115">
        <f>+(disponibilidad[[#This Row],[Fecha y hora fin]]-disponibilidad[[#This Row],[Fecha y hora inicio]])*1440</f>
        <v>0</v>
      </c>
    </row>
    <row r="4651" spans="6:6" ht="15">
      <c r="F4651" s="115">
        <f>+(disponibilidad[[#This Row],[Fecha y hora fin]]-disponibilidad[[#This Row],[Fecha y hora inicio]])*1440</f>
        <v>0</v>
      </c>
    </row>
    <row r="4652" spans="6:6" ht="15">
      <c r="F4652" s="115">
        <f>+(disponibilidad[[#This Row],[Fecha y hora fin]]-disponibilidad[[#This Row],[Fecha y hora inicio]])*1440</f>
        <v>0</v>
      </c>
    </row>
    <row r="4653" spans="6:6" ht="15">
      <c r="F4653" s="115">
        <f>+(disponibilidad[[#This Row],[Fecha y hora fin]]-disponibilidad[[#This Row],[Fecha y hora inicio]])*1440</f>
        <v>0</v>
      </c>
    </row>
    <row r="4654" spans="6:6" ht="15">
      <c r="F4654" s="115">
        <f>+(disponibilidad[[#This Row],[Fecha y hora fin]]-disponibilidad[[#This Row],[Fecha y hora inicio]])*1440</f>
        <v>0</v>
      </c>
    </row>
    <row r="4655" spans="6:6" ht="15">
      <c r="F4655" s="115">
        <f>+(disponibilidad[[#This Row],[Fecha y hora fin]]-disponibilidad[[#This Row],[Fecha y hora inicio]])*1440</f>
        <v>0</v>
      </c>
    </row>
    <row r="4656" spans="6:6" ht="15">
      <c r="F4656" s="115">
        <f>+(disponibilidad[[#This Row],[Fecha y hora fin]]-disponibilidad[[#This Row],[Fecha y hora inicio]])*1440</f>
        <v>0</v>
      </c>
    </row>
    <row r="4657" spans="6:6" ht="15">
      <c r="F4657" s="115">
        <f>+(disponibilidad[[#This Row],[Fecha y hora fin]]-disponibilidad[[#This Row],[Fecha y hora inicio]])*1440</f>
        <v>0</v>
      </c>
    </row>
    <row r="4658" spans="6:6" ht="15">
      <c r="F4658" s="115">
        <f>+(disponibilidad[[#This Row],[Fecha y hora fin]]-disponibilidad[[#This Row],[Fecha y hora inicio]])*1440</f>
        <v>0</v>
      </c>
    </row>
    <row r="4659" spans="6:6" ht="15">
      <c r="F4659" s="115">
        <f>+(disponibilidad[[#This Row],[Fecha y hora fin]]-disponibilidad[[#This Row],[Fecha y hora inicio]])*1440</f>
        <v>0</v>
      </c>
    </row>
    <row r="4660" spans="6:6" ht="15">
      <c r="F4660" s="115">
        <f>+(disponibilidad[[#This Row],[Fecha y hora fin]]-disponibilidad[[#This Row],[Fecha y hora inicio]])*1440</f>
        <v>0</v>
      </c>
    </row>
    <row r="4661" spans="6:6" ht="15">
      <c r="F4661" s="115">
        <f>+(disponibilidad[[#This Row],[Fecha y hora fin]]-disponibilidad[[#This Row],[Fecha y hora inicio]])*1440</f>
        <v>0</v>
      </c>
    </row>
    <row r="4662" spans="6:6" ht="15">
      <c r="F4662" s="115">
        <f>+(disponibilidad[[#This Row],[Fecha y hora fin]]-disponibilidad[[#This Row],[Fecha y hora inicio]])*1440</f>
        <v>0</v>
      </c>
    </row>
    <row r="4663" spans="6:6" ht="15">
      <c r="F4663" s="115">
        <f>+(disponibilidad[[#This Row],[Fecha y hora fin]]-disponibilidad[[#This Row],[Fecha y hora inicio]])*1440</f>
        <v>0</v>
      </c>
    </row>
    <row r="4664" spans="6:6" ht="15">
      <c r="F4664" s="115">
        <f>+(disponibilidad[[#This Row],[Fecha y hora fin]]-disponibilidad[[#This Row],[Fecha y hora inicio]])*1440</f>
        <v>0</v>
      </c>
    </row>
    <row r="4665" spans="6:6" ht="15">
      <c r="F4665" s="115">
        <f>+(disponibilidad[[#This Row],[Fecha y hora fin]]-disponibilidad[[#This Row],[Fecha y hora inicio]])*1440</f>
        <v>0</v>
      </c>
    </row>
    <row r="4666" spans="6:6" ht="15">
      <c r="F4666" s="115">
        <f>+(disponibilidad[[#This Row],[Fecha y hora fin]]-disponibilidad[[#This Row],[Fecha y hora inicio]])*1440</f>
        <v>0</v>
      </c>
    </row>
    <row r="4667" spans="6:6" ht="15">
      <c r="F4667" s="115">
        <f>+(disponibilidad[[#This Row],[Fecha y hora fin]]-disponibilidad[[#This Row],[Fecha y hora inicio]])*1440</f>
        <v>0</v>
      </c>
    </row>
    <row r="4668" spans="6:6" ht="15">
      <c r="F4668" s="115">
        <f>+(disponibilidad[[#This Row],[Fecha y hora fin]]-disponibilidad[[#This Row],[Fecha y hora inicio]])*1440</f>
        <v>0</v>
      </c>
    </row>
    <row r="4669" spans="6:6" ht="15">
      <c r="F4669" s="115">
        <f>+(disponibilidad[[#This Row],[Fecha y hora fin]]-disponibilidad[[#This Row],[Fecha y hora inicio]])*1440</f>
        <v>0</v>
      </c>
    </row>
    <row r="4670" spans="6:6" ht="15">
      <c r="F4670" s="115">
        <f>+(disponibilidad[[#This Row],[Fecha y hora fin]]-disponibilidad[[#This Row],[Fecha y hora inicio]])*1440</f>
        <v>0</v>
      </c>
    </row>
    <row r="4671" spans="6:6" ht="15">
      <c r="F4671" s="115">
        <f>+(disponibilidad[[#This Row],[Fecha y hora fin]]-disponibilidad[[#This Row],[Fecha y hora inicio]])*1440</f>
        <v>0</v>
      </c>
    </row>
    <row r="4672" spans="6:6" ht="15">
      <c r="F4672" s="115">
        <f>+(disponibilidad[[#This Row],[Fecha y hora fin]]-disponibilidad[[#This Row],[Fecha y hora inicio]])*1440</f>
        <v>0</v>
      </c>
    </row>
    <row r="4673" spans="6:6" ht="15">
      <c r="F4673" s="115">
        <f>+(disponibilidad[[#This Row],[Fecha y hora fin]]-disponibilidad[[#This Row],[Fecha y hora inicio]])*1440</f>
        <v>0</v>
      </c>
    </row>
    <row r="4674" spans="6:6" ht="15">
      <c r="F4674" s="115">
        <f>+(disponibilidad[[#This Row],[Fecha y hora fin]]-disponibilidad[[#This Row],[Fecha y hora inicio]])*1440</f>
        <v>0</v>
      </c>
    </row>
    <row r="4675" spans="6:6" ht="15">
      <c r="F4675" s="115">
        <f>+(disponibilidad[[#This Row],[Fecha y hora fin]]-disponibilidad[[#This Row],[Fecha y hora inicio]])*1440</f>
        <v>0</v>
      </c>
    </row>
    <row r="4676" spans="6:6" ht="15">
      <c r="F4676" s="115">
        <f>+(disponibilidad[[#This Row],[Fecha y hora fin]]-disponibilidad[[#This Row],[Fecha y hora inicio]])*1440</f>
        <v>0</v>
      </c>
    </row>
    <row r="4677" spans="6:6" ht="15">
      <c r="F4677" s="115">
        <f>+(disponibilidad[[#This Row],[Fecha y hora fin]]-disponibilidad[[#This Row],[Fecha y hora inicio]])*1440</f>
        <v>0</v>
      </c>
    </row>
    <row r="4678" spans="6:6" ht="15">
      <c r="F4678" s="115">
        <f>+(disponibilidad[[#This Row],[Fecha y hora fin]]-disponibilidad[[#This Row],[Fecha y hora inicio]])*1440</f>
        <v>0</v>
      </c>
    </row>
    <row r="4679" spans="6:6" ht="15">
      <c r="F4679" s="115">
        <f>+(disponibilidad[[#This Row],[Fecha y hora fin]]-disponibilidad[[#This Row],[Fecha y hora inicio]])*1440</f>
        <v>0</v>
      </c>
    </row>
    <row r="4680" spans="6:6" ht="15">
      <c r="F4680" s="115">
        <f>+(disponibilidad[[#This Row],[Fecha y hora fin]]-disponibilidad[[#This Row],[Fecha y hora inicio]])*1440</f>
        <v>0</v>
      </c>
    </row>
    <row r="4681" spans="6:6" ht="15">
      <c r="F4681" s="115">
        <f>+(disponibilidad[[#This Row],[Fecha y hora fin]]-disponibilidad[[#This Row],[Fecha y hora inicio]])*1440</f>
        <v>0</v>
      </c>
    </row>
    <row r="4682" spans="6:6" ht="15">
      <c r="F4682" s="115">
        <f>+(disponibilidad[[#This Row],[Fecha y hora fin]]-disponibilidad[[#This Row],[Fecha y hora inicio]])*1440</f>
        <v>0</v>
      </c>
    </row>
    <row r="4683" spans="6:6" ht="15">
      <c r="F4683" s="115">
        <f>+(disponibilidad[[#This Row],[Fecha y hora fin]]-disponibilidad[[#This Row],[Fecha y hora inicio]])*1440</f>
        <v>0</v>
      </c>
    </row>
    <row r="4684" spans="6:6" ht="15">
      <c r="F4684" s="115">
        <f>+(disponibilidad[[#This Row],[Fecha y hora fin]]-disponibilidad[[#This Row],[Fecha y hora inicio]])*1440</f>
        <v>0</v>
      </c>
    </row>
    <row r="4685" spans="6:6" ht="15">
      <c r="F4685" s="115">
        <f>+(disponibilidad[[#This Row],[Fecha y hora fin]]-disponibilidad[[#This Row],[Fecha y hora inicio]])*1440</f>
        <v>0</v>
      </c>
    </row>
    <row r="4686" spans="6:6" ht="15">
      <c r="F4686" s="115">
        <f>+(disponibilidad[[#This Row],[Fecha y hora fin]]-disponibilidad[[#This Row],[Fecha y hora inicio]])*1440</f>
        <v>0</v>
      </c>
    </row>
    <row r="4687" spans="6:6" ht="15">
      <c r="F4687" s="115">
        <f>+(disponibilidad[[#This Row],[Fecha y hora fin]]-disponibilidad[[#This Row],[Fecha y hora inicio]])*1440</f>
        <v>0</v>
      </c>
    </row>
    <row r="4688" spans="6:6" ht="15">
      <c r="F4688" s="115">
        <f>+(disponibilidad[[#This Row],[Fecha y hora fin]]-disponibilidad[[#This Row],[Fecha y hora inicio]])*1440</f>
        <v>0</v>
      </c>
    </row>
    <row r="4689" spans="6:6" ht="15">
      <c r="F4689" s="115">
        <f>+(disponibilidad[[#This Row],[Fecha y hora fin]]-disponibilidad[[#This Row],[Fecha y hora inicio]])*1440</f>
        <v>0</v>
      </c>
    </row>
    <row r="4690" spans="6:6" ht="15">
      <c r="F4690" s="115">
        <f>+(disponibilidad[[#This Row],[Fecha y hora fin]]-disponibilidad[[#This Row],[Fecha y hora inicio]])*1440</f>
        <v>0</v>
      </c>
    </row>
    <row r="4691" spans="6:6" ht="15">
      <c r="F4691" s="115">
        <f>+(disponibilidad[[#This Row],[Fecha y hora fin]]-disponibilidad[[#This Row],[Fecha y hora inicio]])*1440</f>
        <v>0</v>
      </c>
    </row>
    <row r="4692" spans="6:6" ht="15">
      <c r="F4692" s="115">
        <f>+(disponibilidad[[#This Row],[Fecha y hora fin]]-disponibilidad[[#This Row],[Fecha y hora inicio]])*1440</f>
        <v>0</v>
      </c>
    </row>
    <row r="4693" spans="6:6" ht="15">
      <c r="F4693" s="115">
        <f>+(disponibilidad[[#This Row],[Fecha y hora fin]]-disponibilidad[[#This Row],[Fecha y hora inicio]])*1440</f>
        <v>0</v>
      </c>
    </row>
    <row r="4694" spans="6:6" ht="15">
      <c r="F4694" s="115">
        <f>+(disponibilidad[[#This Row],[Fecha y hora fin]]-disponibilidad[[#This Row],[Fecha y hora inicio]])*1440</f>
        <v>0</v>
      </c>
    </row>
    <row r="4695" spans="6:6" ht="15">
      <c r="F4695" s="115">
        <f>+(disponibilidad[[#This Row],[Fecha y hora fin]]-disponibilidad[[#This Row],[Fecha y hora inicio]])*1440</f>
        <v>0</v>
      </c>
    </row>
    <row r="4696" spans="6:6" ht="15">
      <c r="F4696" s="115">
        <f>+(disponibilidad[[#This Row],[Fecha y hora fin]]-disponibilidad[[#This Row],[Fecha y hora inicio]])*1440</f>
        <v>0</v>
      </c>
    </row>
    <row r="4697" spans="6:6" ht="15">
      <c r="F4697" s="115">
        <f>+(disponibilidad[[#This Row],[Fecha y hora fin]]-disponibilidad[[#This Row],[Fecha y hora inicio]])*1440</f>
        <v>0</v>
      </c>
    </row>
    <row r="4698" spans="6:6" ht="15">
      <c r="F4698" s="115">
        <f>+(disponibilidad[[#This Row],[Fecha y hora fin]]-disponibilidad[[#This Row],[Fecha y hora inicio]])*1440</f>
        <v>0</v>
      </c>
    </row>
    <row r="4699" spans="6:6" ht="15">
      <c r="F4699" s="115">
        <f>+(disponibilidad[[#This Row],[Fecha y hora fin]]-disponibilidad[[#This Row],[Fecha y hora inicio]])*1440</f>
        <v>0</v>
      </c>
    </row>
    <row r="4700" spans="6:6" ht="15">
      <c r="F4700" s="115">
        <f>+(disponibilidad[[#This Row],[Fecha y hora fin]]-disponibilidad[[#This Row],[Fecha y hora inicio]])*1440</f>
        <v>0</v>
      </c>
    </row>
    <row r="4701" spans="6:6" ht="15">
      <c r="F4701" s="115">
        <f>+(disponibilidad[[#This Row],[Fecha y hora fin]]-disponibilidad[[#This Row],[Fecha y hora inicio]])*1440</f>
        <v>0</v>
      </c>
    </row>
    <row r="4702" spans="6:6" ht="15">
      <c r="F4702" s="115">
        <f>+(disponibilidad[[#This Row],[Fecha y hora fin]]-disponibilidad[[#This Row],[Fecha y hora inicio]])*1440</f>
        <v>0</v>
      </c>
    </row>
    <row r="4703" spans="6:6" ht="15">
      <c r="F4703" s="115">
        <f>+(disponibilidad[[#This Row],[Fecha y hora fin]]-disponibilidad[[#This Row],[Fecha y hora inicio]])*1440</f>
        <v>0</v>
      </c>
    </row>
    <row r="4704" spans="6:6" ht="15">
      <c r="F4704" s="115">
        <f>+(disponibilidad[[#This Row],[Fecha y hora fin]]-disponibilidad[[#This Row],[Fecha y hora inicio]])*1440</f>
        <v>0</v>
      </c>
    </row>
    <row r="4705" spans="6:6" ht="15">
      <c r="F4705" s="115">
        <f>+(disponibilidad[[#This Row],[Fecha y hora fin]]-disponibilidad[[#This Row],[Fecha y hora inicio]])*1440</f>
        <v>0</v>
      </c>
    </row>
    <row r="4706" spans="6:6" ht="15">
      <c r="F4706" s="115">
        <f>+(disponibilidad[[#This Row],[Fecha y hora fin]]-disponibilidad[[#This Row],[Fecha y hora inicio]])*1440</f>
        <v>0</v>
      </c>
    </row>
    <row r="4707" spans="6:6" ht="15">
      <c r="F4707" s="115">
        <f>+(disponibilidad[[#This Row],[Fecha y hora fin]]-disponibilidad[[#This Row],[Fecha y hora inicio]])*1440</f>
        <v>0</v>
      </c>
    </row>
    <row r="4708" spans="6:6" ht="15">
      <c r="F4708" s="115">
        <f>+(disponibilidad[[#This Row],[Fecha y hora fin]]-disponibilidad[[#This Row],[Fecha y hora inicio]])*1440</f>
        <v>0</v>
      </c>
    </row>
    <row r="4709" spans="6:6" ht="15">
      <c r="F4709" s="115">
        <f>+(disponibilidad[[#This Row],[Fecha y hora fin]]-disponibilidad[[#This Row],[Fecha y hora inicio]])*1440</f>
        <v>0</v>
      </c>
    </row>
    <row r="4710" spans="6:6" ht="15">
      <c r="F4710" s="115">
        <f>+(disponibilidad[[#This Row],[Fecha y hora fin]]-disponibilidad[[#This Row],[Fecha y hora inicio]])*1440</f>
        <v>0</v>
      </c>
    </row>
    <row r="4711" spans="6:6" ht="15">
      <c r="F4711" s="115">
        <f>+(disponibilidad[[#This Row],[Fecha y hora fin]]-disponibilidad[[#This Row],[Fecha y hora inicio]])*1440</f>
        <v>0</v>
      </c>
    </row>
    <row r="4712" spans="6:6" ht="15">
      <c r="F4712" s="115">
        <f>+(disponibilidad[[#This Row],[Fecha y hora fin]]-disponibilidad[[#This Row],[Fecha y hora inicio]])*1440</f>
        <v>0</v>
      </c>
    </row>
    <row r="4713" spans="6:6" ht="15">
      <c r="F4713" s="115">
        <f>+(disponibilidad[[#This Row],[Fecha y hora fin]]-disponibilidad[[#This Row],[Fecha y hora inicio]])*1440</f>
        <v>0</v>
      </c>
    </row>
    <row r="4714" spans="6:6" ht="15">
      <c r="F4714" s="115">
        <f>+(disponibilidad[[#This Row],[Fecha y hora fin]]-disponibilidad[[#This Row],[Fecha y hora inicio]])*1440</f>
        <v>0</v>
      </c>
    </row>
    <row r="4715" spans="6:6" ht="15">
      <c r="F4715" s="115">
        <f>+(disponibilidad[[#This Row],[Fecha y hora fin]]-disponibilidad[[#This Row],[Fecha y hora inicio]])*1440</f>
        <v>0</v>
      </c>
    </row>
    <row r="4716" spans="6:6" ht="15">
      <c r="F4716" s="115">
        <f>+(disponibilidad[[#This Row],[Fecha y hora fin]]-disponibilidad[[#This Row],[Fecha y hora inicio]])*1440</f>
        <v>0</v>
      </c>
    </row>
    <row r="4717" spans="6:6" ht="15">
      <c r="F4717" s="115">
        <f>+(disponibilidad[[#This Row],[Fecha y hora fin]]-disponibilidad[[#This Row],[Fecha y hora inicio]])*1440</f>
        <v>0</v>
      </c>
    </row>
    <row r="4718" spans="6:6" ht="15">
      <c r="F4718" s="115">
        <f>+(disponibilidad[[#This Row],[Fecha y hora fin]]-disponibilidad[[#This Row],[Fecha y hora inicio]])*1440</f>
        <v>0</v>
      </c>
    </row>
    <row r="4719" spans="6:6" ht="15">
      <c r="F4719" s="115">
        <f>+(disponibilidad[[#This Row],[Fecha y hora fin]]-disponibilidad[[#This Row],[Fecha y hora inicio]])*1440</f>
        <v>0</v>
      </c>
    </row>
    <row r="4720" spans="6:6" ht="15">
      <c r="F4720" s="115">
        <f>+(disponibilidad[[#This Row],[Fecha y hora fin]]-disponibilidad[[#This Row],[Fecha y hora inicio]])*1440</f>
        <v>0</v>
      </c>
    </row>
    <row r="4721" spans="6:6" ht="15">
      <c r="F4721" s="115">
        <f>+(disponibilidad[[#This Row],[Fecha y hora fin]]-disponibilidad[[#This Row],[Fecha y hora inicio]])*1440</f>
        <v>0</v>
      </c>
    </row>
    <row r="4722" spans="6:6" ht="15">
      <c r="F4722" s="115">
        <f>+(disponibilidad[[#This Row],[Fecha y hora fin]]-disponibilidad[[#This Row],[Fecha y hora inicio]])*1440</f>
        <v>0</v>
      </c>
    </row>
    <row r="4723" spans="6:6" ht="15">
      <c r="F4723" s="115">
        <f>+(disponibilidad[[#This Row],[Fecha y hora fin]]-disponibilidad[[#This Row],[Fecha y hora inicio]])*1440</f>
        <v>0</v>
      </c>
    </row>
    <row r="4724" spans="6:6" ht="15">
      <c r="F4724" s="115">
        <f>+(disponibilidad[[#This Row],[Fecha y hora fin]]-disponibilidad[[#This Row],[Fecha y hora inicio]])*1440</f>
        <v>0</v>
      </c>
    </row>
    <row r="4725" spans="6:6" ht="15">
      <c r="F4725" s="115">
        <f>+(disponibilidad[[#This Row],[Fecha y hora fin]]-disponibilidad[[#This Row],[Fecha y hora inicio]])*1440</f>
        <v>0</v>
      </c>
    </row>
    <row r="4726" spans="6:6" ht="15">
      <c r="F4726" s="115">
        <f>+(disponibilidad[[#This Row],[Fecha y hora fin]]-disponibilidad[[#This Row],[Fecha y hora inicio]])*1440</f>
        <v>0</v>
      </c>
    </row>
    <row r="4727" spans="6:6" ht="15">
      <c r="F4727" s="115">
        <f>+(disponibilidad[[#This Row],[Fecha y hora fin]]-disponibilidad[[#This Row],[Fecha y hora inicio]])*1440</f>
        <v>0</v>
      </c>
    </row>
    <row r="4728" spans="6:6" ht="15">
      <c r="F4728" s="115">
        <f>+(disponibilidad[[#This Row],[Fecha y hora fin]]-disponibilidad[[#This Row],[Fecha y hora inicio]])*1440</f>
        <v>0</v>
      </c>
    </row>
    <row r="4729" spans="6:6" ht="15">
      <c r="F4729" s="115">
        <f>+(disponibilidad[[#This Row],[Fecha y hora fin]]-disponibilidad[[#This Row],[Fecha y hora inicio]])*1440</f>
        <v>0</v>
      </c>
    </row>
    <row r="4730" spans="6:6" ht="15">
      <c r="F4730" s="115">
        <f>+(disponibilidad[[#This Row],[Fecha y hora fin]]-disponibilidad[[#This Row],[Fecha y hora inicio]])*1440</f>
        <v>0</v>
      </c>
    </row>
    <row r="4731" spans="6:6" ht="15">
      <c r="F4731" s="115">
        <f>+(disponibilidad[[#This Row],[Fecha y hora fin]]-disponibilidad[[#This Row],[Fecha y hora inicio]])*1440</f>
        <v>0</v>
      </c>
    </row>
    <row r="4732" spans="6:6" ht="15">
      <c r="F4732" s="115">
        <f>+(disponibilidad[[#This Row],[Fecha y hora fin]]-disponibilidad[[#This Row],[Fecha y hora inicio]])*1440</f>
        <v>0</v>
      </c>
    </row>
    <row r="4733" spans="6:6" ht="15">
      <c r="F4733" s="115">
        <f>+(disponibilidad[[#This Row],[Fecha y hora fin]]-disponibilidad[[#This Row],[Fecha y hora inicio]])*1440</f>
        <v>0</v>
      </c>
    </row>
    <row r="4734" spans="6:6" ht="15">
      <c r="F4734" s="115">
        <f>+(disponibilidad[[#This Row],[Fecha y hora fin]]-disponibilidad[[#This Row],[Fecha y hora inicio]])*1440</f>
        <v>0</v>
      </c>
    </row>
    <row r="4735" spans="6:6" ht="15">
      <c r="F4735" s="115">
        <f>+(disponibilidad[[#This Row],[Fecha y hora fin]]-disponibilidad[[#This Row],[Fecha y hora inicio]])*1440</f>
        <v>0</v>
      </c>
    </row>
    <row r="4736" spans="6:6" ht="15">
      <c r="F4736" s="115">
        <f>+(disponibilidad[[#This Row],[Fecha y hora fin]]-disponibilidad[[#This Row],[Fecha y hora inicio]])*1440</f>
        <v>0</v>
      </c>
    </row>
    <row r="4737" spans="6:6" ht="15">
      <c r="F4737" s="115">
        <f>+(disponibilidad[[#This Row],[Fecha y hora fin]]-disponibilidad[[#This Row],[Fecha y hora inicio]])*1440</f>
        <v>0</v>
      </c>
    </row>
    <row r="4738" spans="6:6" ht="15">
      <c r="F4738" s="115">
        <f>+(disponibilidad[[#This Row],[Fecha y hora fin]]-disponibilidad[[#This Row],[Fecha y hora inicio]])*1440</f>
        <v>0</v>
      </c>
    </row>
    <row r="4739" spans="6:6" ht="15">
      <c r="F4739" s="115">
        <f>+(disponibilidad[[#This Row],[Fecha y hora fin]]-disponibilidad[[#This Row],[Fecha y hora inicio]])*1440</f>
        <v>0</v>
      </c>
    </row>
    <row r="4740" spans="6:6" ht="15">
      <c r="F4740" s="115">
        <f>+(disponibilidad[[#This Row],[Fecha y hora fin]]-disponibilidad[[#This Row],[Fecha y hora inicio]])*1440</f>
        <v>0</v>
      </c>
    </row>
    <row r="4741" spans="6:6" ht="15">
      <c r="F4741" s="115">
        <f>+(disponibilidad[[#This Row],[Fecha y hora fin]]-disponibilidad[[#This Row],[Fecha y hora inicio]])*1440</f>
        <v>0</v>
      </c>
    </row>
    <row r="4742" spans="6:6" ht="15">
      <c r="F4742" s="115">
        <f>+(disponibilidad[[#This Row],[Fecha y hora fin]]-disponibilidad[[#This Row],[Fecha y hora inicio]])*1440</f>
        <v>0</v>
      </c>
    </row>
    <row r="4743" spans="6:6" ht="15">
      <c r="F4743" s="115">
        <f>+(disponibilidad[[#This Row],[Fecha y hora fin]]-disponibilidad[[#This Row],[Fecha y hora inicio]])*1440</f>
        <v>0</v>
      </c>
    </row>
    <row r="4744" spans="6:6" ht="15">
      <c r="F4744" s="115">
        <f>+(disponibilidad[[#This Row],[Fecha y hora fin]]-disponibilidad[[#This Row],[Fecha y hora inicio]])*1440</f>
        <v>0</v>
      </c>
    </row>
    <row r="4745" spans="6:6" ht="15">
      <c r="F4745" s="115">
        <f>+(disponibilidad[[#This Row],[Fecha y hora fin]]-disponibilidad[[#This Row],[Fecha y hora inicio]])*1440</f>
        <v>0</v>
      </c>
    </row>
    <row r="4746" spans="6:6" ht="15">
      <c r="F4746" s="115">
        <f>+(disponibilidad[[#This Row],[Fecha y hora fin]]-disponibilidad[[#This Row],[Fecha y hora inicio]])*1440</f>
        <v>0</v>
      </c>
    </row>
    <row r="4747" spans="6:6" ht="15">
      <c r="F4747" s="115">
        <f>+(disponibilidad[[#This Row],[Fecha y hora fin]]-disponibilidad[[#This Row],[Fecha y hora inicio]])*1440</f>
        <v>0</v>
      </c>
    </row>
    <row r="4748" spans="6:6" ht="15">
      <c r="F4748" s="115">
        <f>+(disponibilidad[[#This Row],[Fecha y hora fin]]-disponibilidad[[#This Row],[Fecha y hora inicio]])*1440</f>
        <v>0</v>
      </c>
    </row>
    <row r="4749" spans="6:6" ht="15">
      <c r="F4749" s="115">
        <f>+(disponibilidad[[#This Row],[Fecha y hora fin]]-disponibilidad[[#This Row],[Fecha y hora inicio]])*1440</f>
        <v>0</v>
      </c>
    </row>
    <row r="4750" spans="6:6" ht="15">
      <c r="F4750" s="115">
        <f>+(disponibilidad[[#This Row],[Fecha y hora fin]]-disponibilidad[[#This Row],[Fecha y hora inicio]])*1440</f>
        <v>0</v>
      </c>
    </row>
    <row r="4751" spans="6:6" ht="15">
      <c r="F4751" s="115">
        <f>+(disponibilidad[[#This Row],[Fecha y hora fin]]-disponibilidad[[#This Row],[Fecha y hora inicio]])*1440</f>
        <v>0</v>
      </c>
    </row>
    <row r="4752" spans="6:6" ht="15">
      <c r="F4752" s="115">
        <f>+(disponibilidad[[#This Row],[Fecha y hora fin]]-disponibilidad[[#This Row],[Fecha y hora inicio]])*1440</f>
        <v>0</v>
      </c>
    </row>
    <row r="4753" spans="6:6" ht="15">
      <c r="F4753" s="115">
        <f>+(disponibilidad[[#This Row],[Fecha y hora fin]]-disponibilidad[[#This Row],[Fecha y hora inicio]])*1440</f>
        <v>0</v>
      </c>
    </row>
    <row r="4754" spans="6:6" ht="15">
      <c r="F4754" s="115">
        <f>+(disponibilidad[[#This Row],[Fecha y hora fin]]-disponibilidad[[#This Row],[Fecha y hora inicio]])*1440</f>
        <v>0</v>
      </c>
    </row>
    <row r="4755" spans="6:6" ht="15">
      <c r="F4755" s="115">
        <f>+(disponibilidad[[#This Row],[Fecha y hora fin]]-disponibilidad[[#This Row],[Fecha y hora inicio]])*1440</f>
        <v>0</v>
      </c>
    </row>
    <row r="4756" spans="6:6" ht="15">
      <c r="F4756" s="115">
        <f>+(disponibilidad[[#This Row],[Fecha y hora fin]]-disponibilidad[[#This Row],[Fecha y hora inicio]])*1440</f>
        <v>0</v>
      </c>
    </row>
    <row r="4757" spans="6:6" ht="15">
      <c r="F4757" s="115">
        <f>+(disponibilidad[[#This Row],[Fecha y hora fin]]-disponibilidad[[#This Row],[Fecha y hora inicio]])*1440</f>
        <v>0</v>
      </c>
    </row>
    <row r="4758" spans="6:6" ht="15">
      <c r="F4758" s="115">
        <f>+(disponibilidad[[#This Row],[Fecha y hora fin]]-disponibilidad[[#This Row],[Fecha y hora inicio]])*1440</f>
        <v>0</v>
      </c>
    </row>
    <row r="4759" spans="6:6" ht="15">
      <c r="F4759" s="115">
        <f>+(disponibilidad[[#This Row],[Fecha y hora fin]]-disponibilidad[[#This Row],[Fecha y hora inicio]])*1440</f>
        <v>0</v>
      </c>
    </row>
    <row r="4760" spans="6:6" ht="15">
      <c r="F4760" s="115">
        <f>+(disponibilidad[[#This Row],[Fecha y hora fin]]-disponibilidad[[#This Row],[Fecha y hora inicio]])*1440</f>
        <v>0</v>
      </c>
    </row>
    <row r="4761" spans="6:6" ht="15">
      <c r="F4761" s="115">
        <f>+(disponibilidad[[#This Row],[Fecha y hora fin]]-disponibilidad[[#This Row],[Fecha y hora inicio]])*1440</f>
        <v>0</v>
      </c>
    </row>
    <row r="4762" spans="6:6" ht="15">
      <c r="F4762" s="115">
        <f>+(disponibilidad[[#This Row],[Fecha y hora fin]]-disponibilidad[[#This Row],[Fecha y hora inicio]])*1440</f>
        <v>0</v>
      </c>
    </row>
    <row r="4763" spans="6:6" ht="15">
      <c r="F4763" s="115">
        <f>+(disponibilidad[[#This Row],[Fecha y hora fin]]-disponibilidad[[#This Row],[Fecha y hora inicio]])*1440</f>
        <v>0</v>
      </c>
    </row>
    <row r="4764" spans="6:6" ht="15">
      <c r="F4764" s="115">
        <f>+(disponibilidad[[#This Row],[Fecha y hora fin]]-disponibilidad[[#This Row],[Fecha y hora inicio]])*1440</f>
        <v>0</v>
      </c>
    </row>
    <row r="4765" spans="6:6" ht="15">
      <c r="F4765" s="115">
        <f>+(disponibilidad[[#This Row],[Fecha y hora fin]]-disponibilidad[[#This Row],[Fecha y hora inicio]])*1440</f>
        <v>0</v>
      </c>
    </row>
    <row r="4766" spans="6:6" ht="15">
      <c r="F4766" s="115">
        <f>+(disponibilidad[[#This Row],[Fecha y hora fin]]-disponibilidad[[#This Row],[Fecha y hora inicio]])*1440</f>
        <v>0</v>
      </c>
    </row>
    <row r="4767" spans="6:6" ht="15">
      <c r="F4767" s="115">
        <f>+(disponibilidad[[#This Row],[Fecha y hora fin]]-disponibilidad[[#This Row],[Fecha y hora inicio]])*1440</f>
        <v>0</v>
      </c>
    </row>
    <row r="4768" spans="6:6" ht="15">
      <c r="F4768" s="115">
        <f>+(disponibilidad[[#This Row],[Fecha y hora fin]]-disponibilidad[[#This Row],[Fecha y hora inicio]])*1440</f>
        <v>0</v>
      </c>
    </row>
    <row r="4769" spans="6:6" ht="15">
      <c r="F4769" s="115">
        <f>+(disponibilidad[[#This Row],[Fecha y hora fin]]-disponibilidad[[#This Row],[Fecha y hora inicio]])*1440</f>
        <v>0</v>
      </c>
    </row>
    <row r="4770" spans="6:6" ht="15">
      <c r="F4770" s="115">
        <f>+(disponibilidad[[#This Row],[Fecha y hora fin]]-disponibilidad[[#This Row],[Fecha y hora inicio]])*1440</f>
        <v>0</v>
      </c>
    </row>
    <row r="4771" spans="6:6" ht="15">
      <c r="F4771" s="115">
        <f>+(disponibilidad[[#This Row],[Fecha y hora fin]]-disponibilidad[[#This Row],[Fecha y hora inicio]])*1440</f>
        <v>0</v>
      </c>
    </row>
    <row r="4772" spans="6:6" ht="15">
      <c r="F4772" s="115">
        <f>+(disponibilidad[[#This Row],[Fecha y hora fin]]-disponibilidad[[#This Row],[Fecha y hora inicio]])*1440</f>
        <v>0</v>
      </c>
    </row>
    <row r="4773" spans="6:6" ht="15">
      <c r="F4773" s="115">
        <f>+(disponibilidad[[#This Row],[Fecha y hora fin]]-disponibilidad[[#This Row],[Fecha y hora inicio]])*1440</f>
        <v>0</v>
      </c>
    </row>
    <row r="4774" spans="6:6" ht="15">
      <c r="F4774" s="115">
        <f>+(disponibilidad[[#This Row],[Fecha y hora fin]]-disponibilidad[[#This Row],[Fecha y hora inicio]])*1440</f>
        <v>0</v>
      </c>
    </row>
    <row r="4775" spans="6:6" ht="15">
      <c r="F4775" s="115">
        <f>+(disponibilidad[[#This Row],[Fecha y hora fin]]-disponibilidad[[#This Row],[Fecha y hora inicio]])*1440</f>
        <v>0</v>
      </c>
    </row>
    <row r="4776" spans="6:6" ht="15">
      <c r="F4776" s="115">
        <f>+(disponibilidad[[#This Row],[Fecha y hora fin]]-disponibilidad[[#This Row],[Fecha y hora inicio]])*1440</f>
        <v>0</v>
      </c>
    </row>
    <row r="4777" spans="6:6" ht="15">
      <c r="F4777" s="115">
        <f>+(disponibilidad[[#This Row],[Fecha y hora fin]]-disponibilidad[[#This Row],[Fecha y hora inicio]])*1440</f>
        <v>0</v>
      </c>
    </row>
    <row r="4778" spans="6:6" ht="15">
      <c r="F4778" s="115">
        <f>+(disponibilidad[[#This Row],[Fecha y hora fin]]-disponibilidad[[#This Row],[Fecha y hora inicio]])*1440</f>
        <v>0</v>
      </c>
    </row>
    <row r="4779" spans="6:6" ht="15">
      <c r="F4779" s="115">
        <f>+(disponibilidad[[#This Row],[Fecha y hora fin]]-disponibilidad[[#This Row],[Fecha y hora inicio]])*1440</f>
        <v>0</v>
      </c>
    </row>
    <row r="4780" spans="6:6" ht="15">
      <c r="F4780" s="115">
        <f>+(disponibilidad[[#This Row],[Fecha y hora fin]]-disponibilidad[[#This Row],[Fecha y hora inicio]])*1440</f>
        <v>0</v>
      </c>
    </row>
    <row r="4781" spans="6:6" ht="15">
      <c r="F4781" s="115">
        <f>+(disponibilidad[[#This Row],[Fecha y hora fin]]-disponibilidad[[#This Row],[Fecha y hora inicio]])*1440</f>
        <v>0</v>
      </c>
    </row>
    <row r="4782" spans="6:6" ht="15">
      <c r="F4782" s="115">
        <f>+(disponibilidad[[#This Row],[Fecha y hora fin]]-disponibilidad[[#This Row],[Fecha y hora inicio]])*1440</f>
        <v>0</v>
      </c>
    </row>
    <row r="4783" spans="6:6" ht="15">
      <c r="F4783" s="115">
        <f>+(disponibilidad[[#This Row],[Fecha y hora fin]]-disponibilidad[[#This Row],[Fecha y hora inicio]])*1440</f>
        <v>0</v>
      </c>
    </row>
    <row r="4784" spans="6:6" ht="15">
      <c r="F4784" s="115">
        <f>+(disponibilidad[[#This Row],[Fecha y hora fin]]-disponibilidad[[#This Row],[Fecha y hora inicio]])*1440</f>
        <v>0</v>
      </c>
    </row>
    <row r="4785" spans="6:6" ht="15">
      <c r="F4785" s="115">
        <f>+(disponibilidad[[#This Row],[Fecha y hora fin]]-disponibilidad[[#This Row],[Fecha y hora inicio]])*1440</f>
        <v>0</v>
      </c>
    </row>
    <row r="4786" spans="6:6" ht="15">
      <c r="F4786" s="115">
        <f>+(disponibilidad[[#This Row],[Fecha y hora fin]]-disponibilidad[[#This Row],[Fecha y hora inicio]])*1440</f>
        <v>0</v>
      </c>
    </row>
    <row r="4787" spans="6:6" ht="15">
      <c r="F4787" s="115">
        <f>+(disponibilidad[[#This Row],[Fecha y hora fin]]-disponibilidad[[#This Row],[Fecha y hora inicio]])*1440</f>
        <v>0</v>
      </c>
    </row>
    <row r="4788" spans="6:6" ht="15">
      <c r="F4788" s="115">
        <f>+(disponibilidad[[#This Row],[Fecha y hora fin]]-disponibilidad[[#This Row],[Fecha y hora inicio]])*1440</f>
        <v>0</v>
      </c>
    </row>
    <row r="4789" spans="6:6" ht="15">
      <c r="F4789" s="115">
        <f>+(disponibilidad[[#This Row],[Fecha y hora fin]]-disponibilidad[[#This Row],[Fecha y hora inicio]])*1440</f>
        <v>0</v>
      </c>
    </row>
    <row r="4790" spans="6:6" ht="15">
      <c r="F4790" s="115">
        <f>+(disponibilidad[[#This Row],[Fecha y hora fin]]-disponibilidad[[#This Row],[Fecha y hora inicio]])*1440</f>
        <v>0</v>
      </c>
    </row>
    <row r="4791" spans="6:6" ht="15">
      <c r="F4791" s="115">
        <f>+(disponibilidad[[#This Row],[Fecha y hora fin]]-disponibilidad[[#This Row],[Fecha y hora inicio]])*1440</f>
        <v>0</v>
      </c>
    </row>
    <row r="4792" spans="6:6" ht="15">
      <c r="F4792" s="115">
        <f>+(disponibilidad[[#This Row],[Fecha y hora fin]]-disponibilidad[[#This Row],[Fecha y hora inicio]])*1440</f>
        <v>0</v>
      </c>
    </row>
    <row r="4793" spans="6:6" ht="15">
      <c r="F4793" s="115">
        <f>+(disponibilidad[[#This Row],[Fecha y hora fin]]-disponibilidad[[#This Row],[Fecha y hora inicio]])*1440</f>
        <v>0</v>
      </c>
    </row>
    <row r="4794" spans="6:6" ht="15">
      <c r="F4794" s="115">
        <f>+(disponibilidad[[#This Row],[Fecha y hora fin]]-disponibilidad[[#This Row],[Fecha y hora inicio]])*1440</f>
        <v>0</v>
      </c>
    </row>
    <row r="4795" spans="6:6" ht="15">
      <c r="F4795" s="115">
        <f>+(disponibilidad[[#This Row],[Fecha y hora fin]]-disponibilidad[[#This Row],[Fecha y hora inicio]])*1440</f>
        <v>0</v>
      </c>
    </row>
    <row r="4796" spans="6:6" ht="15">
      <c r="F4796" s="115">
        <f>+(disponibilidad[[#This Row],[Fecha y hora fin]]-disponibilidad[[#This Row],[Fecha y hora inicio]])*1440</f>
        <v>0</v>
      </c>
    </row>
    <row r="4797" spans="6:6" ht="15">
      <c r="F4797" s="115">
        <f>+(disponibilidad[[#This Row],[Fecha y hora fin]]-disponibilidad[[#This Row],[Fecha y hora inicio]])*1440</f>
        <v>0</v>
      </c>
    </row>
    <row r="4798" spans="6:6" ht="15">
      <c r="F4798" s="115">
        <f>+(disponibilidad[[#This Row],[Fecha y hora fin]]-disponibilidad[[#This Row],[Fecha y hora inicio]])*1440</f>
        <v>0</v>
      </c>
    </row>
    <row r="4799" spans="6:6" ht="15">
      <c r="F4799" s="115">
        <f>+(disponibilidad[[#This Row],[Fecha y hora fin]]-disponibilidad[[#This Row],[Fecha y hora inicio]])*1440</f>
        <v>0</v>
      </c>
    </row>
    <row r="4800" spans="6:6" ht="15">
      <c r="F4800" s="115">
        <f>+(disponibilidad[[#This Row],[Fecha y hora fin]]-disponibilidad[[#This Row],[Fecha y hora inicio]])*1440</f>
        <v>0</v>
      </c>
    </row>
    <row r="4801" spans="6:6" ht="15">
      <c r="F4801" s="115">
        <f>+(disponibilidad[[#This Row],[Fecha y hora fin]]-disponibilidad[[#This Row],[Fecha y hora inicio]])*1440</f>
        <v>0</v>
      </c>
    </row>
    <row r="4802" spans="6:6" ht="15">
      <c r="F4802" s="115">
        <f>+(disponibilidad[[#This Row],[Fecha y hora fin]]-disponibilidad[[#This Row],[Fecha y hora inicio]])*1440</f>
        <v>0</v>
      </c>
    </row>
    <row r="4803" spans="6:6" ht="15">
      <c r="F4803" s="115">
        <f>+(disponibilidad[[#This Row],[Fecha y hora fin]]-disponibilidad[[#This Row],[Fecha y hora inicio]])*1440</f>
        <v>0</v>
      </c>
    </row>
    <row r="4804" spans="6:6" ht="15">
      <c r="F4804" s="115">
        <f>+(disponibilidad[[#This Row],[Fecha y hora fin]]-disponibilidad[[#This Row],[Fecha y hora inicio]])*1440</f>
        <v>0</v>
      </c>
    </row>
    <row r="4805" spans="6:6" ht="15">
      <c r="F4805" s="115">
        <f>+(disponibilidad[[#This Row],[Fecha y hora fin]]-disponibilidad[[#This Row],[Fecha y hora inicio]])*1440</f>
        <v>0</v>
      </c>
    </row>
    <row r="4806" spans="6:6" ht="15">
      <c r="F4806" s="115">
        <f>+(disponibilidad[[#This Row],[Fecha y hora fin]]-disponibilidad[[#This Row],[Fecha y hora inicio]])*1440</f>
        <v>0</v>
      </c>
    </row>
    <row r="4807" spans="6:6" ht="15">
      <c r="F4807" s="115">
        <f>+(disponibilidad[[#This Row],[Fecha y hora fin]]-disponibilidad[[#This Row],[Fecha y hora inicio]])*1440</f>
        <v>0</v>
      </c>
    </row>
    <row r="4808" spans="6:6" ht="15">
      <c r="F4808" s="115">
        <f>+(disponibilidad[[#This Row],[Fecha y hora fin]]-disponibilidad[[#This Row],[Fecha y hora inicio]])*1440</f>
        <v>0</v>
      </c>
    </row>
    <row r="4809" spans="6:6" ht="15">
      <c r="F4809" s="115">
        <f>+(disponibilidad[[#This Row],[Fecha y hora fin]]-disponibilidad[[#This Row],[Fecha y hora inicio]])*1440</f>
        <v>0</v>
      </c>
    </row>
    <row r="4810" spans="6:6" ht="15">
      <c r="F4810" s="115">
        <f>+(disponibilidad[[#This Row],[Fecha y hora fin]]-disponibilidad[[#This Row],[Fecha y hora inicio]])*1440</f>
        <v>0</v>
      </c>
    </row>
    <row r="4811" spans="6:6" ht="15">
      <c r="F4811" s="115">
        <f>+(disponibilidad[[#This Row],[Fecha y hora fin]]-disponibilidad[[#This Row],[Fecha y hora inicio]])*1440</f>
        <v>0</v>
      </c>
    </row>
    <row r="4812" spans="6:6" ht="15">
      <c r="F4812" s="115">
        <f>+(disponibilidad[[#This Row],[Fecha y hora fin]]-disponibilidad[[#This Row],[Fecha y hora inicio]])*1440</f>
        <v>0</v>
      </c>
    </row>
    <row r="4813" spans="6:6" ht="15">
      <c r="F4813" s="115">
        <f>+(disponibilidad[[#This Row],[Fecha y hora fin]]-disponibilidad[[#This Row],[Fecha y hora inicio]])*1440</f>
        <v>0</v>
      </c>
    </row>
    <row r="4814" spans="6:6" ht="15">
      <c r="F4814" s="115">
        <f>+(disponibilidad[[#This Row],[Fecha y hora fin]]-disponibilidad[[#This Row],[Fecha y hora inicio]])*1440</f>
        <v>0</v>
      </c>
    </row>
    <row r="4815" spans="6:6" ht="15">
      <c r="F4815" s="115">
        <f>+(disponibilidad[[#This Row],[Fecha y hora fin]]-disponibilidad[[#This Row],[Fecha y hora inicio]])*1440</f>
        <v>0</v>
      </c>
    </row>
    <row r="4816" spans="6:6" ht="15">
      <c r="F4816" s="115">
        <f>+(disponibilidad[[#This Row],[Fecha y hora fin]]-disponibilidad[[#This Row],[Fecha y hora inicio]])*1440</f>
        <v>0</v>
      </c>
    </row>
    <row r="4817" spans="6:6" ht="15">
      <c r="F4817" s="115">
        <f>+(disponibilidad[[#This Row],[Fecha y hora fin]]-disponibilidad[[#This Row],[Fecha y hora inicio]])*1440</f>
        <v>0</v>
      </c>
    </row>
    <row r="4818" spans="6:6" ht="15">
      <c r="F4818" s="115">
        <f>+(disponibilidad[[#This Row],[Fecha y hora fin]]-disponibilidad[[#This Row],[Fecha y hora inicio]])*1440</f>
        <v>0</v>
      </c>
    </row>
    <row r="4819" spans="6:6" ht="15">
      <c r="F4819" s="115">
        <f>+(disponibilidad[[#This Row],[Fecha y hora fin]]-disponibilidad[[#This Row],[Fecha y hora inicio]])*1440</f>
        <v>0</v>
      </c>
    </row>
    <row r="4820" spans="6:6" ht="15">
      <c r="F4820" s="115">
        <f>+(disponibilidad[[#This Row],[Fecha y hora fin]]-disponibilidad[[#This Row],[Fecha y hora inicio]])*1440</f>
        <v>0</v>
      </c>
    </row>
    <row r="4821" spans="6:6" ht="15">
      <c r="F4821" s="115">
        <f>+(disponibilidad[[#This Row],[Fecha y hora fin]]-disponibilidad[[#This Row],[Fecha y hora inicio]])*1440</f>
        <v>0</v>
      </c>
    </row>
    <row r="4822" spans="6:6" ht="15">
      <c r="F4822" s="115">
        <f>+(disponibilidad[[#This Row],[Fecha y hora fin]]-disponibilidad[[#This Row],[Fecha y hora inicio]])*1440</f>
        <v>0</v>
      </c>
    </row>
    <row r="4823" spans="6:6" ht="15">
      <c r="F4823" s="115">
        <f>+(disponibilidad[[#This Row],[Fecha y hora fin]]-disponibilidad[[#This Row],[Fecha y hora inicio]])*1440</f>
        <v>0</v>
      </c>
    </row>
    <row r="4824" spans="6:6" ht="15">
      <c r="F4824" s="115">
        <f>+(disponibilidad[[#This Row],[Fecha y hora fin]]-disponibilidad[[#This Row],[Fecha y hora inicio]])*1440</f>
        <v>0</v>
      </c>
    </row>
    <row r="4825" spans="6:6" ht="15">
      <c r="F4825" s="115">
        <f>+(disponibilidad[[#This Row],[Fecha y hora fin]]-disponibilidad[[#This Row],[Fecha y hora inicio]])*1440</f>
        <v>0</v>
      </c>
    </row>
    <row r="4826" spans="6:6" ht="15">
      <c r="F4826" s="115">
        <f>+(disponibilidad[[#This Row],[Fecha y hora fin]]-disponibilidad[[#This Row],[Fecha y hora inicio]])*1440</f>
        <v>0</v>
      </c>
    </row>
    <row r="4827" spans="6:6" ht="15">
      <c r="F4827" s="115">
        <f>+(disponibilidad[[#This Row],[Fecha y hora fin]]-disponibilidad[[#This Row],[Fecha y hora inicio]])*1440</f>
        <v>0</v>
      </c>
    </row>
    <row r="4828" spans="6:6" ht="15">
      <c r="F4828" s="115">
        <f>+(disponibilidad[[#This Row],[Fecha y hora fin]]-disponibilidad[[#This Row],[Fecha y hora inicio]])*1440</f>
        <v>0</v>
      </c>
    </row>
    <row r="4829" spans="6:6" ht="15">
      <c r="F4829" s="115">
        <f>+(disponibilidad[[#This Row],[Fecha y hora fin]]-disponibilidad[[#This Row],[Fecha y hora inicio]])*1440</f>
        <v>0</v>
      </c>
    </row>
    <row r="4830" spans="6:6" ht="15">
      <c r="F4830" s="115">
        <f>+(disponibilidad[[#This Row],[Fecha y hora fin]]-disponibilidad[[#This Row],[Fecha y hora inicio]])*1440</f>
        <v>0</v>
      </c>
    </row>
    <row r="4831" spans="6:6" ht="15">
      <c r="F4831" s="115">
        <f>+(disponibilidad[[#This Row],[Fecha y hora fin]]-disponibilidad[[#This Row],[Fecha y hora inicio]])*1440</f>
        <v>0</v>
      </c>
    </row>
    <row r="4832" spans="6:6" ht="15">
      <c r="F4832" s="115">
        <f>+(disponibilidad[[#This Row],[Fecha y hora fin]]-disponibilidad[[#This Row],[Fecha y hora inicio]])*1440</f>
        <v>0</v>
      </c>
    </row>
    <row r="4833" spans="6:6" ht="15">
      <c r="F4833" s="115">
        <f>+(disponibilidad[[#This Row],[Fecha y hora fin]]-disponibilidad[[#This Row],[Fecha y hora inicio]])*1440</f>
        <v>0</v>
      </c>
    </row>
    <row r="4834" spans="6:6" ht="15">
      <c r="F4834" s="115">
        <f>+(disponibilidad[[#This Row],[Fecha y hora fin]]-disponibilidad[[#This Row],[Fecha y hora inicio]])*1440</f>
        <v>0</v>
      </c>
    </row>
    <row r="4835" spans="6:6" ht="15">
      <c r="F4835" s="115">
        <f>+(disponibilidad[[#This Row],[Fecha y hora fin]]-disponibilidad[[#This Row],[Fecha y hora inicio]])*1440</f>
        <v>0</v>
      </c>
    </row>
    <row r="4836" spans="6:6" ht="15">
      <c r="F4836" s="115">
        <f>+(disponibilidad[[#This Row],[Fecha y hora fin]]-disponibilidad[[#This Row],[Fecha y hora inicio]])*1440</f>
        <v>0</v>
      </c>
    </row>
    <row r="4837" spans="6:6" ht="15">
      <c r="F4837" s="115">
        <f>+(disponibilidad[[#This Row],[Fecha y hora fin]]-disponibilidad[[#This Row],[Fecha y hora inicio]])*1440</f>
        <v>0</v>
      </c>
    </row>
    <row r="4838" spans="6:6" ht="15">
      <c r="F4838" s="115">
        <f>+(disponibilidad[[#This Row],[Fecha y hora fin]]-disponibilidad[[#This Row],[Fecha y hora inicio]])*1440</f>
        <v>0</v>
      </c>
    </row>
    <row r="4839" spans="6:6" ht="15">
      <c r="F4839" s="115">
        <f>+(disponibilidad[[#This Row],[Fecha y hora fin]]-disponibilidad[[#This Row],[Fecha y hora inicio]])*1440</f>
        <v>0</v>
      </c>
    </row>
    <row r="4840" spans="6:6" ht="15">
      <c r="F4840" s="115">
        <f>+(disponibilidad[[#This Row],[Fecha y hora fin]]-disponibilidad[[#This Row],[Fecha y hora inicio]])*1440</f>
        <v>0</v>
      </c>
    </row>
    <row r="4841" spans="6:6" ht="15">
      <c r="F4841" s="115">
        <f>+(disponibilidad[[#This Row],[Fecha y hora fin]]-disponibilidad[[#This Row],[Fecha y hora inicio]])*1440</f>
        <v>0</v>
      </c>
    </row>
    <row r="4842" spans="6:6" ht="15">
      <c r="F4842" s="115">
        <f>+(disponibilidad[[#This Row],[Fecha y hora fin]]-disponibilidad[[#This Row],[Fecha y hora inicio]])*1440</f>
        <v>0</v>
      </c>
    </row>
    <row r="4843" spans="6:6" ht="15">
      <c r="F4843" s="115">
        <f>+(disponibilidad[[#This Row],[Fecha y hora fin]]-disponibilidad[[#This Row],[Fecha y hora inicio]])*1440</f>
        <v>0</v>
      </c>
    </row>
    <row r="4844" spans="6:6" ht="15">
      <c r="F4844" s="115">
        <f>+(disponibilidad[[#This Row],[Fecha y hora fin]]-disponibilidad[[#This Row],[Fecha y hora inicio]])*1440</f>
        <v>0</v>
      </c>
    </row>
    <row r="4845" spans="6:6" ht="15">
      <c r="F4845" s="115">
        <f>+(disponibilidad[[#This Row],[Fecha y hora fin]]-disponibilidad[[#This Row],[Fecha y hora inicio]])*1440</f>
        <v>0</v>
      </c>
    </row>
    <row r="4846" spans="6:6" ht="15">
      <c r="F4846" s="115">
        <f>+(disponibilidad[[#This Row],[Fecha y hora fin]]-disponibilidad[[#This Row],[Fecha y hora inicio]])*1440</f>
        <v>0</v>
      </c>
    </row>
    <row r="4847" spans="6:6" ht="15">
      <c r="F4847" s="115">
        <f>+(disponibilidad[[#This Row],[Fecha y hora fin]]-disponibilidad[[#This Row],[Fecha y hora inicio]])*1440</f>
        <v>0</v>
      </c>
    </row>
    <row r="4848" spans="6:6" ht="15">
      <c r="F4848" s="115">
        <f>+(disponibilidad[[#This Row],[Fecha y hora fin]]-disponibilidad[[#This Row],[Fecha y hora inicio]])*1440</f>
        <v>0</v>
      </c>
    </row>
    <row r="4849" spans="6:6" ht="15">
      <c r="F4849" s="115">
        <f>+(disponibilidad[[#This Row],[Fecha y hora fin]]-disponibilidad[[#This Row],[Fecha y hora inicio]])*1440</f>
        <v>0</v>
      </c>
    </row>
    <row r="4850" spans="6:6" ht="15">
      <c r="F4850" s="115">
        <f>+(disponibilidad[[#This Row],[Fecha y hora fin]]-disponibilidad[[#This Row],[Fecha y hora inicio]])*1440</f>
        <v>0</v>
      </c>
    </row>
    <row r="4851" spans="6:6" ht="15">
      <c r="F4851" s="115">
        <f>+(disponibilidad[[#This Row],[Fecha y hora fin]]-disponibilidad[[#This Row],[Fecha y hora inicio]])*1440</f>
        <v>0</v>
      </c>
    </row>
    <row r="4852" spans="6:6" ht="15">
      <c r="F4852" s="115">
        <f>+(disponibilidad[[#This Row],[Fecha y hora fin]]-disponibilidad[[#This Row],[Fecha y hora inicio]])*1440</f>
        <v>0</v>
      </c>
    </row>
    <row r="4853" spans="6:6" ht="15">
      <c r="F4853" s="115">
        <f>+(disponibilidad[[#This Row],[Fecha y hora fin]]-disponibilidad[[#This Row],[Fecha y hora inicio]])*1440</f>
        <v>0</v>
      </c>
    </row>
    <row r="4854" spans="6:6" ht="15">
      <c r="F4854" s="115">
        <f>+(disponibilidad[[#This Row],[Fecha y hora fin]]-disponibilidad[[#This Row],[Fecha y hora inicio]])*1440</f>
        <v>0</v>
      </c>
    </row>
    <row r="4855" spans="6:6" ht="15">
      <c r="F4855" s="115">
        <f>+(disponibilidad[[#This Row],[Fecha y hora fin]]-disponibilidad[[#This Row],[Fecha y hora inicio]])*1440</f>
        <v>0</v>
      </c>
    </row>
    <row r="4856" spans="6:6" ht="15">
      <c r="F4856" s="115">
        <f>+(disponibilidad[[#This Row],[Fecha y hora fin]]-disponibilidad[[#This Row],[Fecha y hora inicio]])*1440</f>
        <v>0</v>
      </c>
    </row>
    <row r="4857" spans="6:6" ht="15">
      <c r="F4857" s="115">
        <f>+(disponibilidad[[#This Row],[Fecha y hora fin]]-disponibilidad[[#This Row],[Fecha y hora inicio]])*1440</f>
        <v>0</v>
      </c>
    </row>
    <row r="4858" spans="6:6" ht="15">
      <c r="F4858" s="115">
        <f>+(disponibilidad[[#This Row],[Fecha y hora fin]]-disponibilidad[[#This Row],[Fecha y hora inicio]])*1440</f>
        <v>0</v>
      </c>
    </row>
    <row r="4859" spans="6:6" ht="15">
      <c r="F4859" s="115">
        <f>+(disponibilidad[[#This Row],[Fecha y hora fin]]-disponibilidad[[#This Row],[Fecha y hora inicio]])*1440</f>
        <v>0</v>
      </c>
    </row>
    <row r="4860" spans="6:6" ht="15">
      <c r="F4860" s="115">
        <f>+(disponibilidad[[#This Row],[Fecha y hora fin]]-disponibilidad[[#This Row],[Fecha y hora inicio]])*1440</f>
        <v>0</v>
      </c>
    </row>
    <row r="4861" spans="6:6" ht="15">
      <c r="F4861" s="115">
        <f>+(disponibilidad[[#This Row],[Fecha y hora fin]]-disponibilidad[[#This Row],[Fecha y hora inicio]])*1440</f>
        <v>0</v>
      </c>
    </row>
    <row r="4862" spans="6:6" ht="15">
      <c r="F4862" s="115">
        <f>+(disponibilidad[[#This Row],[Fecha y hora fin]]-disponibilidad[[#This Row],[Fecha y hora inicio]])*1440</f>
        <v>0</v>
      </c>
    </row>
    <row r="4863" spans="6:6" ht="15">
      <c r="F4863" s="115">
        <f>+(disponibilidad[[#This Row],[Fecha y hora fin]]-disponibilidad[[#This Row],[Fecha y hora inicio]])*1440</f>
        <v>0</v>
      </c>
    </row>
    <row r="4864" spans="6:6" ht="15">
      <c r="F4864" s="115">
        <f>+(disponibilidad[[#This Row],[Fecha y hora fin]]-disponibilidad[[#This Row],[Fecha y hora inicio]])*1440</f>
        <v>0</v>
      </c>
    </row>
    <row r="4865" spans="6:6" ht="15">
      <c r="F4865" s="115">
        <f>+(disponibilidad[[#This Row],[Fecha y hora fin]]-disponibilidad[[#This Row],[Fecha y hora inicio]])*1440</f>
        <v>0</v>
      </c>
    </row>
    <row r="4866" spans="6:6" ht="15">
      <c r="F4866" s="115">
        <f>+(disponibilidad[[#This Row],[Fecha y hora fin]]-disponibilidad[[#This Row],[Fecha y hora inicio]])*1440</f>
        <v>0</v>
      </c>
    </row>
    <row r="4867" spans="6:6" ht="15">
      <c r="F4867" s="115">
        <f>+(disponibilidad[[#This Row],[Fecha y hora fin]]-disponibilidad[[#This Row],[Fecha y hora inicio]])*1440</f>
        <v>0</v>
      </c>
    </row>
    <row r="4868" spans="6:6" ht="15">
      <c r="F4868" s="115">
        <f>+(disponibilidad[[#This Row],[Fecha y hora fin]]-disponibilidad[[#This Row],[Fecha y hora inicio]])*1440</f>
        <v>0</v>
      </c>
    </row>
    <row r="4869" spans="6:6" ht="15">
      <c r="F4869" s="115">
        <f>+(disponibilidad[[#This Row],[Fecha y hora fin]]-disponibilidad[[#This Row],[Fecha y hora inicio]])*1440</f>
        <v>0</v>
      </c>
    </row>
    <row r="4870" spans="6:6" ht="15">
      <c r="F4870" s="115">
        <f>+(disponibilidad[[#This Row],[Fecha y hora fin]]-disponibilidad[[#This Row],[Fecha y hora inicio]])*1440</f>
        <v>0</v>
      </c>
    </row>
    <row r="4871" spans="6:6" ht="15">
      <c r="F4871" s="115">
        <f>+(disponibilidad[[#This Row],[Fecha y hora fin]]-disponibilidad[[#This Row],[Fecha y hora inicio]])*1440</f>
        <v>0</v>
      </c>
    </row>
    <row r="4872" spans="6:6" ht="15">
      <c r="F4872" s="115">
        <f>+(disponibilidad[[#This Row],[Fecha y hora fin]]-disponibilidad[[#This Row],[Fecha y hora inicio]])*1440</f>
        <v>0</v>
      </c>
    </row>
    <row r="4873" spans="6:6" ht="15">
      <c r="F4873" s="115">
        <f>+(disponibilidad[[#This Row],[Fecha y hora fin]]-disponibilidad[[#This Row],[Fecha y hora inicio]])*1440</f>
        <v>0</v>
      </c>
    </row>
    <row r="4874" spans="6:6" ht="15">
      <c r="F4874" s="115">
        <f>+(disponibilidad[[#This Row],[Fecha y hora fin]]-disponibilidad[[#This Row],[Fecha y hora inicio]])*1440</f>
        <v>0</v>
      </c>
    </row>
    <row r="4875" spans="6:6" ht="15">
      <c r="F4875" s="115">
        <f>+(disponibilidad[[#This Row],[Fecha y hora fin]]-disponibilidad[[#This Row],[Fecha y hora inicio]])*1440</f>
        <v>0</v>
      </c>
    </row>
    <row r="4876" spans="6:6" ht="15">
      <c r="F4876" s="115">
        <f>+(disponibilidad[[#This Row],[Fecha y hora fin]]-disponibilidad[[#This Row],[Fecha y hora inicio]])*1440</f>
        <v>0</v>
      </c>
    </row>
    <row r="4877" spans="6:6" ht="15">
      <c r="F4877" s="115">
        <f>+(disponibilidad[[#This Row],[Fecha y hora fin]]-disponibilidad[[#This Row],[Fecha y hora inicio]])*1440</f>
        <v>0</v>
      </c>
    </row>
    <row r="4878" spans="6:6" ht="15">
      <c r="F4878" s="115">
        <f>+(disponibilidad[[#This Row],[Fecha y hora fin]]-disponibilidad[[#This Row],[Fecha y hora inicio]])*1440</f>
        <v>0</v>
      </c>
    </row>
    <row r="4879" spans="6:6" ht="15">
      <c r="F4879" s="115">
        <f>+(disponibilidad[[#This Row],[Fecha y hora fin]]-disponibilidad[[#This Row],[Fecha y hora inicio]])*1440</f>
        <v>0</v>
      </c>
    </row>
    <row r="4880" spans="6:6" ht="15">
      <c r="F4880" s="115">
        <f>+(disponibilidad[[#This Row],[Fecha y hora fin]]-disponibilidad[[#This Row],[Fecha y hora inicio]])*1440</f>
        <v>0</v>
      </c>
    </row>
    <row r="4881" spans="6:6" ht="15">
      <c r="F4881" s="115">
        <f>+(disponibilidad[[#This Row],[Fecha y hora fin]]-disponibilidad[[#This Row],[Fecha y hora inicio]])*1440</f>
        <v>0</v>
      </c>
    </row>
    <row r="4882" spans="6:6" ht="15">
      <c r="F4882" s="115">
        <f>+(disponibilidad[[#This Row],[Fecha y hora fin]]-disponibilidad[[#This Row],[Fecha y hora inicio]])*1440</f>
        <v>0</v>
      </c>
    </row>
    <row r="4883" spans="6:6" ht="15">
      <c r="F4883" s="115">
        <f>+(disponibilidad[[#This Row],[Fecha y hora fin]]-disponibilidad[[#This Row],[Fecha y hora inicio]])*1440</f>
        <v>0</v>
      </c>
    </row>
    <row r="4884" spans="6:6" ht="15">
      <c r="F4884" s="115">
        <f>+(disponibilidad[[#This Row],[Fecha y hora fin]]-disponibilidad[[#This Row],[Fecha y hora inicio]])*1440</f>
        <v>0</v>
      </c>
    </row>
    <row r="4885" spans="6:6" ht="15">
      <c r="F4885" s="115">
        <f>+(disponibilidad[[#This Row],[Fecha y hora fin]]-disponibilidad[[#This Row],[Fecha y hora inicio]])*1440</f>
        <v>0</v>
      </c>
    </row>
    <row r="4886" spans="6:6" ht="15">
      <c r="F4886" s="115">
        <f>+(disponibilidad[[#This Row],[Fecha y hora fin]]-disponibilidad[[#This Row],[Fecha y hora inicio]])*1440</f>
        <v>0</v>
      </c>
    </row>
    <row r="4887" spans="6:6" ht="15">
      <c r="F4887" s="115">
        <f>+(disponibilidad[[#This Row],[Fecha y hora fin]]-disponibilidad[[#This Row],[Fecha y hora inicio]])*1440</f>
        <v>0</v>
      </c>
    </row>
    <row r="4888" spans="6:6" ht="15">
      <c r="F4888" s="115">
        <f>+(disponibilidad[[#This Row],[Fecha y hora fin]]-disponibilidad[[#This Row],[Fecha y hora inicio]])*1440</f>
        <v>0</v>
      </c>
    </row>
    <row r="4889" spans="6:6" ht="15">
      <c r="F4889" s="115">
        <f>+(disponibilidad[[#This Row],[Fecha y hora fin]]-disponibilidad[[#This Row],[Fecha y hora inicio]])*1440</f>
        <v>0</v>
      </c>
    </row>
    <row r="4890" spans="6:6" ht="15">
      <c r="F4890" s="115">
        <f>+(disponibilidad[[#This Row],[Fecha y hora fin]]-disponibilidad[[#This Row],[Fecha y hora inicio]])*1440</f>
        <v>0</v>
      </c>
    </row>
    <row r="4891" spans="6:6" ht="15">
      <c r="F4891" s="115">
        <f>+(disponibilidad[[#This Row],[Fecha y hora fin]]-disponibilidad[[#This Row],[Fecha y hora inicio]])*1440</f>
        <v>0</v>
      </c>
    </row>
    <row r="4892" spans="6:6" ht="15">
      <c r="F4892" s="115">
        <f>+(disponibilidad[[#This Row],[Fecha y hora fin]]-disponibilidad[[#This Row],[Fecha y hora inicio]])*1440</f>
        <v>0</v>
      </c>
    </row>
    <row r="4893" spans="6:6" ht="15">
      <c r="F4893" s="115">
        <f>+(disponibilidad[[#This Row],[Fecha y hora fin]]-disponibilidad[[#This Row],[Fecha y hora inicio]])*1440</f>
        <v>0</v>
      </c>
    </row>
    <row r="4894" spans="6:6" ht="15">
      <c r="F4894" s="115">
        <f>+(disponibilidad[[#This Row],[Fecha y hora fin]]-disponibilidad[[#This Row],[Fecha y hora inicio]])*1440</f>
        <v>0</v>
      </c>
    </row>
    <row r="4895" spans="6:6" ht="15">
      <c r="F4895" s="115">
        <f>+(disponibilidad[[#This Row],[Fecha y hora fin]]-disponibilidad[[#This Row],[Fecha y hora inicio]])*1440</f>
        <v>0</v>
      </c>
    </row>
    <row r="4896" spans="6:6" ht="15">
      <c r="F4896" s="115">
        <f>+(disponibilidad[[#This Row],[Fecha y hora fin]]-disponibilidad[[#This Row],[Fecha y hora inicio]])*1440</f>
        <v>0</v>
      </c>
    </row>
    <row r="4897" spans="6:6" ht="15">
      <c r="F4897" s="115">
        <f>+(disponibilidad[[#This Row],[Fecha y hora fin]]-disponibilidad[[#This Row],[Fecha y hora inicio]])*1440</f>
        <v>0</v>
      </c>
    </row>
    <row r="4898" spans="6:6" ht="15">
      <c r="F4898" s="115">
        <f>+(disponibilidad[[#This Row],[Fecha y hora fin]]-disponibilidad[[#This Row],[Fecha y hora inicio]])*1440</f>
        <v>0</v>
      </c>
    </row>
    <row r="4899" spans="6:6" ht="15">
      <c r="F4899" s="115">
        <f>+(disponibilidad[[#This Row],[Fecha y hora fin]]-disponibilidad[[#This Row],[Fecha y hora inicio]])*1440</f>
        <v>0</v>
      </c>
    </row>
    <row r="4900" spans="6:6" ht="15">
      <c r="F4900" s="115">
        <f>+(disponibilidad[[#This Row],[Fecha y hora fin]]-disponibilidad[[#This Row],[Fecha y hora inicio]])*1440</f>
        <v>0</v>
      </c>
    </row>
    <row r="4901" spans="6:6" ht="15">
      <c r="F4901" s="115">
        <f>+(disponibilidad[[#This Row],[Fecha y hora fin]]-disponibilidad[[#This Row],[Fecha y hora inicio]])*1440</f>
        <v>0</v>
      </c>
    </row>
    <row r="4902" spans="6:6" ht="15">
      <c r="F4902" s="115">
        <f>+(disponibilidad[[#This Row],[Fecha y hora fin]]-disponibilidad[[#This Row],[Fecha y hora inicio]])*1440</f>
        <v>0</v>
      </c>
    </row>
    <row r="4903" spans="6:6" ht="15">
      <c r="F4903" s="115">
        <f>+(disponibilidad[[#This Row],[Fecha y hora fin]]-disponibilidad[[#This Row],[Fecha y hora inicio]])*1440</f>
        <v>0</v>
      </c>
    </row>
    <row r="4904" spans="6:6" ht="15">
      <c r="F4904" s="115">
        <f>+(disponibilidad[[#This Row],[Fecha y hora fin]]-disponibilidad[[#This Row],[Fecha y hora inicio]])*1440</f>
        <v>0</v>
      </c>
    </row>
    <row r="4905" spans="6:6" ht="15">
      <c r="F4905" s="115">
        <f>+(disponibilidad[[#This Row],[Fecha y hora fin]]-disponibilidad[[#This Row],[Fecha y hora inicio]])*1440</f>
        <v>0</v>
      </c>
    </row>
    <row r="4906" spans="6:6" ht="15">
      <c r="F4906" s="115">
        <f>+(disponibilidad[[#This Row],[Fecha y hora fin]]-disponibilidad[[#This Row],[Fecha y hora inicio]])*1440</f>
        <v>0</v>
      </c>
    </row>
    <row r="4907" spans="6:6" ht="15">
      <c r="F4907" s="115">
        <f>+(disponibilidad[[#This Row],[Fecha y hora fin]]-disponibilidad[[#This Row],[Fecha y hora inicio]])*1440</f>
        <v>0</v>
      </c>
    </row>
    <row r="4908" spans="6:6" ht="15">
      <c r="F4908" s="115">
        <f>+(disponibilidad[[#This Row],[Fecha y hora fin]]-disponibilidad[[#This Row],[Fecha y hora inicio]])*1440</f>
        <v>0</v>
      </c>
    </row>
    <row r="4909" spans="6:6" ht="15">
      <c r="F4909" s="115">
        <f>+(disponibilidad[[#This Row],[Fecha y hora fin]]-disponibilidad[[#This Row],[Fecha y hora inicio]])*1440</f>
        <v>0</v>
      </c>
    </row>
    <row r="4910" spans="6:6" ht="15">
      <c r="F4910" s="115">
        <f>+(disponibilidad[[#This Row],[Fecha y hora fin]]-disponibilidad[[#This Row],[Fecha y hora inicio]])*1440</f>
        <v>0</v>
      </c>
    </row>
    <row r="4911" spans="6:6" ht="15">
      <c r="F4911" s="115">
        <f>+(disponibilidad[[#This Row],[Fecha y hora fin]]-disponibilidad[[#This Row],[Fecha y hora inicio]])*1440</f>
        <v>0</v>
      </c>
    </row>
    <row r="4912" spans="6:6" ht="15">
      <c r="F4912" s="115">
        <f>+(disponibilidad[[#This Row],[Fecha y hora fin]]-disponibilidad[[#This Row],[Fecha y hora inicio]])*1440</f>
        <v>0</v>
      </c>
    </row>
    <row r="4913" spans="6:6" ht="15">
      <c r="F4913" s="115">
        <f>+(disponibilidad[[#This Row],[Fecha y hora fin]]-disponibilidad[[#This Row],[Fecha y hora inicio]])*1440</f>
        <v>0</v>
      </c>
    </row>
    <row r="4914" spans="6:6" ht="15">
      <c r="F4914" s="115">
        <f>+(disponibilidad[[#This Row],[Fecha y hora fin]]-disponibilidad[[#This Row],[Fecha y hora inicio]])*1440</f>
        <v>0</v>
      </c>
    </row>
    <row r="4915" spans="6:6" ht="15">
      <c r="F4915" s="115">
        <f>+(disponibilidad[[#This Row],[Fecha y hora fin]]-disponibilidad[[#This Row],[Fecha y hora inicio]])*1440</f>
        <v>0</v>
      </c>
    </row>
    <row r="4916" spans="6:6" ht="15">
      <c r="F4916" s="115">
        <f>+(disponibilidad[[#This Row],[Fecha y hora fin]]-disponibilidad[[#This Row],[Fecha y hora inicio]])*1440</f>
        <v>0</v>
      </c>
    </row>
    <row r="4917" spans="6:6" ht="15">
      <c r="F4917" s="115">
        <f>+(disponibilidad[[#This Row],[Fecha y hora fin]]-disponibilidad[[#This Row],[Fecha y hora inicio]])*1440</f>
        <v>0</v>
      </c>
    </row>
    <row r="4918" spans="6:6" ht="15">
      <c r="F4918" s="115">
        <f>+(disponibilidad[[#This Row],[Fecha y hora fin]]-disponibilidad[[#This Row],[Fecha y hora inicio]])*1440</f>
        <v>0</v>
      </c>
    </row>
    <row r="4919" spans="6:6" ht="15">
      <c r="F4919" s="115">
        <f>+(disponibilidad[[#This Row],[Fecha y hora fin]]-disponibilidad[[#This Row],[Fecha y hora inicio]])*1440</f>
        <v>0</v>
      </c>
    </row>
    <row r="4920" spans="6:6" ht="15">
      <c r="F4920" s="115">
        <f>+(disponibilidad[[#This Row],[Fecha y hora fin]]-disponibilidad[[#This Row],[Fecha y hora inicio]])*1440</f>
        <v>0</v>
      </c>
    </row>
    <row r="4921" spans="6:6" ht="15">
      <c r="F4921" s="115">
        <f>+(disponibilidad[[#This Row],[Fecha y hora fin]]-disponibilidad[[#This Row],[Fecha y hora inicio]])*1440</f>
        <v>0</v>
      </c>
    </row>
    <row r="4922" spans="6:6" ht="15">
      <c r="F4922" s="115">
        <f>+(disponibilidad[[#This Row],[Fecha y hora fin]]-disponibilidad[[#This Row],[Fecha y hora inicio]])*1440</f>
        <v>0</v>
      </c>
    </row>
    <row r="4923" spans="6:6" ht="15">
      <c r="F4923" s="115">
        <f>+(disponibilidad[[#This Row],[Fecha y hora fin]]-disponibilidad[[#This Row],[Fecha y hora inicio]])*1440</f>
        <v>0</v>
      </c>
    </row>
    <row r="4924" spans="6:6" ht="15">
      <c r="F4924" s="115">
        <f>+(disponibilidad[[#This Row],[Fecha y hora fin]]-disponibilidad[[#This Row],[Fecha y hora inicio]])*1440</f>
        <v>0</v>
      </c>
    </row>
    <row r="4925" spans="6:6" ht="15">
      <c r="F4925" s="115">
        <f>+(disponibilidad[[#This Row],[Fecha y hora fin]]-disponibilidad[[#This Row],[Fecha y hora inicio]])*1440</f>
        <v>0</v>
      </c>
    </row>
    <row r="4926" spans="6:6" ht="15">
      <c r="F4926" s="115">
        <f>+(disponibilidad[[#This Row],[Fecha y hora fin]]-disponibilidad[[#This Row],[Fecha y hora inicio]])*1440</f>
        <v>0</v>
      </c>
    </row>
    <row r="4927" spans="6:6" ht="15">
      <c r="F4927" s="115">
        <f>+(disponibilidad[[#This Row],[Fecha y hora fin]]-disponibilidad[[#This Row],[Fecha y hora inicio]])*1440</f>
        <v>0</v>
      </c>
    </row>
    <row r="4928" spans="6:6" ht="15">
      <c r="F4928" s="115">
        <f>+(disponibilidad[[#This Row],[Fecha y hora fin]]-disponibilidad[[#This Row],[Fecha y hora inicio]])*1440</f>
        <v>0</v>
      </c>
    </row>
    <row r="4929" spans="6:6" ht="15">
      <c r="F4929" s="115">
        <f>+(disponibilidad[[#This Row],[Fecha y hora fin]]-disponibilidad[[#This Row],[Fecha y hora inicio]])*1440</f>
        <v>0</v>
      </c>
    </row>
    <row r="4930" spans="6:6" ht="15">
      <c r="F4930" s="115">
        <f>+(disponibilidad[[#This Row],[Fecha y hora fin]]-disponibilidad[[#This Row],[Fecha y hora inicio]])*1440</f>
        <v>0</v>
      </c>
    </row>
    <row r="4931" spans="6:6" ht="15">
      <c r="F4931" s="115">
        <f>+(disponibilidad[[#This Row],[Fecha y hora fin]]-disponibilidad[[#This Row],[Fecha y hora inicio]])*1440</f>
        <v>0</v>
      </c>
    </row>
    <row r="4932" spans="6:6" ht="15">
      <c r="F4932" s="115">
        <f>+(disponibilidad[[#This Row],[Fecha y hora fin]]-disponibilidad[[#This Row],[Fecha y hora inicio]])*1440</f>
        <v>0</v>
      </c>
    </row>
    <row r="4933" spans="6:6" ht="15">
      <c r="F4933" s="115">
        <f>+(disponibilidad[[#This Row],[Fecha y hora fin]]-disponibilidad[[#This Row],[Fecha y hora inicio]])*1440</f>
        <v>0</v>
      </c>
    </row>
    <row r="4934" spans="6:6" ht="15">
      <c r="F4934" s="115">
        <f>+(disponibilidad[[#This Row],[Fecha y hora fin]]-disponibilidad[[#This Row],[Fecha y hora inicio]])*1440</f>
        <v>0</v>
      </c>
    </row>
    <row r="4935" spans="6:6" ht="15">
      <c r="F4935" s="115">
        <f>+(disponibilidad[[#This Row],[Fecha y hora fin]]-disponibilidad[[#This Row],[Fecha y hora inicio]])*1440</f>
        <v>0</v>
      </c>
    </row>
    <row r="4936" spans="6:6" ht="15">
      <c r="F4936" s="115">
        <f>+(disponibilidad[[#This Row],[Fecha y hora fin]]-disponibilidad[[#This Row],[Fecha y hora inicio]])*1440</f>
        <v>0</v>
      </c>
    </row>
    <row r="4937" spans="6:6" ht="15">
      <c r="F4937" s="115">
        <f>+(disponibilidad[[#This Row],[Fecha y hora fin]]-disponibilidad[[#This Row],[Fecha y hora inicio]])*1440</f>
        <v>0</v>
      </c>
    </row>
    <row r="4938" spans="6:6" ht="15">
      <c r="F4938" s="115">
        <f>+(disponibilidad[[#This Row],[Fecha y hora fin]]-disponibilidad[[#This Row],[Fecha y hora inicio]])*1440</f>
        <v>0</v>
      </c>
    </row>
    <row r="4939" spans="6:6" ht="15">
      <c r="F4939" s="115">
        <f>+(disponibilidad[[#This Row],[Fecha y hora fin]]-disponibilidad[[#This Row],[Fecha y hora inicio]])*1440</f>
        <v>0</v>
      </c>
    </row>
    <row r="4940" spans="6:6" ht="15">
      <c r="F4940" s="115">
        <f>+(disponibilidad[[#This Row],[Fecha y hora fin]]-disponibilidad[[#This Row],[Fecha y hora inicio]])*1440</f>
        <v>0</v>
      </c>
    </row>
    <row r="4941" spans="6:6" ht="15">
      <c r="F4941" s="115">
        <f>+(disponibilidad[[#This Row],[Fecha y hora fin]]-disponibilidad[[#This Row],[Fecha y hora inicio]])*1440</f>
        <v>0</v>
      </c>
    </row>
    <row r="4942" spans="6:6" ht="15">
      <c r="F4942" s="115">
        <f>+(disponibilidad[[#This Row],[Fecha y hora fin]]-disponibilidad[[#This Row],[Fecha y hora inicio]])*1440</f>
        <v>0</v>
      </c>
    </row>
    <row r="4943" spans="6:6" ht="15">
      <c r="F4943" s="115">
        <f>+(disponibilidad[[#This Row],[Fecha y hora fin]]-disponibilidad[[#This Row],[Fecha y hora inicio]])*1440</f>
        <v>0</v>
      </c>
    </row>
    <row r="4944" spans="6:6" ht="15">
      <c r="F4944" s="115">
        <f>+(disponibilidad[[#This Row],[Fecha y hora fin]]-disponibilidad[[#This Row],[Fecha y hora inicio]])*1440</f>
        <v>0</v>
      </c>
    </row>
    <row r="4945" spans="6:6" ht="15">
      <c r="F4945" s="115">
        <f>+(disponibilidad[[#This Row],[Fecha y hora fin]]-disponibilidad[[#This Row],[Fecha y hora inicio]])*1440</f>
        <v>0</v>
      </c>
    </row>
    <row r="4946" spans="6:6" ht="15">
      <c r="F4946" s="115">
        <f>+(disponibilidad[[#This Row],[Fecha y hora fin]]-disponibilidad[[#This Row],[Fecha y hora inicio]])*1440</f>
        <v>0</v>
      </c>
    </row>
    <row r="4947" spans="6:6" ht="15">
      <c r="F4947" s="115">
        <f>+(disponibilidad[[#This Row],[Fecha y hora fin]]-disponibilidad[[#This Row],[Fecha y hora inicio]])*1440</f>
        <v>0</v>
      </c>
    </row>
    <row r="4948" spans="6:6" ht="15">
      <c r="F4948" s="115">
        <f>+(disponibilidad[[#This Row],[Fecha y hora fin]]-disponibilidad[[#This Row],[Fecha y hora inicio]])*1440</f>
        <v>0</v>
      </c>
    </row>
    <row r="4949" spans="6:6" ht="15">
      <c r="F4949" s="115">
        <f>+(disponibilidad[[#This Row],[Fecha y hora fin]]-disponibilidad[[#This Row],[Fecha y hora inicio]])*1440</f>
        <v>0</v>
      </c>
    </row>
    <row r="4950" spans="6:6" ht="15">
      <c r="F4950" s="115">
        <f>+(disponibilidad[[#This Row],[Fecha y hora fin]]-disponibilidad[[#This Row],[Fecha y hora inicio]])*1440</f>
        <v>0</v>
      </c>
    </row>
    <row r="4951" spans="6:6" ht="15">
      <c r="F4951" s="115">
        <f>+(disponibilidad[[#This Row],[Fecha y hora fin]]-disponibilidad[[#This Row],[Fecha y hora inicio]])*1440</f>
        <v>0</v>
      </c>
    </row>
    <row r="4952" spans="6:6" ht="15">
      <c r="F4952" s="115">
        <f>+(disponibilidad[[#This Row],[Fecha y hora fin]]-disponibilidad[[#This Row],[Fecha y hora inicio]])*1440</f>
        <v>0</v>
      </c>
    </row>
    <row r="4953" spans="6:6" ht="15">
      <c r="F4953" s="115">
        <f>+(disponibilidad[[#This Row],[Fecha y hora fin]]-disponibilidad[[#This Row],[Fecha y hora inicio]])*1440</f>
        <v>0</v>
      </c>
    </row>
    <row r="4954" spans="6:6" ht="15">
      <c r="F4954" s="115">
        <f>+(disponibilidad[[#This Row],[Fecha y hora fin]]-disponibilidad[[#This Row],[Fecha y hora inicio]])*1440</f>
        <v>0</v>
      </c>
    </row>
    <row r="4955" spans="6:6" ht="15">
      <c r="F4955" s="115">
        <f>+(disponibilidad[[#This Row],[Fecha y hora fin]]-disponibilidad[[#This Row],[Fecha y hora inicio]])*1440</f>
        <v>0</v>
      </c>
    </row>
    <row r="4956" spans="6:6" ht="15">
      <c r="F4956" s="115">
        <f>+(disponibilidad[[#This Row],[Fecha y hora fin]]-disponibilidad[[#This Row],[Fecha y hora inicio]])*1440</f>
        <v>0</v>
      </c>
    </row>
    <row r="4957" spans="6:6" ht="15">
      <c r="F4957" s="115">
        <f>+(disponibilidad[[#This Row],[Fecha y hora fin]]-disponibilidad[[#This Row],[Fecha y hora inicio]])*1440</f>
        <v>0</v>
      </c>
    </row>
    <row r="4958" spans="6:6" ht="15">
      <c r="F4958" s="115">
        <f>+(disponibilidad[[#This Row],[Fecha y hora fin]]-disponibilidad[[#This Row],[Fecha y hora inicio]])*1440</f>
        <v>0</v>
      </c>
    </row>
    <row r="4959" spans="6:6" ht="15">
      <c r="F4959" s="115">
        <f>+(disponibilidad[[#This Row],[Fecha y hora fin]]-disponibilidad[[#This Row],[Fecha y hora inicio]])*1440</f>
        <v>0</v>
      </c>
    </row>
    <row r="4960" spans="6:6" ht="15">
      <c r="F4960" s="115">
        <f>+(disponibilidad[[#This Row],[Fecha y hora fin]]-disponibilidad[[#This Row],[Fecha y hora inicio]])*1440</f>
        <v>0</v>
      </c>
    </row>
    <row r="4961" spans="6:6" ht="15">
      <c r="F4961" s="115">
        <f>+(disponibilidad[[#This Row],[Fecha y hora fin]]-disponibilidad[[#This Row],[Fecha y hora inicio]])*1440</f>
        <v>0</v>
      </c>
    </row>
    <row r="4962" spans="6:6" ht="15">
      <c r="F4962" s="115">
        <f>+(disponibilidad[[#This Row],[Fecha y hora fin]]-disponibilidad[[#This Row],[Fecha y hora inicio]])*1440</f>
        <v>0</v>
      </c>
    </row>
    <row r="4963" spans="6:6" ht="15">
      <c r="F4963" s="115">
        <f>+(disponibilidad[[#This Row],[Fecha y hora fin]]-disponibilidad[[#This Row],[Fecha y hora inicio]])*1440</f>
        <v>0</v>
      </c>
    </row>
    <row r="4964" spans="6:6" ht="15">
      <c r="F4964" s="115">
        <f>+(disponibilidad[[#This Row],[Fecha y hora fin]]-disponibilidad[[#This Row],[Fecha y hora inicio]])*1440</f>
        <v>0</v>
      </c>
    </row>
    <row r="4965" spans="6:6" ht="15">
      <c r="F4965" s="115">
        <f>+(disponibilidad[[#This Row],[Fecha y hora fin]]-disponibilidad[[#This Row],[Fecha y hora inicio]])*1440</f>
        <v>0</v>
      </c>
    </row>
    <row r="4966" spans="6:6" ht="15">
      <c r="F4966" s="115">
        <f>+(disponibilidad[[#This Row],[Fecha y hora fin]]-disponibilidad[[#This Row],[Fecha y hora inicio]])*1440</f>
        <v>0</v>
      </c>
    </row>
    <row r="4967" spans="6:6" ht="15">
      <c r="F4967" s="115">
        <f>+(disponibilidad[[#This Row],[Fecha y hora fin]]-disponibilidad[[#This Row],[Fecha y hora inicio]])*1440</f>
        <v>0</v>
      </c>
    </row>
    <row r="4968" spans="6:6" ht="15">
      <c r="F4968" s="115">
        <f>+(disponibilidad[[#This Row],[Fecha y hora fin]]-disponibilidad[[#This Row],[Fecha y hora inicio]])*1440</f>
        <v>0</v>
      </c>
    </row>
    <row r="4969" spans="6:6" ht="15">
      <c r="F4969" s="115">
        <f>+(disponibilidad[[#This Row],[Fecha y hora fin]]-disponibilidad[[#This Row],[Fecha y hora inicio]])*1440</f>
        <v>0</v>
      </c>
    </row>
    <row r="4970" spans="6:6" ht="15">
      <c r="F4970" s="115">
        <f>+(disponibilidad[[#This Row],[Fecha y hora fin]]-disponibilidad[[#This Row],[Fecha y hora inicio]])*1440</f>
        <v>0</v>
      </c>
    </row>
    <row r="4971" spans="6:6" ht="15">
      <c r="F4971" s="115">
        <f>+(disponibilidad[[#This Row],[Fecha y hora fin]]-disponibilidad[[#This Row],[Fecha y hora inicio]])*1440</f>
        <v>0</v>
      </c>
    </row>
    <row r="4972" spans="6:6" ht="15">
      <c r="F4972" s="115">
        <f>+(disponibilidad[[#This Row],[Fecha y hora fin]]-disponibilidad[[#This Row],[Fecha y hora inicio]])*1440</f>
        <v>0</v>
      </c>
    </row>
    <row r="4973" spans="6:6" ht="15">
      <c r="F4973" s="115">
        <f>+(disponibilidad[[#This Row],[Fecha y hora fin]]-disponibilidad[[#This Row],[Fecha y hora inicio]])*1440</f>
        <v>0</v>
      </c>
    </row>
    <row r="4974" spans="6:6" ht="15">
      <c r="F4974" s="115">
        <f>+(disponibilidad[[#This Row],[Fecha y hora fin]]-disponibilidad[[#This Row],[Fecha y hora inicio]])*1440</f>
        <v>0</v>
      </c>
    </row>
    <row r="4975" spans="6:6" ht="15">
      <c r="F4975" s="115">
        <f>+(disponibilidad[[#This Row],[Fecha y hora fin]]-disponibilidad[[#This Row],[Fecha y hora inicio]])*1440</f>
        <v>0</v>
      </c>
    </row>
    <row r="4976" spans="6:6" ht="15">
      <c r="F4976" s="115">
        <f>+(disponibilidad[[#This Row],[Fecha y hora fin]]-disponibilidad[[#This Row],[Fecha y hora inicio]])*1440</f>
        <v>0</v>
      </c>
    </row>
    <row r="4977" spans="6:6" ht="15">
      <c r="F4977" s="115">
        <f>+(disponibilidad[[#This Row],[Fecha y hora fin]]-disponibilidad[[#This Row],[Fecha y hora inicio]])*1440</f>
        <v>0</v>
      </c>
    </row>
    <row r="4978" spans="6:6" ht="15">
      <c r="F4978" s="115">
        <f>+(disponibilidad[[#This Row],[Fecha y hora fin]]-disponibilidad[[#This Row],[Fecha y hora inicio]])*1440</f>
        <v>0</v>
      </c>
    </row>
    <row r="4979" spans="6:6" ht="15">
      <c r="F4979" s="115">
        <f>+(disponibilidad[[#This Row],[Fecha y hora fin]]-disponibilidad[[#This Row],[Fecha y hora inicio]])*1440</f>
        <v>0</v>
      </c>
    </row>
    <row r="4980" spans="6:6" ht="15">
      <c r="F4980" s="115">
        <f>+(disponibilidad[[#This Row],[Fecha y hora fin]]-disponibilidad[[#This Row],[Fecha y hora inicio]])*1440</f>
        <v>0</v>
      </c>
    </row>
    <row r="4981" spans="6:6" ht="15">
      <c r="F4981" s="115">
        <f>+(disponibilidad[[#This Row],[Fecha y hora fin]]-disponibilidad[[#This Row],[Fecha y hora inicio]])*1440</f>
        <v>0</v>
      </c>
    </row>
    <row r="4982" spans="6:6" ht="15">
      <c r="F4982" s="115">
        <f>+(disponibilidad[[#This Row],[Fecha y hora fin]]-disponibilidad[[#This Row],[Fecha y hora inicio]])*1440</f>
        <v>0</v>
      </c>
    </row>
    <row r="4983" spans="6:6" ht="15">
      <c r="F4983" s="115">
        <f>+(disponibilidad[[#This Row],[Fecha y hora fin]]-disponibilidad[[#This Row],[Fecha y hora inicio]])*1440</f>
        <v>0</v>
      </c>
    </row>
    <row r="4984" spans="6:6" ht="15">
      <c r="F4984" s="115">
        <f>+(disponibilidad[[#This Row],[Fecha y hora fin]]-disponibilidad[[#This Row],[Fecha y hora inicio]])*1440</f>
        <v>0</v>
      </c>
    </row>
    <row r="4985" spans="6:6" ht="15">
      <c r="F4985" s="115">
        <f>+(disponibilidad[[#This Row],[Fecha y hora fin]]-disponibilidad[[#This Row],[Fecha y hora inicio]])*1440</f>
        <v>0</v>
      </c>
    </row>
    <row r="4986" spans="6:6" ht="15">
      <c r="F4986" s="115">
        <f>+(disponibilidad[[#This Row],[Fecha y hora fin]]-disponibilidad[[#This Row],[Fecha y hora inicio]])*1440</f>
        <v>0</v>
      </c>
    </row>
    <row r="4987" spans="6:6" ht="15">
      <c r="F4987" s="115">
        <f>+(disponibilidad[[#This Row],[Fecha y hora fin]]-disponibilidad[[#This Row],[Fecha y hora inicio]])*1440</f>
        <v>0</v>
      </c>
    </row>
    <row r="4988" spans="6:6" ht="15">
      <c r="F4988" s="115">
        <f>+(disponibilidad[[#This Row],[Fecha y hora fin]]-disponibilidad[[#This Row],[Fecha y hora inicio]])*1440</f>
        <v>0</v>
      </c>
    </row>
    <row r="4989" spans="6:6" ht="15">
      <c r="F4989" s="115">
        <f>+(disponibilidad[[#This Row],[Fecha y hora fin]]-disponibilidad[[#This Row],[Fecha y hora inicio]])*1440</f>
        <v>0</v>
      </c>
    </row>
    <row r="4990" spans="6:6" ht="15">
      <c r="F4990" s="115">
        <f>+(disponibilidad[[#This Row],[Fecha y hora fin]]-disponibilidad[[#This Row],[Fecha y hora inicio]])*1440</f>
        <v>0</v>
      </c>
    </row>
    <row r="4991" spans="6:6" ht="15">
      <c r="F4991" s="115">
        <f>+(disponibilidad[[#This Row],[Fecha y hora fin]]-disponibilidad[[#This Row],[Fecha y hora inicio]])*1440</f>
        <v>0</v>
      </c>
    </row>
    <row r="4992" spans="6:6" ht="15">
      <c r="F4992" s="115">
        <f>+(disponibilidad[[#This Row],[Fecha y hora fin]]-disponibilidad[[#This Row],[Fecha y hora inicio]])*1440</f>
        <v>0</v>
      </c>
    </row>
    <row r="4993" spans="6:6" ht="15">
      <c r="F4993" s="115">
        <f>+(disponibilidad[[#This Row],[Fecha y hora fin]]-disponibilidad[[#This Row],[Fecha y hora inicio]])*1440</f>
        <v>0</v>
      </c>
    </row>
    <row r="4994" spans="6:6" ht="15">
      <c r="F4994" s="115">
        <f>+(disponibilidad[[#This Row],[Fecha y hora fin]]-disponibilidad[[#This Row],[Fecha y hora inicio]])*1440</f>
        <v>0</v>
      </c>
    </row>
    <row r="4995" spans="6:6" ht="15">
      <c r="F4995" s="115">
        <f>+(disponibilidad[[#This Row],[Fecha y hora fin]]-disponibilidad[[#This Row],[Fecha y hora inicio]])*1440</f>
        <v>0</v>
      </c>
    </row>
    <row r="4996" spans="6:6" ht="15">
      <c r="F4996" s="115">
        <f>+(disponibilidad[[#This Row],[Fecha y hora fin]]-disponibilidad[[#This Row],[Fecha y hora inicio]])*1440</f>
        <v>0</v>
      </c>
    </row>
    <row r="4997" spans="6:6" ht="15">
      <c r="F4997" s="115">
        <f>+(disponibilidad[[#This Row],[Fecha y hora fin]]-disponibilidad[[#This Row],[Fecha y hora inicio]])*1440</f>
        <v>0</v>
      </c>
    </row>
    <row r="4998" spans="6:6" ht="15">
      <c r="F4998" s="115">
        <f>+(disponibilidad[[#This Row],[Fecha y hora fin]]-disponibilidad[[#This Row],[Fecha y hora inicio]])*1440</f>
        <v>0</v>
      </c>
    </row>
    <row r="4999" spans="6:6" ht="15">
      <c r="F4999" s="115">
        <f>+(disponibilidad[[#This Row],[Fecha y hora fin]]-disponibilidad[[#This Row],[Fecha y hora inicio]])*1440</f>
        <v>0</v>
      </c>
    </row>
    <row r="5000" spans="6:6" ht="15">
      <c r="F5000" s="115">
        <f>+(disponibilidad[[#This Row],[Fecha y hora fin]]-disponibilidad[[#This Row],[Fecha y hora inicio]])*1440</f>
        <v>0</v>
      </c>
    </row>
    <row r="5001" spans="6:6" ht="15">
      <c r="F5001" s="115">
        <f>+(disponibilidad[[#This Row],[Fecha y hora fin]]-disponibilidad[[#This Row],[Fecha y hora inicio]])*1440</f>
        <v>0</v>
      </c>
    </row>
    <row r="5002" spans="6:6" ht="15">
      <c r="F5002" s="115">
        <f>+(disponibilidad[[#This Row],[Fecha y hora fin]]-disponibilidad[[#This Row],[Fecha y hora inicio]])*1440</f>
        <v>0</v>
      </c>
    </row>
    <row r="5003" spans="6:6" ht="15">
      <c r="F5003" s="115">
        <f>+(disponibilidad[[#This Row],[Fecha y hora fin]]-disponibilidad[[#This Row],[Fecha y hora inicio]])*1440</f>
        <v>0</v>
      </c>
    </row>
    <row r="5004" spans="6:6" ht="15">
      <c r="F5004" s="115">
        <f>+(disponibilidad[[#This Row],[Fecha y hora fin]]-disponibilidad[[#This Row],[Fecha y hora inicio]])*1440</f>
        <v>0</v>
      </c>
    </row>
    <row r="5005" spans="6:6" ht="15">
      <c r="F5005" s="115">
        <f>+(disponibilidad[[#This Row],[Fecha y hora fin]]-disponibilidad[[#This Row],[Fecha y hora inicio]])*1440</f>
        <v>0</v>
      </c>
    </row>
    <row r="5006" spans="6:6" ht="15">
      <c r="F5006" s="115">
        <f>+(disponibilidad[[#This Row],[Fecha y hora fin]]-disponibilidad[[#This Row],[Fecha y hora inicio]])*1440</f>
        <v>0</v>
      </c>
    </row>
    <row r="5007" spans="6:6" ht="15">
      <c r="F5007" s="115">
        <f>+(disponibilidad[[#This Row],[Fecha y hora fin]]-disponibilidad[[#This Row],[Fecha y hora inicio]])*1440</f>
        <v>0</v>
      </c>
    </row>
    <row r="5008" spans="6:6" ht="15">
      <c r="F5008" s="115">
        <f>+(disponibilidad[[#This Row],[Fecha y hora fin]]-disponibilidad[[#This Row],[Fecha y hora inicio]])*1440</f>
        <v>0</v>
      </c>
    </row>
    <row r="5009" spans="6:6" ht="15">
      <c r="F5009" s="115">
        <f>+(disponibilidad[[#This Row],[Fecha y hora fin]]-disponibilidad[[#This Row],[Fecha y hora inicio]])*1440</f>
        <v>0</v>
      </c>
    </row>
    <row r="5010" spans="6:6" ht="15">
      <c r="F5010" s="115">
        <f>+(disponibilidad[[#This Row],[Fecha y hora fin]]-disponibilidad[[#This Row],[Fecha y hora inicio]])*1440</f>
        <v>0</v>
      </c>
    </row>
    <row r="5011" spans="6:6" ht="15">
      <c r="F5011" s="115">
        <f>+(disponibilidad[[#This Row],[Fecha y hora fin]]-disponibilidad[[#This Row],[Fecha y hora inicio]])*1440</f>
        <v>0</v>
      </c>
    </row>
    <row r="5012" spans="6:6" ht="15">
      <c r="F5012" s="115">
        <f>+(disponibilidad[[#This Row],[Fecha y hora fin]]-disponibilidad[[#This Row],[Fecha y hora inicio]])*1440</f>
        <v>0</v>
      </c>
    </row>
    <row r="5013" spans="6:6" ht="15">
      <c r="F5013" s="115">
        <f>+(disponibilidad[[#This Row],[Fecha y hora fin]]-disponibilidad[[#This Row],[Fecha y hora inicio]])*1440</f>
        <v>0</v>
      </c>
    </row>
    <row r="5014" spans="6:6" ht="15">
      <c r="F5014" s="115">
        <f>+(disponibilidad[[#This Row],[Fecha y hora fin]]-disponibilidad[[#This Row],[Fecha y hora inicio]])*1440</f>
        <v>0</v>
      </c>
    </row>
    <row r="5015" spans="6:6" ht="15">
      <c r="F5015" s="115">
        <f>+(disponibilidad[[#This Row],[Fecha y hora fin]]-disponibilidad[[#This Row],[Fecha y hora inicio]])*1440</f>
        <v>0</v>
      </c>
    </row>
    <row r="5016" spans="6:6" ht="15">
      <c r="F5016" s="115">
        <f>+(disponibilidad[[#This Row],[Fecha y hora fin]]-disponibilidad[[#This Row],[Fecha y hora inicio]])*1440</f>
        <v>0</v>
      </c>
    </row>
    <row r="5017" spans="6:6" ht="15">
      <c r="F5017" s="115">
        <f>+(disponibilidad[[#This Row],[Fecha y hora fin]]-disponibilidad[[#This Row],[Fecha y hora inicio]])*1440</f>
        <v>0</v>
      </c>
    </row>
    <row r="5018" spans="6:6" ht="15">
      <c r="F5018" s="115">
        <f>+(disponibilidad[[#This Row],[Fecha y hora fin]]-disponibilidad[[#This Row],[Fecha y hora inicio]])*1440</f>
        <v>0</v>
      </c>
    </row>
    <row r="5019" spans="6:6" ht="15">
      <c r="F5019" s="115">
        <f>+(disponibilidad[[#This Row],[Fecha y hora fin]]-disponibilidad[[#This Row],[Fecha y hora inicio]])*1440</f>
        <v>0</v>
      </c>
    </row>
    <row r="5020" spans="6:6" ht="15">
      <c r="F5020" s="115">
        <f>+(disponibilidad[[#This Row],[Fecha y hora fin]]-disponibilidad[[#This Row],[Fecha y hora inicio]])*1440</f>
        <v>0</v>
      </c>
    </row>
    <row r="5021" spans="6:6" ht="15">
      <c r="F5021" s="115">
        <f>+(disponibilidad[[#This Row],[Fecha y hora fin]]-disponibilidad[[#This Row],[Fecha y hora inicio]])*1440</f>
        <v>0</v>
      </c>
    </row>
    <row r="5022" spans="6:6" ht="15">
      <c r="F5022" s="115">
        <f>+(disponibilidad[[#This Row],[Fecha y hora fin]]-disponibilidad[[#This Row],[Fecha y hora inicio]])*1440</f>
        <v>0</v>
      </c>
    </row>
    <row r="5023" spans="6:6" ht="15">
      <c r="F5023" s="115">
        <f>+(disponibilidad[[#This Row],[Fecha y hora fin]]-disponibilidad[[#This Row],[Fecha y hora inicio]])*1440</f>
        <v>0</v>
      </c>
    </row>
    <row r="5024" spans="6:6" ht="15">
      <c r="F5024" s="115">
        <f>+(disponibilidad[[#This Row],[Fecha y hora fin]]-disponibilidad[[#This Row],[Fecha y hora inicio]])*1440</f>
        <v>0</v>
      </c>
    </row>
    <row r="5025" spans="6:6" ht="15">
      <c r="F5025" s="115">
        <f>+(disponibilidad[[#This Row],[Fecha y hora fin]]-disponibilidad[[#This Row],[Fecha y hora inicio]])*1440</f>
        <v>0</v>
      </c>
    </row>
    <row r="5026" spans="6:6" ht="15">
      <c r="F5026" s="115">
        <f>+(disponibilidad[[#This Row],[Fecha y hora fin]]-disponibilidad[[#This Row],[Fecha y hora inicio]])*1440</f>
        <v>0</v>
      </c>
    </row>
    <row r="5027" spans="6:6" ht="15">
      <c r="F5027" s="115">
        <f>+(disponibilidad[[#This Row],[Fecha y hora fin]]-disponibilidad[[#This Row],[Fecha y hora inicio]])*1440</f>
        <v>0</v>
      </c>
    </row>
    <row r="5028" spans="6:6" ht="15">
      <c r="F5028" s="115">
        <f>+(disponibilidad[[#This Row],[Fecha y hora fin]]-disponibilidad[[#This Row],[Fecha y hora inicio]])*1440</f>
        <v>0</v>
      </c>
    </row>
    <row r="5029" spans="6:6" ht="15">
      <c r="F5029" s="115">
        <f>+(disponibilidad[[#This Row],[Fecha y hora fin]]-disponibilidad[[#This Row],[Fecha y hora inicio]])*1440</f>
        <v>0</v>
      </c>
    </row>
    <row r="5030" spans="6:6" ht="15">
      <c r="F5030" s="115">
        <f>+(disponibilidad[[#This Row],[Fecha y hora fin]]-disponibilidad[[#This Row],[Fecha y hora inicio]])*1440</f>
        <v>0</v>
      </c>
    </row>
    <row r="5031" spans="6:6" ht="15">
      <c r="F5031" s="115">
        <f>+(disponibilidad[[#This Row],[Fecha y hora fin]]-disponibilidad[[#This Row],[Fecha y hora inicio]])*1440</f>
        <v>0</v>
      </c>
    </row>
    <row r="5032" spans="6:6" ht="15">
      <c r="F5032" s="115">
        <f>+(disponibilidad[[#This Row],[Fecha y hora fin]]-disponibilidad[[#This Row],[Fecha y hora inicio]])*1440</f>
        <v>0</v>
      </c>
    </row>
    <row r="5033" spans="6:6" ht="15">
      <c r="F5033" s="115">
        <f>+(disponibilidad[[#This Row],[Fecha y hora fin]]-disponibilidad[[#This Row],[Fecha y hora inicio]])*1440</f>
        <v>0</v>
      </c>
    </row>
    <row r="5034" spans="6:6" ht="15">
      <c r="F5034" s="115">
        <f>+(disponibilidad[[#This Row],[Fecha y hora fin]]-disponibilidad[[#This Row],[Fecha y hora inicio]])*1440</f>
        <v>0</v>
      </c>
    </row>
    <row r="5035" spans="6:6" ht="15">
      <c r="F5035" s="115">
        <f>+(disponibilidad[[#This Row],[Fecha y hora fin]]-disponibilidad[[#This Row],[Fecha y hora inicio]])*1440</f>
        <v>0</v>
      </c>
    </row>
    <row r="5036" spans="6:6" ht="15">
      <c r="F5036" s="115">
        <f>+(disponibilidad[[#This Row],[Fecha y hora fin]]-disponibilidad[[#This Row],[Fecha y hora inicio]])*1440</f>
        <v>0</v>
      </c>
    </row>
    <row r="5037" spans="6:6" ht="15">
      <c r="F5037" s="115">
        <f>+(disponibilidad[[#This Row],[Fecha y hora fin]]-disponibilidad[[#This Row],[Fecha y hora inicio]])*1440</f>
        <v>0</v>
      </c>
    </row>
    <row r="5038" spans="6:6" ht="15">
      <c r="F5038" s="115">
        <f>+(disponibilidad[[#This Row],[Fecha y hora fin]]-disponibilidad[[#This Row],[Fecha y hora inicio]])*1440</f>
        <v>0</v>
      </c>
    </row>
    <row r="5039" spans="6:6" ht="15">
      <c r="F5039" s="115">
        <f>+(disponibilidad[[#This Row],[Fecha y hora fin]]-disponibilidad[[#This Row],[Fecha y hora inicio]])*1440</f>
        <v>0</v>
      </c>
    </row>
    <row r="5040" spans="6:6" ht="15">
      <c r="F5040" s="115">
        <f>+(disponibilidad[[#This Row],[Fecha y hora fin]]-disponibilidad[[#This Row],[Fecha y hora inicio]])*1440</f>
        <v>0</v>
      </c>
    </row>
    <row r="5041" spans="6:6" ht="15">
      <c r="F5041" s="115">
        <f>+(disponibilidad[[#This Row],[Fecha y hora fin]]-disponibilidad[[#This Row],[Fecha y hora inicio]])*1440</f>
        <v>0</v>
      </c>
    </row>
    <row r="5042" spans="6:6" ht="15">
      <c r="F5042" s="115">
        <f>+(disponibilidad[[#This Row],[Fecha y hora fin]]-disponibilidad[[#This Row],[Fecha y hora inicio]])*1440</f>
        <v>0</v>
      </c>
    </row>
    <row r="5043" spans="6:6" ht="15">
      <c r="F5043" s="115">
        <f>+(disponibilidad[[#This Row],[Fecha y hora fin]]-disponibilidad[[#This Row],[Fecha y hora inicio]])*1440</f>
        <v>0</v>
      </c>
    </row>
    <row r="5044" spans="6:6" ht="15">
      <c r="F5044" s="115">
        <f>+(disponibilidad[[#This Row],[Fecha y hora fin]]-disponibilidad[[#This Row],[Fecha y hora inicio]])*1440</f>
        <v>0</v>
      </c>
    </row>
    <row r="5045" spans="6:6" ht="15">
      <c r="F5045" s="115">
        <f>+(disponibilidad[[#This Row],[Fecha y hora fin]]-disponibilidad[[#This Row],[Fecha y hora inicio]])*1440</f>
        <v>0</v>
      </c>
    </row>
    <row r="5046" spans="6:6" ht="15">
      <c r="F5046" s="115">
        <f>+(disponibilidad[[#This Row],[Fecha y hora fin]]-disponibilidad[[#This Row],[Fecha y hora inicio]])*1440</f>
        <v>0</v>
      </c>
    </row>
    <row r="5047" spans="6:6" ht="15">
      <c r="F5047" s="115">
        <f>+(disponibilidad[[#This Row],[Fecha y hora fin]]-disponibilidad[[#This Row],[Fecha y hora inicio]])*1440</f>
        <v>0</v>
      </c>
    </row>
    <row r="5048" spans="6:6" ht="15">
      <c r="F5048" s="115">
        <f>+(disponibilidad[[#This Row],[Fecha y hora fin]]-disponibilidad[[#This Row],[Fecha y hora inicio]])*1440</f>
        <v>0</v>
      </c>
    </row>
    <row r="5049" spans="6:6" ht="15">
      <c r="F5049" s="115">
        <f>+(disponibilidad[[#This Row],[Fecha y hora fin]]-disponibilidad[[#This Row],[Fecha y hora inicio]])*1440</f>
        <v>0</v>
      </c>
    </row>
    <row r="5050" spans="6:6" ht="15">
      <c r="F5050" s="115">
        <f>+(disponibilidad[[#This Row],[Fecha y hora fin]]-disponibilidad[[#This Row],[Fecha y hora inicio]])*1440</f>
        <v>0</v>
      </c>
    </row>
    <row r="5051" spans="6:6" ht="15">
      <c r="F5051" s="115">
        <f>+(disponibilidad[[#This Row],[Fecha y hora fin]]-disponibilidad[[#This Row],[Fecha y hora inicio]])*1440</f>
        <v>0</v>
      </c>
    </row>
    <row r="5052" spans="6:6" ht="15">
      <c r="F5052" s="115">
        <f>+(disponibilidad[[#This Row],[Fecha y hora fin]]-disponibilidad[[#This Row],[Fecha y hora inicio]])*1440</f>
        <v>0</v>
      </c>
    </row>
    <row r="5053" spans="6:6" ht="15">
      <c r="F5053" s="115">
        <f>+(disponibilidad[[#This Row],[Fecha y hora fin]]-disponibilidad[[#This Row],[Fecha y hora inicio]])*1440</f>
        <v>0</v>
      </c>
    </row>
    <row r="5054" spans="6:6" ht="15">
      <c r="F5054" s="115">
        <f>+(disponibilidad[[#This Row],[Fecha y hora fin]]-disponibilidad[[#This Row],[Fecha y hora inicio]])*1440</f>
        <v>0</v>
      </c>
    </row>
    <row r="5055" spans="6:6" ht="15">
      <c r="F5055" s="115">
        <f>+(disponibilidad[[#This Row],[Fecha y hora fin]]-disponibilidad[[#This Row],[Fecha y hora inicio]])*1440</f>
        <v>0</v>
      </c>
    </row>
    <row r="5056" spans="6:6" ht="15">
      <c r="F5056" s="115">
        <f>+(disponibilidad[[#This Row],[Fecha y hora fin]]-disponibilidad[[#This Row],[Fecha y hora inicio]])*1440</f>
        <v>0</v>
      </c>
    </row>
    <row r="5057" spans="6:6" ht="15">
      <c r="F5057" s="115">
        <f>+(disponibilidad[[#This Row],[Fecha y hora fin]]-disponibilidad[[#This Row],[Fecha y hora inicio]])*1440</f>
        <v>0</v>
      </c>
    </row>
    <row r="5058" spans="6:6" ht="15">
      <c r="F5058" s="115">
        <f>+(disponibilidad[[#This Row],[Fecha y hora fin]]-disponibilidad[[#This Row],[Fecha y hora inicio]])*1440</f>
        <v>0</v>
      </c>
    </row>
    <row r="5059" spans="6:6" ht="15">
      <c r="F5059" s="115">
        <f>+(disponibilidad[[#This Row],[Fecha y hora fin]]-disponibilidad[[#This Row],[Fecha y hora inicio]])*1440</f>
        <v>0</v>
      </c>
    </row>
    <row r="5060" spans="6:6" ht="15">
      <c r="F5060" s="115">
        <f>+(disponibilidad[[#This Row],[Fecha y hora fin]]-disponibilidad[[#This Row],[Fecha y hora inicio]])*1440</f>
        <v>0</v>
      </c>
    </row>
    <row r="5061" spans="6:6" ht="15">
      <c r="F5061" s="115">
        <f>+(disponibilidad[[#This Row],[Fecha y hora fin]]-disponibilidad[[#This Row],[Fecha y hora inicio]])*1440</f>
        <v>0</v>
      </c>
    </row>
    <row r="5062" spans="6:6" ht="15">
      <c r="F5062" s="115">
        <f>+(disponibilidad[[#This Row],[Fecha y hora fin]]-disponibilidad[[#This Row],[Fecha y hora inicio]])*1440</f>
        <v>0</v>
      </c>
    </row>
    <row r="5063" spans="6:6" ht="15">
      <c r="F5063" s="115">
        <f>+(disponibilidad[[#This Row],[Fecha y hora fin]]-disponibilidad[[#This Row],[Fecha y hora inicio]])*1440</f>
        <v>0</v>
      </c>
    </row>
    <row r="5064" spans="6:6" ht="15">
      <c r="F5064" s="115">
        <f>+(disponibilidad[[#This Row],[Fecha y hora fin]]-disponibilidad[[#This Row],[Fecha y hora inicio]])*1440</f>
        <v>0</v>
      </c>
    </row>
    <row r="5065" spans="6:6" ht="15">
      <c r="F5065" s="115">
        <f>+(disponibilidad[[#This Row],[Fecha y hora fin]]-disponibilidad[[#This Row],[Fecha y hora inicio]])*1440</f>
        <v>0</v>
      </c>
    </row>
    <row r="5066" spans="6:6" ht="15">
      <c r="F5066" s="115">
        <f>+(disponibilidad[[#This Row],[Fecha y hora fin]]-disponibilidad[[#This Row],[Fecha y hora inicio]])*1440</f>
        <v>0</v>
      </c>
    </row>
    <row r="5067" spans="6:6" ht="15">
      <c r="F5067" s="115">
        <f>+(disponibilidad[[#This Row],[Fecha y hora fin]]-disponibilidad[[#This Row],[Fecha y hora inicio]])*1440</f>
        <v>0</v>
      </c>
    </row>
    <row r="5068" spans="6:6" ht="15">
      <c r="F5068" s="115">
        <f>+(disponibilidad[[#This Row],[Fecha y hora fin]]-disponibilidad[[#This Row],[Fecha y hora inicio]])*1440</f>
        <v>0</v>
      </c>
    </row>
    <row r="5069" spans="6:6" ht="15">
      <c r="F5069" s="115">
        <f>+(disponibilidad[[#This Row],[Fecha y hora fin]]-disponibilidad[[#This Row],[Fecha y hora inicio]])*1440</f>
        <v>0</v>
      </c>
    </row>
    <row r="5070" spans="6:6" ht="15">
      <c r="F5070" s="115">
        <f>+(disponibilidad[[#This Row],[Fecha y hora fin]]-disponibilidad[[#This Row],[Fecha y hora inicio]])*1440</f>
        <v>0</v>
      </c>
    </row>
    <row r="5071" spans="6:6" ht="15">
      <c r="F5071" s="115">
        <f>+(disponibilidad[[#This Row],[Fecha y hora fin]]-disponibilidad[[#This Row],[Fecha y hora inicio]])*1440</f>
        <v>0</v>
      </c>
    </row>
    <row r="5072" spans="6:6" ht="15">
      <c r="F5072" s="115">
        <f>+(disponibilidad[[#This Row],[Fecha y hora fin]]-disponibilidad[[#This Row],[Fecha y hora inicio]])*1440</f>
        <v>0</v>
      </c>
    </row>
    <row r="5073" spans="6:6" ht="15">
      <c r="F5073" s="115">
        <f>+(disponibilidad[[#This Row],[Fecha y hora fin]]-disponibilidad[[#This Row],[Fecha y hora inicio]])*1440</f>
        <v>0</v>
      </c>
    </row>
    <row r="5074" spans="6:6" ht="15">
      <c r="F5074" s="115">
        <f>+(disponibilidad[[#This Row],[Fecha y hora fin]]-disponibilidad[[#This Row],[Fecha y hora inicio]])*1440</f>
        <v>0</v>
      </c>
    </row>
    <row r="5075" spans="6:6" ht="15">
      <c r="F5075" s="115">
        <f>+(disponibilidad[[#This Row],[Fecha y hora fin]]-disponibilidad[[#This Row],[Fecha y hora inicio]])*1440</f>
        <v>0</v>
      </c>
    </row>
    <row r="5076" spans="6:6" ht="15">
      <c r="F5076" s="115">
        <f>+(disponibilidad[[#This Row],[Fecha y hora fin]]-disponibilidad[[#This Row],[Fecha y hora inicio]])*1440</f>
        <v>0</v>
      </c>
    </row>
    <row r="5077" spans="6:6" ht="15">
      <c r="F5077" s="115">
        <f>+(disponibilidad[[#This Row],[Fecha y hora fin]]-disponibilidad[[#This Row],[Fecha y hora inicio]])*1440</f>
        <v>0</v>
      </c>
    </row>
    <row r="5078" spans="6:6" ht="15">
      <c r="F5078" s="115">
        <f>+(disponibilidad[[#This Row],[Fecha y hora fin]]-disponibilidad[[#This Row],[Fecha y hora inicio]])*1440</f>
        <v>0</v>
      </c>
    </row>
    <row r="5079" spans="6:6" ht="15">
      <c r="F5079" s="115">
        <f>+(disponibilidad[[#This Row],[Fecha y hora fin]]-disponibilidad[[#This Row],[Fecha y hora inicio]])*1440</f>
        <v>0</v>
      </c>
    </row>
    <row r="5080" spans="6:6" ht="15">
      <c r="F5080" s="115">
        <f>+(disponibilidad[[#This Row],[Fecha y hora fin]]-disponibilidad[[#This Row],[Fecha y hora inicio]])*1440</f>
        <v>0</v>
      </c>
    </row>
    <row r="5081" spans="6:6" ht="15">
      <c r="F5081" s="115">
        <f>+(disponibilidad[[#This Row],[Fecha y hora fin]]-disponibilidad[[#This Row],[Fecha y hora inicio]])*1440</f>
        <v>0</v>
      </c>
    </row>
    <row r="5082" spans="6:6" ht="15">
      <c r="F5082" s="115">
        <f>+(disponibilidad[[#This Row],[Fecha y hora fin]]-disponibilidad[[#This Row],[Fecha y hora inicio]])*1440</f>
        <v>0</v>
      </c>
    </row>
    <row r="5083" spans="6:6" ht="15">
      <c r="F5083" s="115">
        <f>+(disponibilidad[[#This Row],[Fecha y hora fin]]-disponibilidad[[#This Row],[Fecha y hora inicio]])*1440</f>
        <v>0</v>
      </c>
    </row>
    <row r="5084" spans="6:6" ht="15">
      <c r="F5084" s="115">
        <f>+(disponibilidad[[#This Row],[Fecha y hora fin]]-disponibilidad[[#This Row],[Fecha y hora inicio]])*1440</f>
        <v>0</v>
      </c>
    </row>
    <row r="5085" spans="6:6" ht="15">
      <c r="F5085" s="115">
        <f>+(disponibilidad[[#This Row],[Fecha y hora fin]]-disponibilidad[[#This Row],[Fecha y hora inicio]])*1440</f>
        <v>0</v>
      </c>
    </row>
    <row r="5086" spans="6:6" ht="15">
      <c r="F5086" s="115">
        <f>+(disponibilidad[[#This Row],[Fecha y hora fin]]-disponibilidad[[#This Row],[Fecha y hora inicio]])*1440</f>
        <v>0</v>
      </c>
    </row>
    <row r="5087" spans="6:6" ht="15">
      <c r="F5087" s="115">
        <f>+(disponibilidad[[#This Row],[Fecha y hora fin]]-disponibilidad[[#This Row],[Fecha y hora inicio]])*1440</f>
        <v>0</v>
      </c>
    </row>
    <row r="5088" spans="6:6" ht="15">
      <c r="F5088" s="115">
        <f>+(disponibilidad[[#This Row],[Fecha y hora fin]]-disponibilidad[[#This Row],[Fecha y hora inicio]])*1440</f>
        <v>0</v>
      </c>
    </row>
    <row r="5089" spans="6:6" ht="15">
      <c r="F5089" s="115">
        <f>+(disponibilidad[[#This Row],[Fecha y hora fin]]-disponibilidad[[#This Row],[Fecha y hora inicio]])*1440</f>
        <v>0</v>
      </c>
    </row>
    <row r="5090" spans="6:6" ht="15">
      <c r="F5090" s="115">
        <f>+(disponibilidad[[#This Row],[Fecha y hora fin]]-disponibilidad[[#This Row],[Fecha y hora inicio]])*1440</f>
        <v>0</v>
      </c>
    </row>
    <row r="5091" spans="6:6" ht="15">
      <c r="F5091" s="115">
        <f>+(disponibilidad[[#This Row],[Fecha y hora fin]]-disponibilidad[[#This Row],[Fecha y hora inicio]])*1440</f>
        <v>0</v>
      </c>
    </row>
    <row r="5092" spans="6:6" ht="15">
      <c r="F5092" s="115">
        <f>+(disponibilidad[[#This Row],[Fecha y hora fin]]-disponibilidad[[#This Row],[Fecha y hora inicio]])*1440</f>
        <v>0</v>
      </c>
    </row>
    <row r="5093" spans="6:6" ht="15">
      <c r="F5093" s="115">
        <f>+(disponibilidad[[#This Row],[Fecha y hora fin]]-disponibilidad[[#This Row],[Fecha y hora inicio]])*1440</f>
        <v>0</v>
      </c>
    </row>
    <row r="5094" spans="6:6" ht="15">
      <c r="F5094" s="115">
        <f>+(disponibilidad[[#This Row],[Fecha y hora fin]]-disponibilidad[[#This Row],[Fecha y hora inicio]])*1440</f>
        <v>0</v>
      </c>
    </row>
    <row r="5095" spans="6:6" ht="15">
      <c r="F5095" s="115">
        <f>+(disponibilidad[[#This Row],[Fecha y hora fin]]-disponibilidad[[#This Row],[Fecha y hora inicio]])*1440</f>
        <v>0</v>
      </c>
    </row>
    <row r="5096" spans="6:6" ht="15">
      <c r="F5096" s="115">
        <f>+(disponibilidad[[#This Row],[Fecha y hora fin]]-disponibilidad[[#This Row],[Fecha y hora inicio]])*1440</f>
        <v>0</v>
      </c>
    </row>
    <row r="5097" spans="6:6" ht="15">
      <c r="F5097" s="115">
        <f>+(disponibilidad[[#This Row],[Fecha y hora fin]]-disponibilidad[[#This Row],[Fecha y hora inicio]])*1440</f>
        <v>0</v>
      </c>
    </row>
    <row r="5098" spans="6:6" ht="15">
      <c r="F5098" s="115">
        <f>+(disponibilidad[[#This Row],[Fecha y hora fin]]-disponibilidad[[#This Row],[Fecha y hora inicio]])*1440</f>
        <v>0</v>
      </c>
    </row>
    <row r="5099" spans="6:6" ht="15">
      <c r="F5099" s="115">
        <f>+(disponibilidad[[#This Row],[Fecha y hora fin]]-disponibilidad[[#This Row],[Fecha y hora inicio]])*1440</f>
        <v>0</v>
      </c>
    </row>
    <row r="5100" spans="6:6" ht="15">
      <c r="F5100" s="115">
        <f>+(disponibilidad[[#This Row],[Fecha y hora fin]]-disponibilidad[[#This Row],[Fecha y hora inicio]])*1440</f>
        <v>0</v>
      </c>
    </row>
    <row r="5101" spans="6:6" ht="15">
      <c r="F5101" s="115">
        <f>+(disponibilidad[[#This Row],[Fecha y hora fin]]-disponibilidad[[#This Row],[Fecha y hora inicio]])*1440</f>
        <v>0</v>
      </c>
    </row>
    <row r="5102" spans="6:6" ht="15">
      <c r="F5102" s="115">
        <f>+(disponibilidad[[#This Row],[Fecha y hora fin]]-disponibilidad[[#This Row],[Fecha y hora inicio]])*1440</f>
        <v>0</v>
      </c>
    </row>
    <row r="5103" spans="6:6" ht="15">
      <c r="F5103" s="115">
        <f>+(disponibilidad[[#This Row],[Fecha y hora fin]]-disponibilidad[[#This Row],[Fecha y hora inicio]])*1440</f>
        <v>0</v>
      </c>
    </row>
    <row r="5104" spans="6:6" ht="15">
      <c r="F5104" s="115">
        <f>+(disponibilidad[[#This Row],[Fecha y hora fin]]-disponibilidad[[#This Row],[Fecha y hora inicio]])*1440</f>
        <v>0</v>
      </c>
    </row>
    <row r="5105" spans="6:6" ht="15">
      <c r="F5105" s="115">
        <f>+(disponibilidad[[#This Row],[Fecha y hora fin]]-disponibilidad[[#This Row],[Fecha y hora inicio]])*1440</f>
        <v>0</v>
      </c>
    </row>
    <row r="5106" spans="6:6" ht="15">
      <c r="F5106" s="115">
        <f>+(disponibilidad[[#This Row],[Fecha y hora fin]]-disponibilidad[[#This Row],[Fecha y hora inicio]])*1440</f>
        <v>0</v>
      </c>
    </row>
    <row r="5107" spans="6:6" ht="15">
      <c r="F5107" s="115">
        <f>+(disponibilidad[[#This Row],[Fecha y hora fin]]-disponibilidad[[#This Row],[Fecha y hora inicio]])*1440</f>
        <v>0</v>
      </c>
    </row>
    <row r="5108" spans="6:6" ht="15">
      <c r="F5108" s="115">
        <f>+(disponibilidad[[#This Row],[Fecha y hora fin]]-disponibilidad[[#This Row],[Fecha y hora inicio]])*1440</f>
        <v>0</v>
      </c>
    </row>
    <row r="5109" spans="6:6" ht="15">
      <c r="F5109" s="115">
        <f>+(disponibilidad[[#This Row],[Fecha y hora fin]]-disponibilidad[[#This Row],[Fecha y hora inicio]])*1440</f>
        <v>0</v>
      </c>
    </row>
    <row r="5110" spans="6:6" ht="15">
      <c r="F5110" s="115">
        <f>+(disponibilidad[[#This Row],[Fecha y hora fin]]-disponibilidad[[#This Row],[Fecha y hora inicio]])*1440</f>
        <v>0</v>
      </c>
    </row>
    <row r="5111" spans="6:6" ht="15">
      <c r="F5111" s="115">
        <f>+(disponibilidad[[#This Row],[Fecha y hora fin]]-disponibilidad[[#This Row],[Fecha y hora inicio]])*1440</f>
        <v>0</v>
      </c>
    </row>
    <row r="5112" spans="6:6" ht="15">
      <c r="F5112" s="115">
        <f>+(disponibilidad[[#This Row],[Fecha y hora fin]]-disponibilidad[[#This Row],[Fecha y hora inicio]])*1440</f>
        <v>0</v>
      </c>
    </row>
    <row r="5113" spans="6:6" ht="15">
      <c r="F5113" s="115">
        <f>+(disponibilidad[[#This Row],[Fecha y hora fin]]-disponibilidad[[#This Row],[Fecha y hora inicio]])*1440</f>
        <v>0</v>
      </c>
    </row>
    <row r="5114" spans="6:6" ht="15">
      <c r="F5114" s="115">
        <f>+(disponibilidad[[#This Row],[Fecha y hora fin]]-disponibilidad[[#This Row],[Fecha y hora inicio]])*1440</f>
        <v>0</v>
      </c>
    </row>
    <row r="5115" spans="6:6" ht="15">
      <c r="F5115" s="115">
        <f>+(disponibilidad[[#This Row],[Fecha y hora fin]]-disponibilidad[[#This Row],[Fecha y hora inicio]])*1440</f>
        <v>0</v>
      </c>
    </row>
    <row r="5116" spans="6:6" ht="15">
      <c r="F5116" s="115">
        <f>+(disponibilidad[[#This Row],[Fecha y hora fin]]-disponibilidad[[#This Row],[Fecha y hora inicio]])*1440</f>
        <v>0</v>
      </c>
    </row>
    <row r="5117" spans="6:6" ht="15">
      <c r="F5117" s="115">
        <f>+(disponibilidad[[#This Row],[Fecha y hora fin]]-disponibilidad[[#This Row],[Fecha y hora inicio]])*1440</f>
        <v>0</v>
      </c>
    </row>
    <row r="5118" spans="6:6" ht="15">
      <c r="F5118" s="115">
        <f>+(disponibilidad[[#This Row],[Fecha y hora fin]]-disponibilidad[[#This Row],[Fecha y hora inicio]])*1440</f>
        <v>0</v>
      </c>
    </row>
    <row r="5119" spans="6:6" ht="15">
      <c r="F5119" s="115">
        <f>+(disponibilidad[[#This Row],[Fecha y hora fin]]-disponibilidad[[#This Row],[Fecha y hora inicio]])*1440</f>
        <v>0</v>
      </c>
    </row>
    <row r="5120" spans="6:6" ht="15">
      <c r="F5120" s="115">
        <f>+(disponibilidad[[#This Row],[Fecha y hora fin]]-disponibilidad[[#This Row],[Fecha y hora inicio]])*1440</f>
        <v>0</v>
      </c>
    </row>
    <row r="5121" spans="6:6" ht="15">
      <c r="F5121" s="115">
        <f>+(disponibilidad[[#This Row],[Fecha y hora fin]]-disponibilidad[[#This Row],[Fecha y hora inicio]])*1440</f>
        <v>0</v>
      </c>
    </row>
    <row r="5122" spans="6:6" ht="15">
      <c r="F5122" s="115">
        <f>+(disponibilidad[[#This Row],[Fecha y hora fin]]-disponibilidad[[#This Row],[Fecha y hora inicio]])*1440</f>
        <v>0</v>
      </c>
    </row>
    <row r="5123" spans="6:6" ht="15">
      <c r="F5123" s="115">
        <f>+(disponibilidad[[#This Row],[Fecha y hora fin]]-disponibilidad[[#This Row],[Fecha y hora inicio]])*1440</f>
        <v>0</v>
      </c>
    </row>
    <row r="5124" spans="6:6" ht="15">
      <c r="F5124" s="115">
        <f>+(disponibilidad[[#This Row],[Fecha y hora fin]]-disponibilidad[[#This Row],[Fecha y hora inicio]])*1440</f>
        <v>0</v>
      </c>
    </row>
    <row r="5125" spans="6:6" ht="15">
      <c r="F5125" s="115">
        <f>+(disponibilidad[[#This Row],[Fecha y hora fin]]-disponibilidad[[#This Row],[Fecha y hora inicio]])*1440</f>
        <v>0</v>
      </c>
    </row>
    <row r="5126" spans="6:6" ht="15">
      <c r="F5126" s="115">
        <f>+(disponibilidad[[#This Row],[Fecha y hora fin]]-disponibilidad[[#This Row],[Fecha y hora inicio]])*1440</f>
        <v>0</v>
      </c>
    </row>
    <row r="5127" spans="6:6" ht="15">
      <c r="F5127" s="115">
        <f>+(disponibilidad[[#This Row],[Fecha y hora fin]]-disponibilidad[[#This Row],[Fecha y hora inicio]])*1440</f>
        <v>0</v>
      </c>
    </row>
    <row r="5128" spans="6:6" ht="15">
      <c r="F5128" s="115">
        <f>+(disponibilidad[[#This Row],[Fecha y hora fin]]-disponibilidad[[#This Row],[Fecha y hora inicio]])*1440</f>
        <v>0</v>
      </c>
    </row>
    <row r="5129" spans="6:6" ht="15">
      <c r="F5129" s="115">
        <f>+(disponibilidad[[#This Row],[Fecha y hora fin]]-disponibilidad[[#This Row],[Fecha y hora inicio]])*1440</f>
        <v>0</v>
      </c>
    </row>
    <row r="5130" spans="6:6" ht="15">
      <c r="F5130" s="115">
        <f>+(disponibilidad[[#This Row],[Fecha y hora fin]]-disponibilidad[[#This Row],[Fecha y hora inicio]])*1440</f>
        <v>0</v>
      </c>
    </row>
    <row r="5131" spans="6:6" ht="15">
      <c r="F5131" s="115">
        <f>+(disponibilidad[[#This Row],[Fecha y hora fin]]-disponibilidad[[#This Row],[Fecha y hora inicio]])*1440</f>
        <v>0</v>
      </c>
    </row>
    <row r="5132" spans="6:6" ht="15">
      <c r="F5132" s="115">
        <f>+(disponibilidad[[#This Row],[Fecha y hora fin]]-disponibilidad[[#This Row],[Fecha y hora inicio]])*1440</f>
        <v>0</v>
      </c>
    </row>
    <row r="5133" spans="6:6" ht="15">
      <c r="F5133" s="115">
        <f>+(disponibilidad[[#This Row],[Fecha y hora fin]]-disponibilidad[[#This Row],[Fecha y hora inicio]])*1440</f>
        <v>0</v>
      </c>
    </row>
    <row r="5134" spans="6:6" ht="15">
      <c r="F5134" s="115">
        <f>+(disponibilidad[[#This Row],[Fecha y hora fin]]-disponibilidad[[#This Row],[Fecha y hora inicio]])*1440</f>
        <v>0</v>
      </c>
    </row>
    <row r="5135" spans="6:6" ht="15">
      <c r="F5135" s="115">
        <f>+(disponibilidad[[#This Row],[Fecha y hora fin]]-disponibilidad[[#This Row],[Fecha y hora inicio]])*1440</f>
        <v>0</v>
      </c>
    </row>
    <row r="5136" spans="6:6" ht="15">
      <c r="F5136" s="115">
        <f>+(disponibilidad[[#This Row],[Fecha y hora fin]]-disponibilidad[[#This Row],[Fecha y hora inicio]])*1440</f>
        <v>0</v>
      </c>
    </row>
    <row r="5137" spans="6:6" ht="15">
      <c r="F5137" s="115">
        <f>+(disponibilidad[[#This Row],[Fecha y hora fin]]-disponibilidad[[#This Row],[Fecha y hora inicio]])*1440</f>
        <v>0</v>
      </c>
    </row>
    <row r="5138" spans="6:6" ht="15">
      <c r="F5138" s="115">
        <f>+(disponibilidad[[#This Row],[Fecha y hora fin]]-disponibilidad[[#This Row],[Fecha y hora inicio]])*1440</f>
        <v>0</v>
      </c>
    </row>
    <row r="5139" spans="6:6" ht="15">
      <c r="F5139" s="115">
        <f>+(disponibilidad[[#This Row],[Fecha y hora fin]]-disponibilidad[[#This Row],[Fecha y hora inicio]])*1440</f>
        <v>0</v>
      </c>
    </row>
    <row r="5140" spans="6:6" ht="15">
      <c r="F5140" s="115">
        <f>+(disponibilidad[[#This Row],[Fecha y hora fin]]-disponibilidad[[#This Row],[Fecha y hora inicio]])*1440</f>
        <v>0</v>
      </c>
    </row>
    <row r="5141" spans="6:6" ht="15">
      <c r="F5141" s="115">
        <f>+(disponibilidad[[#This Row],[Fecha y hora fin]]-disponibilidad[[#This Row],[Fecha y hora inicio]])*1440</f>
        <v>0</v>
      </c>
    </row>
    <row r="5142" spans="6:6" ht="15">
      <c r="F5142" s="115">
        <f>+(disponibilidad[[#This Row],[Fecha y hora fin]]-disponibilidad[[#This Row],[Fecha y hora inicio]])*1440</f>
        <v>0</v>
      </c>
    </row>
    <row r="5143" spans="6:6" ht="15">
      <c r="F5143" s="115">
        <f>+(disponibilidad[[#This Row],[Fecha y hora fin]]-disponibilidad[[#This Row],[Fecha y hora inicio]])*1440</f>
        <v>0</v>
      </c>
    </row>
    <row r="5144" spans="6:6" ht="15">
      <c r="F5144" s="115">
        <f>+(disponibilidad[[#This Row],[Fecha y hora fin]]-disponibilidad[[#This Row],[Fecha y hora inicio]])*1440</f>
        <v>0</v>
      </c>
    </row>
    <row r="5145" spans="6:6" ht="15">
      <c r="F5145" s="115">
        <f>+(disponibilidad[[#This Row],[Fecha y hora fin]]-disponibilidad[[#This Row],[Fecha y hora inicio]])*1440</f>
        <v>0</v>
      </c>
    </row>
    <row r="5146" spans="6:6" ht="15">
      <c r="F5146" s="115">
        <f>+(disponibilidad[[#This Row],[Fecha y hora fin]]-disponibilidad[[#This Row],[Fecha y hora inicio]])*1440</f>
        <v>0</v>
      </c>
    </row>
    <row r="5147" spans="6:6" ht="15">
      <c r="F5147" s="115">
        <f>+(disponibilidad[[#This Row],[Fecha y hora fin]]-disponibilidad[[#This Row],[Fecha y hora inicio]])*1440</f>
        <v>0</v>
      </c>
    </row>
    <row r="5148" spans="6:6" ht="15">
      <c r="F5148" s="115">
        <f>+(disponibilidad[[#This Row],[Fecha y hora fin]]-disponibilidad[[#This Row],[Fecha y hora inicio]])*1440</f>
        <v>0</v>
      </c>
    </row>
    <row r="5149" spans="6:6" ht="15">
      <c r="F5149" s="115">
        <f>+(disponibilidad[[#This Row],[Fecha y hora fin]]-disponibilidad[[#This Row],[Fecha y hora inicio]])*1440</f>
        <v>0</v>
      </c>
    </row>
    <row r="5150" spans="6:6" ht="15">
      <c r="F5150" s="115">
        <f>+(disponibilidad[[#This Row],[Fecha y hora fin]]-disponibilidad[[#This Row],[Fecha y hora inicio]])*1440</f>
        <v>0</v>
      </c>
    </row>
    <row r="5151" spans="6:6" ht="15">
      <c r="F5151" s="115">
        <f>+(disponibilidad[[#This Row],[Fecha y hora fin]]-disponibilidad[[#This Row],[Fecha y hora inicio]])*1440</f>
        <v>0</v>
      </c>
    </row>
    <row r="5152" spans="6:6" ht="15">
      <c r="F5152" s="115">
        <f>+(disponibilidad[[#This Row],[Fecha y hora fin]]-disponibilidad[[#This Row],[Fecha y hora inicio]])*1440</f>
        <v>0</v>
      </c>
    </row>
    <row r="5153" spans="6:6" ht="15">
      <c r="F5153" s="115">
        <f>+(disponibilidad[[#This Row],[Fecha y hora fin]]-disponibilidad[[#This Row],[Fecha y hora inicio]])*1440</f>
        <v>0</v>
      </c>
    </row>
    <row r="5154" spans="6:6" ht="15">
      <c r="F5154" s="115">
        <f>+(disponibilidad[[#This Row],[Fecha y hora fin]]-disponibilidad[[#This Row],[Fecha y hora inicio]])*1440</f>
        <v>0</v>
      </c>
    </row>
    <row r="5155" spans="6:6" ht="15">
      <c r="F5155" s="115">
        <f>+(disponibilidad[[#This Row],[Fecha y hora fin]]-disponibilidad[[#This Row],[Fecha y hora inicio]])*1440</f>
        <v>0</v>
      </c>
    </row>
    <row r="5156" spans="6:6" ht="15">
      <c r="F5156" s="115">
        <f>+(disponibilidad[[#This Row],[Fecha y hora fin]]-disponibilidad[[#This Row],[Fecha y hora inicio]])*1440</f>
        <v>0</v>
      </c>
    </row>
    <row r="5157" spans="6:6" ht="15">
      <c r="F5157" s="115">
        <f>+(disponibilidad[[#This Row],[Fecha y hora fin]]-disponibilidad[[#This Row],[Fecha y hora inicio]])*1440</f>
        <v>0</v>
      </c>
    </row>
    <row r="5158" spans="6:6" ht="15">
      <c r="F5158" s="115">
        <f>+(disponibilidad[[#This Row],[Fecha y hora fin]]-disponibilidad[[#This Row],[Fecha y hora inicio]])*1440</f>
        <v>0</v>
      </c>
    </row>
    <row r="5159" spans="6:6" ht="15">
      <c r="F5159" s="115">
        <f>+(disponibilidad[[#This Row],[Fecha y hora fin]]-disponibilidad[[#This Row],[Fecha y hora inicio]])*1440</f>
        <v>0</v>
      </c>
    </row>
    <row r="5160" spans="6:6" ht="15">
      <c r="F5160" s="115">
        <f>+(disponibilidad[[#This Row],[Fecha y hora fin]]-disponibilidad[[#This Row],[Fecha y hora inicio]])*1440</f>
        <v>0</v>
      </c>
    </row>
    <row r="5161" spans="6:6" ht="15">
      <c r="F5161" s="115">
        <f>+(disponibilidad[[#This Row],[Fecha y hora fin]]-disponibilidad[[#This Row],[Fecha y hora inicio]])*1440</f>
        <v>0</v>
      </c>
    </row>
    <row r="5162" spans="6:6" ht="15">
      <c r="F5162" s="115">
        <f>+(disponibilidad[[#This Row],[Fecha y hora fin]]-disponibilidad[[#This Row],[Fecha y hora inicio]])*1440</f>
        <v>0</v>
      </c>
    </row>
    <row r="5163" spans="6:6" ht="15">
      <c r="F5163" s="115">
        <f>+(disponibilidad[[#This Row],[Fecha y hora fin]]-disponibilidad[[#This Row],[Fecha y hora inicio]])*1440</f>
        <v>0</v>
      </c>
    </row>
    <row r="5164" spans="6:6" ht="15">
      <c r="F5164" s="115">
        <f>+(disponibilidad[[#This Row],[Fecha y hora fin]]-disponibilidad[[#This Row],[Fecha y hora inicio]])*1440</f>
        <v>0</v>
      </c>
    </row>
    <row r="5165" spans="6:6" ht="15">
      <c r="F5165" s="115">
        <f>+(disponibilidad[[#This Row],[Fecha y hora fin]]-disponibilidad[[#This Row],[Fecha y hora inicio]])*1440</f>
        <v>0</v>
      </c>
    </row>
    <row r="5166" spans="6:6" ht="15">
      <c r="F5166" s="115">
        <f>+(disponibilidad[[#This Row],[Fecha y hora fin]]-disponibilidad[[#This Row],[Fecha y hora inicio]])*1440</f>
        <v>0</v>
      </c>
    </row>
    <row r="5167" spans="6:6" ht="15">
      <c r="F5167" s="115">
        <f>+(disponibilidad[[#This Row],[Fecha y hora fin]]-disponibilidad[[#This Row],[Fecha y hora inicio]])*1440</f>
        <v>0</v>
      </c>
    </row>
    <row r="5168" spans="6:6" ht="15">
      <c r="F5168" s="115">
        <f>+(disponibilidad[[#This Row],[Fecha y hora fin]]-disponibilidad[[#This Row],[Fecha y hora inicio]])*1440</f>
        <v>0</v>
      </c>
    </row>
    <row r="5169" spans="6:6" ht="15">
      <c r="F5169" s="115">
        <f>+(disponibilidad[[#This Row],[Fecha y hora fin]]-disponibilidad[[#This Row],[Fecha y hora inicio]])*1440</f>
        <v>0</v>
      </c>
    </row>
    <row r="5170" spans="6:6" ht="15">
      <c r="F5170" s="115">
        <f>+(disponibilidad[[#This Row],[Fecha y hora fin]]-disponibilidad[[#This Row],[Fecha y hora inicio]])*1440</f>
        <v>0</v>
      </c>
    </row>
    <row r="5171" spans="6:6" ht="15">
      <c r="F5171" s="115">
        <f>+(disponibilidad[[#This Row],[Fecha y hora fin]]-disponibilidad[[#This Row],[Fecha y hora inicio]])*1440</f>
        <v>0</v>
      </c>
    </row>
    <row r="5172" spans="6:6" ht="15">
      <c r="F5172" s="115">
        <f>+(disponibilidad[[#This Row],[Fecha y hora fin]]-disponibilidad[[#This Row],[Fecha y hora inicio]])*1440</f>
        <v>0</v>
      </c>
    </row>
    <row r="5173" spans="6:6" ht="15">
      <c r="F5173" s="115">
        <f>+(disponibilidad[[#This Row],[Fecha y hora fin]]-disponibilidad[[#This Row],[Fecha y hora inicio]])*1440</f>
        <v>0</v>
      </c>
    </row>
    <row r="5174" spans="6:6" ht="15">
      <c r="F5174" s="115">
        <f>+(disponibilidad[[#This Row],[Fecha y hora fin]]-disponibilidad[[#This Row],[Fecha y hora inicio]])*1440</f>
        <v>0</v>
      </c>
    </row>
    <row r="5175" spans="6:6" ht="15">
      <c r="F5175" s="115">
        <f>+(disponibilidad[[#This Row],[Fecha y hora fin]]-disponibilidad[[#This Row],[Fecha y hora inicio]])*1440</f>
        <v>0</v>
      </c>
    </row>
    <row r="5176" spans="6:6" ht="15">
      <c r="F5176" s="115">
        <f>+(disponibilidad[[#This Row],[Fecha y hora fin]]-disponibilidad[[#This Row],[Fecha y hora inicio]])*1440</f>
        <v>0</v>
      </c>
    </row>
    <row r="5177" spans="6:6" ht="15">
      <c r="F5177" s="115">
        <f>+(disponibilidad[[#This Row],[Fecha y hora fin]]-disponibilidad[[#This Row],[Fecha y hora inicio]])*1440</f>
        <v>0</v>
      </c>
    </row>
    <row r="5178" spans="6:6" ht="15">
      <c r="F5178" s="115">
        <f>+(disponibilidad[[#This Row],[Fecha y hora fin]]-disponibilidad[[#This Row],[Fecha y hora inicio]])*1440</f>
        <v>0</v>
      </c>
    </row>
    <row r="5179" spans="6:6" ht="15">
      <c r="F5179" s="115">
        <f>+(disponibilidad[[#This Row],[Fecha y hora fin]]-disponibilidad[[#This Row],[Fecha y hora inicio]])*1440</f>
        <v>0</v>
      </c>
    </row>
    <row r="5180" spans="6:6" ht="15">
      <c r="F5180" s="115">
        <f>+(disponibilidad[[#This Row],[Fecha y hora fin]]-disponibilidad[[#This Row],[Fecha y hora inicio]])*1440</f>
        <v>0</v>
      </c>
    </row>
    <row r="5181" spans="6:6" ht="15">
      <c r="F5181" s="115">
        <f>+(disponibilidad[[#This Row],[Fecha y hora fin]]-disponibilidad[[#This Row],[Fecha y hora inicio]])*1440</f>
        <v>0</v>
      </c>
    </row>
    <row r="5182" spans="6:6" ht="15">
      <c r="F5182" s="115">
        <f>+(disponibilidad[[#This Row],[Fecha y hora fin]]-disponibilidad[[#This Row],[Fecha y hora inicio]])*1440</f>
        <v>0</v>
      </c>
    </row>
    <row r="5183" spans="6:6" ht="15">
      <c r="F5183" s="115">
        <f>+(disponibilidad[[#This Row],[Fecha y hora fin]]-disponibilidad[[#This Row],[Fecha y hora inicio]])*1440</f>
        <v>0</v>
      </c>
    </row>
    <row r="5184" spans="6:6" ht="15">
      <c r="F5184" s="115">
        <f>+(disponibilidad[[#This Row],[Fecha y hora fin]]-disponibilidad[[#This Row],[Fecha y hora inicio]])*1440</f>
        <v>0</v>
      </c>
    </row>
    <row r="5185" spans="6:6" ht="15">
      <c r="F5185" s="115">
        <f>+(disponibilidad[[#This Row],[Fecha y hora fin]]-disponibilidad[[#This Row],[Fecha y hora inicio]])*1440</f>
        <v>0</v>
      </c>
    </row>
    <row r="5186" spans="6:6" ht="15">
      <c r="F5186" s="115">
        <f>+(disponibilidad[[#This Row],[Fecha y hora fin]]-disponibilidad[[#This Row],[Fecha y hora inicio]])*1440</f>
        <v>0</v>
      </c>
    </row>
    <row r="5187" spans="6:6" ht="15">
      <c r="F5187" s="115">
        <f>+(disponibilidad[[#This Row],[Fecha y hora fin]]-disponibilidad[[#This Row],[Fecha y hora inicio]])*1440</f>
        <v>0</v>
      </c>
    </row>
    <row r="5188" spans="6:6" ht="15">
      <c r="F5188" s="115">
        <f>+(disponibilidad[[#This Row],[Fecha y hora fin]]-disponibilidad[[#This Row],[Fecha y hora inicio]])*1440</f>
        <v>0</v>
      </c>
    </row>
    <row r="5189" spans="6:6" ht="15">
      <c r="F5189" s="115">
        <f>+(disponibilidad[[#This Row],[Fecha y hora fin]]-disponibilidad[[#This Row],[Fecha y hora inicio]])*1440</f>
        <v>0</v>
      </c>
    </row>
    <row r="5190" spans="6:6" ht="15">
      <c r="F5190" s="115">
        <f>+(disponibilidad[[#This Row],[Fecha y hora fin]]-disponibilidad[[#This Row],[Fecha y hora inicio]])*1440</f>
        <v>0</v>
      </c>
    </row>
    <row r="5191" spans="6:6" ht="15">
      <c r="F5191" s="115">
        <f>+(disponibilidad[[#This Row],[Fecha y hora fin]]-disponibilidad[[#This Row],[Fecha y hora inicio]])*1440</f>
        <v>0</v>
      </c>
    </row>
    <row r="5192" spans="6:6" ht="15">
      <c r="F5192" s="115">
        <f>+(disponibilidad[[#This Row],[Fecha y hora fin]]-disponibilidad[[#This Row],[Fecha y hora inicio]])*1440</f>
        <v>0</v>
      </c>
    </row>
    <row r="5193" spans="6:6" ht="15">
      <c r="F5193" s="115">
        <f>+(disponibilidad[[#This Row],[Fecha y hora fin]]-disponibilidad[[#This Row],[Fecha y hora inicio]])*1440</f>
        <v>0</v>
      </c>
    </row>
    <row r="5194" spans="6:6" ht="15">
      <c r="F5194" s="115">
        <f>+(disponibilidad[[#This Row],[Fecha y hora fin]]-disponibilidad[[#This Row],[Fecha y hora inicio]])*1440</f>
        <v>0</v>
      </c>
    </row>
    <row r="5195" spans="6:6" ht="15">
      <c r="F5195" s="115">
        <f>+(disponibilidad[[#This Row],[Fecha y hora fin]]-disponibilidad[[#This Row],[Fecha y hora inicio]])*1440</f>
        <v>0</v>
      </c>
    </row>
    <row r="5196" spans="6:6" ht="15">
      <c r="F5196" s="115">
        <f>+(disponibilidad[[#This Row],[Fecha y hora fin]]-disponibilidad[[#This Row],[Fecha y hora inicio]])*1440</f>
        <v>0</v>
      </c>
    </row>
    <row r="5197" spans="6:6" ht="15">
      <c r="F5197" s="115">
        <f>+(disponibilidad[[#This Row],[Fecha y hora fin]]-disponibilidad[[#This Row],[Fecha y hora inicio]])*1440</f>
        <v>0</v>
      </c>
    </row>
    <row r="5198" spans="6:6" ht="15">
      <c r="F5198" s="115">
        <f>+(disponibilidad[[#This Row],[Fecha y hora fin]]-disponibilidad[[#This Row],[Fecha y hora inicio]])*1440</f>
        <v>0</v>
      </c>
    </row>
    <row r="5199" spans="6:6" ht="15">
      <c r="F5199" s="115">
        <f>+(disponibilidad[[#This Row],[Fecha y hora fin]]-disponibilidad[[#This Row],[Fecha y hora inicio]])*1440</f>
        <v>0</v>
      </c>
    </row>
    <row r="5200" spans="6:6" ht="15">
      <c r="F5200" s="115">
        <f>+(disponibilidad[[#This Row],[Fecha y hora fin]]-disponibilidad[[#This Row],[Fecha y hora inicio]])*1440</f>
        <v>0</v>
      </c>
    </row>
    <row r="5201" spans="6:6" ht="15">
      <c r="F5201" s="115">
        <f>+(disponibilidad[[#This Row],[Fecha y hora fin]]-disponibilidad[[#This Row],[Fecha y hora inicio]])*1440</f>
        <v>0</v>
      </c>
    </row>
    <row r="5202" spans="6:6" ht="15">
      <c r="F5202" s="115">
        <f>+(disponibilidad[[#This Row],[Fecha y hora fin]]-disponibilidad[[#This Row],[Fecha y hora inicio]])*1440</f>
        <v>0</v>
      </c>
    </row>
    <row r="5203" spans="6:6" ht="15">
      <c r="F5203" s="115">
        <f>+(disponibilidad[[#This Row],[Fecha y hora fin]]-disponibilidad[[#This Row],[Fecha y hora inicio]])*1440</f>
        <v>0</v>
      </c>
    </row>
    <row r="5204" spans="6:6" ht="15">
      <c r="F5204" s="115">
        <f>+(disponibilidad[[#This Row],[Fecha y hora fin]]-disponibilidad[[#This Row],[Fecha y hora inicio]])*1440</f>
        <v>0</v>
      </c>
    </row>
    <row r="5205" spans="6:6" ht="15">
      <c r="F5205" s="115">
        <f>+(disponibilidad[[#This Row],[Fecha y hora fin]]-disponibilidad[[#This Row],[Fecha y hora inicio]])*1440</f>
        <v>0</v>
      </c>
    </row>
    <row r="5206" spans="6:6" ht="15">
      <c r="F5206" s="115">
        <f>+(disponibilidad[[#This Row],[Fecha y hora fin]]-disponibilidad[[#This Row],[Fecha y hora inicio]])*1440</f>
        <v>0</v>
      </c>
    </row>
    <row r="5207" spans="6:6" ht="15">
      <c r="F5207" s="115">
        <f>+(disponibilidad[[#This Row],[Fecha y hora fin]]-disponibilidad[[#This Row],[Fecha y hora inicio]])*1440</f>
        <v>0</v>
      </c>
    </row>
    <row r="5208" spans="6:6" ht="15">
      <c r="F5208" s="115">
        <f>+(disponibilidad[[#This Row],[Fecha y hora fin]]-disponibilidad[[#This Row],[Fecha y hora inicio]])*1440</f>
        <v>0</v>
      </c>
    </row>
    <row r="5209" spans="6:6" ht="15">
      <c r="F5209" s="115">
        <f>+(disponibilidad[[#This Row],[Fecha y hora fin]]-disponibilidad[[#This Row],[Fecha y hora inicio]])*1440</f>
        <v>0</v>
      </c>
    </row>
    <row r="5210" spans="6:6" ht="15">
      <c r="F5210" s="115">
        <f>+(disponibilidad[[#This Row],[Fecha y hora fin]]-disponibilidad[[#This Row],[Fecha y hora inicio]])*1440</f>
        <v>0</v>
      </c>
    </row>
    <row r="5211" spans="6:6" ht="15">
      <c r="F5211" s="115">
        <f>+(disponibilidad[[#This Row],[Fecha y hora fin]]-disponibilidad[[#This Row],[Fecha y hora inicio]])*1440</f>
        <v>0</v>
      </c>
    </row>
    <row r="5212" spans="6:6" ht="15">
      <c r="F5212" s="115">
        <f>+(disponibilidad[[#This Row],[Fecha y hora fin]]-disponibilidad[[#This Row],[Fecha y hora inicio]])*1440</f>
        <v>0</v>
      </c>
    </row>
    <row r="5213" spans="6:6" ht="15">
      <c r="F5213" s="115">
        <f>+(disponibilidad[[#This Row],[Fecha y hora fin]]-disponibilidad[[#This Row],[Fecha y hora inicio]])*1440</f>
        <v>0</v>
      </c>
    </row>
    <row r="5214" spans="6:6" ht="15">
      <c r="F5214" s="115">
        <f>+(disponibilidad[[#This Row],[Fecha y hora fin]]-disponibilidad[[#This Row],[Fecha y hora inicio]])*1440</f>
        <v>0</v>
      </c>
    </row>
    <row r="5215" spans="6:6" ht="15">
      <c r="F5215" s="115">
        <f>+(disponibilidad[[#This Row],[Fecha y hora fin]]-disponibilidad[[#This Row],[Fecha y hora inicio]])*1440</f>
        <v>0</v>
      </c>
    </row>
    <row r="5216" spans="6:6" ht="15">
      <c r="F5216" s="115">
        <f>+(disponibilidad[[#This Row],[Fecha y hora fin]]-disponibilidad[[#This Row],[Fecha y hora inicio]])*1440</f>
        <v>0</v>
      </c>
    </row>
    <row r="5217" spans="6:6" ht="15">
      <c r="F5217" s="115">
        <f>+(disponibilidad[[#This Row],[Fecha y hora fin]]-disponibilidad[[#This Row],[Fecha y hora inicio]])*1440</f>
        <v>0</v>
      </c>
    </row>
    <row r="5218" spans="6:6" ht="15">
      <c r="F5218" s="115">
        <f>+(disponibilidad[[#This Row],[Fecha y hora fin]]-disponibilidad[[#This Row],[Fecha y hora inicio]])*1440</f>
        <v>0</v>
      </c>
    </row>
    <row r="5219" spans="6:6" ht="15">
      <c r="F5219" s="115">
        <f>+(disponibilidad[[#This Row],[Fecha y hora fin]]-disponibilidad[[#This Row],[Fecha y hora inicio]])*1440</f>
        <v>0</v>
      </c>
    </row>
    <row r="5220" spans="6:6" ht="15">
      <c r="F5220" s="115">
        <f>+(disponibilidad[[#This Row],[Fecha y hora fin]]-disponibilidad[[#This Row],[Fecha y hora inicio]])*1440</f>
        <v>0</v>
      </c>
    </row>
    <row r="5221" spans="6:6" ht="15">
      <c r="F5221" s="115">
        <f>+(disponibilidad[[#This Row],[Fecha y hora fin]]-disponibilidad[[#This Row],[Fecha y hora inicio]])*1440</f>
        <v>0</v>
      </c>
    </row>
    <row r="5222" spans="6:6" ht="15">
      <c r="F5222" s="115">
        <f>+(disponibilidad[[#This Row],[Fecha y hora fin]]-disponibilidad[[#This Row],[Fecha y hora inicio]])*1440</f>
        <v>0</v>
      </c>
    </row>
    <row r="5223" spans="6:6" ht="15">
      <c r="F5223" s="115">
        <f>+(disponibilidad[[#This Row],[Fecha y hora fin]]-disponibilidad[[#This Row],[Fecha y hora inicio]])*1440</f>
        <v>0</v>
      </c>
    </row>
    <row r="5224" spans="6:6" ht="15">
      <c r="F5224" s="115">
        <f>+(disponibilidad[[#This Row],[Fecha y hora fin]]-disponibilidad[[#This Row],[Fecha y hora inicio]])*1440</f>
        <v>0</v>
      </c>
    </row>
    <row r="5225" spans="6:6" ht="15">
      <c r="F5225" s="115">
        <f>+(disponibilidad[[#This Row],[Fecha y hora fin]]-disponibilidad[[#This Row],[Fecha y hora inicio]])*1440</f>
        <v>0</v>
      </c>
    </row>
    <row r="5226" spans="6:6" ht="15">
      <c r="F5226" s="115">
        <f>+(disponibilidad[[#This Row],[Fecha y hora fin]]-disponibilidad[[#This Row],[Fecha y hora inicio]])*1440</f>
        <v>0</v>
      </c>
    </row>
    <row r="5227" spans="6:6" ht="15">
      <c r="F5227" s="115">
        <f>+(disponibilidad[[#This Row],[Fecha y hora fin]]-disponibilidad[[#This Row],[Fecha y hora inicio]])*1440</f>
        <v>0</v>
      </c>
    </row>
    <row r="5228" spans="6:6" ht="15">
      <c r="F5228" s="115">
        <f>+(disponibilidad[[#This Row],[Fecha y hora fin]]-disponibilidad[[#This Row],[Fecha y hora inicio]])*1440</f>
        <v>0</v>
      </c>
    </row>
    <row r="5229" spans="6:6" ht="15">
      <c r="F5229" s="115">
        <f>+(disponibilidad[[#This Row],[Fecha y hora fin]]-disponibilidad[[#This Row],[Fecha y hora inicio]])*1440</f>
        <v>0</v>
      </c>
    </row>
    <row r="5230" spans="6:6" ht="15">
      <c r="F5230" s="115">
        <f>+(disponibilidad[[#This Row],[Fecha y hora fin]]-disponibilidad[[#This Row],[Fecha y hora inicio]])*1440</f>
        <v>0</v>
      </c>
    </row>
    <row r="5231" spans="6:6" ht="15">
      <c r="F5231" s="115">
        <f>+(disponibilidad[[#This Row],[Fecha y hora fin]]-disponibilidad[[#This Row],[Fecha y hora inicio]])*1440</f>
        <v>0</v>
      </c>
    </row>
    <row r="5232" spans="6:6" ht="15">
      <c r="F5232" s="115">
        <f>+(disponibilidad[[#This Row],[Fecha y hora fin]]-disponibilidad[[#This Row],[Fecha y hora inicio]])*1440</f>
        <v>0</v>
      </c>
    </row>
    <row r="5233" spans="6:6" ht="15">
      <c r="F5233" s="115">
        <f>+(disponibilidad[[#This Row],[Fecha y hora fin]]-disponibilidad[[#This Row],[Fecha y hora inicio]])*1440</f>
        <v>0</v>
      </c>
    </row>
    <row r="5234" spans="6:6" ht="15">
      <c r="F5234" s="115">
        <f>+(disponibilidad[[#This Row],[Fecha y hora fin]]-disponibilidad[[#This Row],[Fecha y hora inicio]])*1440</f>
        <v>0</v>
      </c>
    </row>
    <row r="5235" spans="6:6" ht="15">
      <c r="F5235" s="115">
        <f>+(disponibilidad[[#This Row],[Fecha y hora fin]]-disponibilidad[[#This Row],[Fecha y hora inicio]])*1440</f>
        <v>0</v>
      </c>
    </row>
    <row r="5236" spans="6:6" ht="15">
      <c r="F5236" s="115">
        <f>+(disponibilidad[[#This Row],[Fecha y hora fin]]-disponibilidad[[#This Row],[Fecha y hora inicio]])*1440</f>
        <v>0</v>
      </c>
    </row>
    <row r="5237" spans="6:6" ht="15">
      <c r="F5237" s="115">
        <f>+(disponibilidad[[#This Row],[Fecha y hora fin]]-disponibilidad[[#This Row],[Fecha y hora inicio]])*1440</f>
        <v>0</v>
      </c>
    </row>
    <row r="5238" spans="6:6" ht="15">
      <c r="F5238" s="115">
        <f>+(disponibilidad[[#This Row],[Fecha y hora fin]]-disponibilidad[[#This Row],[Fecha y hora inicio]])*1440</f>
        <v>0</v>
      </c>
    </row>
    <row r="5239" spans="6:6" ht="15">
      <c r="F5239" s="115">
        <f>+(disponibilidad[[#This Row],[Fecha y hora fin]]-disponibilidad[[#This Row],[Fecha y hora inicio]])*1440</f>
        <v>0</v>
      </c>
    </row>
    <row r="5240" spans="6:6" ht="15">
      <c r="F5240" s="115">
        <f>+(disponibilidad[[#This Row],[Fecha y hora fin]]-disponibilidad[[#This Row],[Fecha y hora inicio]])*1440</f>
        <v>0</v>
      </c>
    </row>
    <row r="5241" spans="6:6" ht="15">
      <c r="F5241" s="115">
        <f>+(disponibilidad[[#This Row],[Fecha y hora fin]]-disponibilidad[[#This Row],[Fecha y hora inicio]])*1440</f>
        <v>0</v>
      </c>
    </row>
    <row r="5242" spans="6:6" ht="15">
      <c r="F5242" s="115">
        <f>+(disponibilidad[[#This Row],[Fecha y hora fin]]-disponibilidad[[#This Row],[Fecha y hora inicio]])*1440</f>
        <v>0</v>
      </c>
    </row>
    <row r="5243" spans="6:6" ht="15">
      <c r="F5243" s="115">
        <f>+(disponibilidad[[#This Row],[Fecha y hora fin]]-disponibilidad[[#This Row],[Fecha y hora inicio]])*1440</f>
        <v>0</v>
      </c>
    </row>
    <row r="5244" spans="6:6" ht="15">
      <c r="F5244" s="115">
        <f>+(disponibilidad[[#This Row],[Fecha y hora fin]]-disponibilidad[[#This Row],[Fecha y hora inicio]])*1440</f>
        <v>0</v>
      </c>
    </row>
    <row r="5245" spans="6:6" ht="15">
      <c r="F5245" s="115">
        <f>+(disponibilidad[[#This Row],[Fecha y hora fin]]-disponibilidad[[#This Row],[Fecha y hora inicio]])*1440</f>
        <v>0</v>
      </c>
    </row>
    <row r="5246" spans="6:6" ht="15">
      <c r="F5246" s="115">
        <f>+(disponibilidad[[#This Row],[Fecha y hora fin]]-disponibilidad[[#This Row],[Fecha y hora inicio]])*1440</f>
        <v>0</v>
      </c>
    </row>
    <row r="5247" spans="6:6" ht="15">
      <c r="F5247" s="115">
        <f>+(disponibilidad[[#This Row],[Fecha y hora fin]]-disponibilidad[[#This Row],[Fecha y hora inicio]])*1440</f>
        <v>0</v>
      </c>
    </row>
    <row r="5248" spans="6:6" ht="15">
      <c r="F5248" s="115">
        <f>+(disponibilidad[[#This Row],[Fecha y hora fin]]-disponibilidad[[#This Row],[Fecha y hora inicio]])*1440</f>
        <v>0</v>
      </c>
    </row>
    <row r="5249" spans="6:6" ht="15">
      <c r="F5249" s="115">
        <f>+(disponibilidad[[#This Row],[Fecha y hora fin]]-disponibilidad[[#This Row],[Fecha y hora inicio]])*1440</f>
        <v>0</v>
      </c>
    </row>
    <row r="5250" spans="6:6" ht="15">
      <c r="F5250" s="115">
        <f>+(disponibilidad[[#This Row],[Fecha y hora fin]]-disponibilidad[[#This Row],[Fecha y hora inicio]])*1440</f>
        <v>0</v>
      </c>
    </row>
    <row r="5251" spans="6:6" ht="15">
      <c r="F5251" s="115">
        <f>+(disponibilidad[[#This Row],[Fecha y hora fin]]-disponibilidad[[#This Row],[Fecha y hora inicio]])*1440</f>
        <v>0</v>
      </c>
    </row>
    <row r="5252" spans="6:6" ht="15">
      <c r="F5252" s="115">
        <f>+(disponibilidad[[#This Row],[Fecha y hora fin]]-disponibilidad[[#This Row],[Fecha y hora inicio]])*1440</f>
        <v>0</v>
      </c>
    </row>
    <row r="5253" spans="6:6" ht="15">
      <c r="F5253" s="115">
        <f>+(disponibilidad[[#This Row],[Fecha y hora fin]]-disponibilidad[[#This Row],[Fecha y hora inicio]])*1440</f>
        <v>0</v>
      </c>
    </row>
    <row r="5254" spans="6:6" ht="15">
      <c r="F5254" s="115">
        <f>+(disponibilidad[[#This Row],[Fecha y hora fin]]-disponibilidad[[#This Row],[Fecha y hora inicio]])*1440</f>
        <v>0</v>
      </c>
    </row>
    <row r="5255" spans="6:6" ht="15">
      <c r="F5255" s="115">
        <f>+(disponibilidad[[#This Row],[Fecha y hora fin]]-disponibilidad[[#This Row],[Fecha y hora inicio]])*1440</f>
        <v>0</v>
      </c>
    </row>
    <row r="5256" spans="6:6" ht="15">
      <c r="F5256" s="115">
        <f>+(disponibilidad[[#This Row],[Fecha y hora fin]]-disponibilidad[[#This Row],[Fecha y hora inicio]])*1440</f>
        <v>0</v>
      </c>
    </row>
    <row r="5257" spans="6:6" ht="15">
      <c r="F5257" s="115">
        <f>+(disponibilidad[[#This Row],[Fecha y hora fin]]-disponibilidad[[#This Row],[Fecha y hora inicio]])*1440</f>
        <v>0</v>
      </c>
    </row>
    <row r="5258" spans="6:6" ht="15">
      <c r="F5258" s="115">
        <f>+(disponibilidad[[#This Row],[Fecha y hora fin]]-disponibilidad[[#This Row],[Fecha y hora inicio]])*1440</f>
        <v>0</v>
      </c>
    </row>
    <row r="5259" spans="6:6" ht="15">
      <c r="F5259" s="115">
        <f>+(disponibilidad[[#This Row],[Fecha y hora fin]]-disponibilidad[[#This Row],[Fecha y hora inicio]])*1440</f>
        <v>0</v>
      </c>
    </row>
    <row r="5260" spans="6:6" ht="15">
      <c r="F5260" s="115">
        <f>+(disponibilidad[[#This Row],[Fecha y hora fin]]-disponibilidad[[#This Row],[Fecha y hora inicio]])*1440</f>
        <v>0</v>
      </c>
    </row>
    <row r="5261" spans="6:6" ht="15">
      <c r="F5261" s="115">
        <f>+(disponibilidad[[#This Row],[Fecha y hora fin]]-disponibilidad[[#This Row],[Fecha y hora inicio]])*1440</f>
        <v>0</v>
      </c>
    </row>
    <row r="5262" spans="6:6" ht="15">
      <c r="F5262" s="115">
        <f>+(disponibilidad[[#This Row],[Fecha y hora fin]]-disponibilidad[[#This Row],[Fecha y hora inicio]])*1440</f>
        <v>0</v>
      </c>
    </row>
    <row r="5263" spans="6:6" ht="15">
      <c r="F5263" s="115">
        <f>+(disponibilidad[[#This Row],[Fecha y hora fin]]-disponibilidad[[#This Row],[Fecha y hora inicio]])*1440</f>
        <v>0</v>
      </c>
    </row>
    <row r="5264" spans="6:6" ht="15">
      <c r="F5264" s="115">
        <f>+(disponibilidad[[#This Row],[Fecha y hora fin]]-disponibilidad[[#This Row],[Fecha y hora inicio]])*1440</f>
        <v>0</v>
      </c>
    </row>
    <row r="5265" spans="6:6" ht="15">
      <c r="F5265" s="115">
        <f>+(disponibilidad[[#This Row],[Fecha y hora fin]]-disponibilidad[[#This Row],[Fecha y hora inicio]])*1440</f>
        <v>0</v>
      </c>
    </row>
    <row r="5266" spans="6:6" ht="15">
      <c r="F5266" s="115">
        <f>+(disponibilidad[[#This Row],[Fecha y hora fin]]-disponibilidad[[#This Row],[Fecha y hora inicio]])*1440</f>
        <v>0</v>
      </c>
    </row>
    <row r="5267" spans="6:6" ht="15">
      <c r="F5267" s="115">
        <f>+(disponibilidad[[#This Row],[Fecha y hora fin]]-disponibilidad[[#This Row],[Fecha y hora inicio]])*1440</f>
        <v>0</v>
      </c>
    </row>
    <row r="5268" spans="6:6" ht="15">
      <c r="F5268" s="115">
        <f>+(disponibilidad[[#This Row],[Fecha y hora fin]]-disponibilidad[[#This Row],[Fecha y hora inicio]])*1440</f>
        <v>0</v>
      </c>
    </row>
    <row r="5269" spans="6:6" ht="15">
      <c r="F5269" s="115">
        <f>+(disponibilidad[[#This Row],[Fecha y hora fin]]-disponibilidad[[#This Row],[Fecha y hora inicio]])*1440</f>
        <v>0</v>
      </c>
    </row>
    <row r="5270" spans="6:6" ht="15">
      <c r="F5270" s="115">
        <f>+(disponibilidad[[#This Row],[Fecha y hora fin]]-disponibilidad[[#This Row],[Fecha y hora inicio]])*1440</f>
        <v>0</v>
      </c>
    </row>
    <row r="5271" spans="6:6" ht="15">
      <c r="F5271" s="115">
        <f>+(disponibilidad[[#This Row],[Fecha y hora fin]]-disponibilidad[[#This Row],[Fecha y hora inicio]])*1440</f>
        <v>0</v>
      </c>
    </row>
    <row r="5272" spans="6:6" ht="15">
      <c r="F5272" s="115">
        <f>+(disponibilidad[[#This Row],[Fecha y hora fin]]-disponibilidad[[#This Row],[Fecha y hora inicio]])*1440</f>
        <v>0</v>
      </c>
    </row>
    <row r="5273" spans="6:6" ht="15">
      <c r="F5273" s="115">
        <f>+(disponibilidad[[#This Row],[Fecha y hora fin]]-disponibilidad[[#This Row],[Fecha y hora inicio]])*1440</f>
        <v>0</v>
      </c>
    </row>
    <row r="5274" spans="6:6" ht="15">
      <c r="F5274" s="115">
        <f>+(disponibilidad[[#This Row],[Fecha y hora fin]]-disponibilidad[[#This Row],[Fecha y hora inicio]])*1440</f>
        <v>0</v>
      </c>
    </row>
    <row r="5275" spans="6:6" ht="15">
      <c r="F5275" s="115">
        <f>+(disponibilidad[[#This Row],[Fecha y hora fin]]-disponibilidad[[#This Row],[Fecha y hora inicio]])*1440</f>
        <v>0</v>
      </c>
    </row>
    <row r="5276" spans="6:6" ht="15">
      <c r="F5276" s="115">
        <f>+(disponibilidad[[#This Row],[Fecha y hora fin]]-disponibilidad[[#This Row],[Fecha y hora inicio]])*1440</f>
        <v>0</v>
      </c>
    </row>
    <row r="5277" spans="6:6" ht="15">
      <c r="F5277" s="115">
        <f>+(disponibilidad[[#This Row],[Fecha y hora fin]]-disponibilidad[[#This Row],[Fecha y hora inicio]])*1440</f>
        <v>0</v>
      </c>
    </row>
    <row r="5278" spans="6:6" ht="15">
      <c r="F5278" s="115">
        <f>+(disponibilidad[[#This Row],[Fecha y hora fin]]-disponibilidad[[#This Row],[Fecha y hora inicio]])*1440</f>
        <v>0</v>
      </c>
    </row>
    <row r="5279" spans="6:6" ht="15">
      <c r="F5279" s="115">
        <f>+(disponibilidad[[#This Row],[Fecha y hora fin]]-disponibilidad[[#This Row],[Fecha y hora inicio]])*1440</f>
        <v>0</v>
      </c>
    </row>
    <row r="5280" spans="6:6" ht="15">
      <c r="F5280" s="115">
        <f>+(disponibilidad[[#This Row],[Fecha y hora fin]]-disponibilidad[[#This Row],[Fecha y hora inicio]])*1440</f>
        <v>0</v>
      </c>
    </row>
    <row r="5281" spans="6:6" ht="15">
      <c r="F5281" s="115">
        <f>+(disponibilidad[[#This Row],[Fecha y hora fin]]-disponibilidad[[#This Row],[Fecha y hora inicio]])*1440</f>
        <v>0</v>
      </c>
    </row>
    <row r="5282" spans="6:6" ht="15">
      <c r="F5282" s="115">
        <f>+(disponibilidad[[#This Row],[Fecha y hora fin]]-disponibilidad[[#This Row],[Fecha y hora inicio]])*1440</f>
        <v>0</v>
      </c>
    </row>
    <row r="5283" spans="6:6" ht="15">
      <c r="F5283" s="115">
        <f>+(disponibilidad[[#This Row],[Fecha y hora fin]]-disponibilidad[[#This Row],[Fecha y hora inicio]])*1440</f>
        <v>0</v>
      </c>
    </row>
    <row r="5284" spans="6:6" ht="15">
      <c r="F5284" s="115">
        <f>+(disponibilidad[[#This Row],[Fecha y hora fin]]-disponibilidad[[#This Row],[Fecha y hora inicio]])*1440</f>
        <v>0</v>
      </c>
    </row>
    <row r="5285" spans="6:6" ht="15">
      <c r="F5285" s="115">
        <f>+(disponibilidad[[#This Row],[Fecha y hora fin]]-disponibilidad[[#This Row],[Fecha y hora inicio]])*1440</f>
        <v>0</v>
      </c>
    </row>
    <row r="5286" spans="6:6" ht="15">
      <c r="F5286" s="115">
        <f>+(disponibilidad[[#This Row],[Fecha y hora fin]]-disponibilidad[[#This Row],[Fecha y hora inicio]])*1440</f>
        <v>0</v>
      </c>
    </row>
    <row r="5287" spans="6:6" ht="15">
      <c r="F5287" s="115">
        <f>+(disponibilidad[[#This Row],[Fecha y hora fin]]-disponibilidad[[#This Row],[Fecha y hora inicio]])*1440</f>
        <v>0</v>
      </c>
    </row>
    <row r="5288" spans="6:6" ht="15">
      <c r="F5288" s="115">
        <f>+(disponibilidad[[#This Row],[Fecha y hora fin]]-disponibilidad[[#This Row],[Fecha y hora inicio]])*1440</f>
        <v>0</v>
      </c>
    </row>
    <row r="5289" spans="6:6" ht="15">
      <c r="F5289" s="115">
        <f>+(disponibilidad[[#This Row],[Fecha y hora fin]]-disponibilidad[[#This Row],[Fecha y hora inicio]])*1440</f>
        <v>0</v>
      </c>
    </row>
    <row r="5290" spans="6:6" ht="15">
      <c r="F5290" s="115">
        <f>+(disponibilidad[[#This Row],[Fecha y hora fin]]-disponibilidad[[#This Row],[Fecha y hora inicio]])*1440</f>
        <v>0</v>
      </c>
    </row>
    <row r="5291" spans="6:6" ht="15">
      <c r="F5291" s="115">
        <f>+(disponibilidad[[#This Row],[Fecha y hora fin]]-disponibilidad[[#This Row],[Fecha y hora inicio]])*1440</f>
        <v>0</v>
      </c>
    </row>
    <row r="5292" spans="6:6" ht="15">
      <c r="F5292" s="115">
        <f>+(disponibilidad[[#This Row],[Fecha y hora fin]]-disponibilidad[[#This Row],[Fecha y hora inicio]])*1440</f>
        <v>0</v>
      </c>
    </row>
    <row r="5293" spans="6:6" ht="15">
      <c r="F5293" s="115">
        <f>+(disponibilidad[[#This Row],[Fecha y hora fin]]-disponibilidad[[#This Row],[Fecha y hora inicio]])*1440</f>
        <v>0</v>
      </c>
    </row>
    <row r="5294" spans="6:6" ht="15">
      <c r="F5294" s="115">
        <f>+(disponibilidad[[#This Row],[Fecha y hora fin]]-disponibilidad[[#This Row],[Fecha y hora inicio]])*1440</f>
        <v>0</v>
      </c>
    </row>
    <row r="5295" spans="6:6" ht="15">
      <c r="F5295" s="115">
        <f>+(disponibilidad[[#This Row],[Fecha y hora fin]]-disponibilidad[[#This Row],[Fecha y hora inicio]])*1440</f>
        <v>0</v>
      </c>
    </row>
    <row r="5296" spans="6:6" ht="15">
      <c r="F5296" s="115">
        <f>+(disponibilidad[[#This Row],[Fecha y hora fin]]-disponibilidad[[#This Row],[Fecha y hora inicio]])*1440</f>
        <v>0</v>
      </c>
    </row>
    <row r="5297" spans="6:6" ht="15">
      <c r="F5297" s="115">
        <f>+(disponibilidad[[#This Row],[Fecha y hora fin]]-disponibilidad[[#This Row],[Fecha y hora inicio]])*1440</f>
        <v>0</v>
      </c>
    </row>
    <row r="5298" spans="6:6" ht="15">
      <c r="F5298" s="115">
        <f>+(disponibilidad[[#This Row],[Fecha y hora fin]]-disponibilidad[[#This Row],[Fecha y hora inicio]])*1440</f>
        <v>0</v>
      </c>
    </row>
    <row r="5299" spans="6:6" ht="15">
      <c r="F5299" s="115">
        <f>+(disponibilidad[[#This Row],[Fecha y hora fin]]-disponibilidad[[#This Row],[Fecha y hora inicio]])*1440</f>
        <v>0</v>
      </c>
    </row>
    <row r="5300" spans="6:6" ht="15">
      <c r="F5300" s="115">
        <f>+(disponibilidad[[#This Row],[Fecha y hora fin]]-disponibilidad[[#This Row],[Fecha y hora inicio]])*1440</f>
        <v>0</v>
      </c>
    </row>
    <row r="5301" spans="6:6" ht="15">
      <c r="F5301" s="115">
        <f>+(disponibilidad[[#This Row],[Fecha y hora fin]]-disponibilidad[[#This Row],[Fecha y hora inicio]])*1440</f>
        <v>0</v>
      </c>
    </row>
    <row r="5302" spans="6:6" ht="15">
      <c r="F5302" s="115">
        <f>+(disponibilidad[[#This Row],[Fecha y hora fin]]-disponibilidad[[#This Row],[Fecha y hora inicio]])*1440</f>
        <v>0</v>
      </c>
    </row>
    <row r="5303" spans="6:6" ht="15">
      <c r="F5303" s="115">
        <f>+(disponibilidad[[#This Row],[Fecha y hora fin]]-disponibilidad[[#This Row],[Fecha y hora inicio]])*1440</f>
        <v>0</v>
      </c>
    </row>
    <row r="5304" spans="6:6" ht="15">
      <c r="F5304" s="115">
        <f>+(disponibilidad[[#This Row],[Fecha y hora fin]]-disponibilidad[[#This Row],[Fecha y hora inicio]])*1440</f>
        <v>0</v>
      </c>
    </row>
    <row r="5305" spans="6:6" ht="15">
      <c r="F5305" s="115">
        <f>+(disponibilidad[[#This Row],[Fecha y hora fin]]-disponibilidad[[#This Row],[Fecha y hora inicio]])*1440</f>
        <v>0</v>
      </c>
    </row>
    <row r="5306" spans="6:6" ht="15">
      <c r="F5306" s="115">
        <f>+(disponibilidad[[#This Row],[Fecha y hora fin]]-disponibilidad[[#This Row],[Fecha y hora inicio]])*1440</f>
        <v>0</v>
      </c>
    </row>
    <row r="5307" spans="6:6" ht="15">
      <c r="F5307" s="115">
        <f>+(disponibilidad[[#This Row],[Fecha y hora fin]]-disponibilidad[[#This Row],[Fecha y hora inicio]])*1440</f>
        <v>0</v>
      </c>
    </row>
    <row r="5308" spans="6:6" ht="15">
      <c r="F5308" s="115">
        <f>+(disponibilidad[[#This Row],[Fecha y hora fin]]-disponibilidad[[#This Row],[Fecha y hora inicio]])*1440</f>
        <v>0</v>
      </c>
    </row>
    <row r="5309" spans="6:6" ht="15">
      <c r="F5309" s="115">
        <f>+(disponibilidad[[#This Row],[Fecha y hora fin]]-disponibilidad[[#This Row],[Fecha y hora inicio]])*1440</f>
        <v>0</v>
      </c>
    </row>
    <row r="5310" spans="6:6" ht="15">
      <c r="F5310" s="115">
        <f>+(disponibilidad[[#This Row],[Fecha y hora fin]]-disponibilidad[[#This Row],[Fecha y hora inicio]])*1440</f>
        <v>0</v>
      </c>
    </row>
    <row r="5311" spans="6:6" ht="15">
      <c r="F5311" s="115">
        <f>+(disponibilidad[[#This Row],[Fecha y hora fin]]-disponibilidad[[#This Row],[Fecha y hora inicio]])*1440</f>
        <v>0</v>
      </c>
    </row>
    <row r="5312" spans="6:6" ht="15">
      <c r="F5312" s="115">
        <f>+(disponibilidad[[#This Row],[Fecha y hora fin]]-disponibilidad[[#This Row],[Fecha y hora inicio]])*1440</f>
        <v>0</v>
      </c>
    </row>
    <row r="5313" spans="6:6" ht="15">
      <c r="F5313" s="115">
        <f>+(disponibilidad[[#This Row],[Fecha y hora fin]]-disponibilidad[[#This Row],[Fecha y hora inicio]])*1440</f>
        <v>0</v>
      </c>
    </row>
    <row r="5314" spans="6:6" ht="15">
      <c r="F5314" s="115">
        <f>+(disponibilidad[[#This Row],[Fecha y hora fin]]-disponibilidad[[#This Row],[Fecha y hora inicio]])*1440</f>
        <v>0</v>
      </c>
    </row>
    <row r="5315" spans="6:6" ht="15">
      <c r="F5315" s="115">
        <f>+(disponibilidad[[#This Row],[Fecha y hora fin]]-disponibilidad[[#This Row],[Fecha y hora inicio]])*1440</f>
        <v>0</v>
      </c>
    </row>
    <row r="5316" spans="6:6" ht="15">
      <c r="F5316" s="115">
        <f>+(disponibilidad[[#This Row],[Fecha y hora fin]]-disponibilidad[[#This Row],[Fecha y hora inicio]])*1440</f>
        <v>0</v>
      </c>
    </row>
    <row r="5317" spans="6:6" ht="15">
      <c r="F5317" s="115">
        <f>+(disponibilidad[[#This Row],[Fecha y hora fin]]-disponibilidad[[#This Row],[Fecha y hora inicio]])*1440</f>
        <v>0</v>
      </c>
    </row>
    <row r="5318" spans="6:6" ht="15">
      <c r="F5318" s="115">
        <f>+(disponibilidad[[#This Row],[Fecha y hora fin]]-disponibilidad[[#This Row],[Fecha y hora inicio]])*1440</f>
        <v>0</v>
      </c>
    </row>
    <row r="5319" spans="6:6" ht="15">
      <c r="F5319" s="115">
        <f>+(disponibilidad[[#This Row],[Fecha y hora fin]]-disponibilidad[[#This Row],[Fecha y hora inicio]])*1440</f>
        <v>0</v>
      </c>
    </row>
    <row r="5320" spans="6:6" ht="15">
      <c r="F5320" s="115">
        <f>+(disponibilidad[[#This Row],[Fecha y hora fin]]-disponibilidad[[#This Row],[Fecha y hora inicio]])*1440</f>
        <v>0</v>
      </c>
    </row>
    <row r="5321" spans="6:6" ht="15">
      <c r="F5321" s="115">
        <f>+(disponibilidad[[#This Row],[Fecha y hora fin]]-disponibilidad[[#This Row],[Fecha y hora inicio]])*1440</f>
        <v>0</v>
      </c>
    </row>
    <row r="5322" spans="6:6" ht="15">
      <c r="F5322" s="115">
        <f>+(disponibilidad[[#This Row],[Fecha y hora fin]]-disponibilidad[[#This Row],[Fecha y hora inicio]])*1440</f>
        <v>0</v>
      </c>
    </row>
    <row r="5323" spans="6:6" ht="15">
      <c r="F5323" s="115">
        <f>+(disponibilidad[[#This Row],[Fecha y hora fin]]-disponibilidad[[#This Row],[Fecha y hora inicio]])*1440</f>
        <v>0</v>
      </c>
    </row>
    <row r="5324" spans="6:6" ht="15">
      <c r="F5324" s="115">
        <f>+(disponibilidad[[#This Row],[Fecha y hora fin]]-disponibilidad[[#This Row],[Fecha y hora inicio]])*1440</f>
        <v>0</v>
      </c>
    </row>
    <row r="5325" spans="6:6" ht="15">
      <c r="F5325" s="115">
        <f>+(disponibilidad[[#This Row],[Fecha y hora fin]]-disponibilidad[[#This Row],[Fecha y hora inicio]])*1440</f>
        <v>0</v>
      </c>
    </row>
    <row r="5326" spans="6:6" ht="15">
      <c r="F5326" s="115">
        <f>+(disponibilidad[[#This Row],[Fecha y hora fin]]-disponibilidad[[#This Row],[Fecha y hora inicio]])*1440</f>
        <v>0</v>
      </c>
    </row>
    <row r="5327" spans="6:6" ht="15">
      <c r="F5327" s="115">
        <f>+(disponibilidad[[#This Row],[Fecha y hora fin]]-disponibilidad[[#This Row],[Fecha y hora inicio]])*1440</f>
        <v>0</v>
      </c>
    </row>
    <row r="5328" spans="6:6" ht="15">
      <c r="F5328" s="115">
        <f>+(disponibilidad[[#This Row],[Fecha y hora fin]]-disponibilidad[[#This Row],[Fecha y hora inicio]])*1440</f>
        <v>0</v>
      </c>
    </row>
    <row r="5329" spans="6:6" ht="15">
      <c r="F5329" s="115">
        <f>+(disponibilidad[[#This Row],[Fecha y hora fin]]-disponibilidad[[#This Row],[Fecha y hora inicio]])*1440</f>
        <v>0</v>
      </c>
    </row>
    <row r="5330" spans="6:6" ht="15">
      <c r="F5330" s="115">
        <f>+(disponibilidad[[#This Row],[Fecha y hora fin]]-disponibilidad[[#This Row],[Fecha y hora inicio]])*1440</f>
        <v>0</v>
      </c>
    </row>
    <row r="5331" spans="6:6" ht="15">
      <c r="F5331" s="115">
        <f>+(disponibilidad[[#This Row],[Fecha y hora fin]]-disponibilidad[[#This Row],[Fecha y hora inicio]])*1440</f>
        <v>0</v>
      </c>
    </row>
    <row r="5332" spans="6:6" ht="15">
      <c r="F5332" s="115">
        <f>+(disponibilidad[[#This Row],[Fecha y hora fin]]-disponibilidad[[#This Row],[Fecha y hora inicio]])*1440</f>
        <v>0</v>
      </c>
    </row>
    <row r="5333" spans="6:6" ht="15">
      <c r="F5333" s="115">
        <f>+(disponibilidad[[#This Row],[Fecha y hora fin]]-disponibilidad[[#This Row],[Fecha y hora inicio]])*1440</f>
        <v>0</v>
      </c>
    </row>
    <row r="5334" spans="6:6" ht="15">
      <c r="F5334" s="115">
        <f>+(disponibilidad[[#This Row],[Fecha y hora fin]]-disponibilidad[[#This Row],[Fecha y hora inicio]])*1440</f>
        <v>0</v>
      </c>
    </row>
    <row r="5335" spans="6:6" ht="15">
      <c r="F5335" s="115">
        <f>+(disponibilidad[[#This Row],[Fecha y hora fin]]-disponibilidad[[#This Row],[Fecha y hora inicio]])*1440</f>
        <v>0</v>
      </c>
    </row>
    <row r="5336" spans="6:6" ht="15">
      <c r="F5336" s="115">
        <f>+(disponibilidad[[#This Row],[Fecha y hora fin]]-disponibilidad[[#This Row],[Fecha y hora inicio]])*1440</f>
        <v>0</v>
      </c>
    </row>
    <row r="5337" spans="6:6" ht="15">
      <c r="F5337" s="115">
        <f>+(disponibilidad[[#This Row],[Fecha y hora fin]]-disponibilidad[[#This Row],[Fecha y hora inicio]])*1440</f>
        <v>0</v>
      </c>
    </row>
    <row r="5338" spans="6:6" ht="15">
      <c r="F5338" s="115">
        <f>+(disponibilidad[[#This Row],[Fecha y hora fin]]-disponibilidad[[#This Row],[Fecha y hora inicio]])*1440</f>
        <v>0</v>
      </c>
    </row>
    <row r="5339" spans="6:6" ht="15">
      <c r="F5339" s="115">
        <f>+(disponibilidad[[#This Row],[Fecha y hora fin]]-disponibilidad[[#This Row],[Fecha y hora inicio]])*1440</f>
        <v>0</v>
      </c>
    </row>
    <row r="5340" spans="6:6" ht="15">
      <c r="F5340" s="115">
        <f>+(disponibilidad[[#This Row],[Fecha y hora fin]]-disponibilidad[[#This Row],[Fecha y hora inicio]])*1440</f>
        <v>0</v>
      </c>
    </row>
    <row r="5341" spans="6:6" ht="15">
      <c r="F5341" s="115">
        <f>+(disponibilidad[[#This Row],[Fecha y hora fin]]-disponibilidad[[#This Row],[Fecha y hora inicio]])*1440</f>
        <v>0</v>
      </c>
    </row>
    <row r="5342" spans="6:6" ht="15">
      <c r="F5342" s="115">
        <f>+(disponibilidad[[#This Row],[Fecha y hora fin]]-disponibilidad[[#This Row],[Fecha y hora inicio]])*1440</f>
        <v>0</v>
      </c>
    </row>
    <row r="5343" spans="6:6" ht="15">
      <c r="F5343" s="115">
        <f>+(disponibilidad[[#This Row],[Fecha y hora fin]]-disponibilidad[[#This Row],[Fecha y hora inicio]])*1440</f>
        <v>0</v>
      </c>
    </row>
    <row r="5344" spans="6:6" ht="15">
      <c r="F5344" s="115">
        <f>+(disponibilidad[[#This Row],[Fecha y hora fin]]-disponibilidad[[#This Row],[Fecha y hora inicio]])*1440</f>
        <v>0</v>
      </c>
    </row>
    <row r="5345" spans="6:6" ht="15">
      <c r="F5345" s="115">
        <f>+(disponibilidad[[#This Row],[Fecha y hora fin]]-disponibilidad[[#This Row],[Fecha y hora inicio]])*1440</f>
        <v>0</v>
      </c>
    </row>
    <row r="5346" spans="6:6" ht="15">
      <c r="F5346" s="115">
        <f>+(disponibilidad[[#This Row],[Fecha y hora fin]]-disponibilidad[[#This Row],[Fecha y hora inicio]])*1440</f>
        <v>0</v>
      </c>
    </row>
    <row r="5347" spans="6:6" ht="15">
      <c r="F5347" s="115">
        <f>+(disponibilidad[[#This Row],[Fecha y hora fin]]-disponibilidad[[#This Row],[Fecha y hora inicio]])*1440</f>
        <v>0</v>
      </c>
    </row>
    <row r="5348" spans="6:6" ht="15">
      <c r="F5348" s="115">
        <f>+(disponibilidad[[#This Row],[Fecha y hora fin]]-disponibilidad[[#This Row],[Fecha y hora inicio]])*1440</f>
        <v>0</v>
      </c>
    </row>
    <row r="5349" spans="6:6" ht="15">
      <c r="F5349" s="115">
        <f>+(disponibilidad[[#This Row],[Fecha y hora fin]]-disponibilidad[[#This Row],[Fecha y hora inicio]])*1440</f>
        <v>0</v>
      </c>
    </row>
    <row r="5350" spans="6:6" ht="15">
      <c r="F5350" s="115">
        <f>+(disponibilidad[[#This Row],[Fecha y hora fin]]-disponibilidad[[#This Row],[Fecha y hora inicio]])*1440</f>
        <v>0</v>
      </c>
    </row>
    <row r="5351" spans="6:6" ht="15">
      <c r="F5351" s="115">
        <f>+(disponibilidad[[#This Row],[Fecha y hora fin]]-disponibilidad[[#This Row],[Fecha y hora inicio]])*1440</f>
        <v>0</v>
      </c>
    </row>
    <row r="5352" spans="6:6" ht="15">
      <c r="F5352" s="115">
        <f>+(disponibilidad[[#This Row],[Fecha y hora fin]]-disponibilidad[[#This Row],[Fecha y hora inicio]])*1440</f>
        <v>0</v>
      </c>
    </row>
    <row r="5353" spans="6:6" ht="15">
      <c r="F5353" s="115">
        <f>+(disponibilidad[[#This Row],[Fecha y hora fin]]-disponibilidad[[#This Row],[Fecha y hora inicio]])*1440</f>
        <v>0</v>
      </c>
    </row>
    <row r="5354" spans="6:6" ht="15">
      <c r="F5354" s="115">
        <f>+(disponibilidad[[#This Row],[Fecha y hora fin]]-disponibilidad[[#This Row],[Fecha y hora inicio]])*1440</f>
        <v>0</v>
      </c>
    </row>
    <row r="5355" spans="6:6" ht="15">
      <c r="F5355" s="115">
        <f>+(disponibilidad[[#This Row],[Fecha y hora fin]]-disponibilidad[[#This Row],[Fecha y hora inicio]])*1440</f>
        <v>0</v>
      </c>
    </row>
    <row r="5356" spans="6:6" ht="15">
      <c r="F5356" s="115">
        <f>+(disponibilidad[[#This Row],[Fecha y hora fin]]-disponibilidad[[#This Row],[Fecha y hora inicio]])*1440</f>
        <v>0</v>
      </c>
    </row>
    <row r="5357" spans="6:6" ht="15">
      <c r="F5357" s="115">
        <f>+(disponibilidad[[#This Row],[Fecha y hora fin]]-disponibilidad[[#This Row],[Fecha y hora inicio]])*1440</f>
        <v>0</v>
      </c>
    </row>
    <row r="5358" spans="6:6" ht="15">
      <c r="F5358" s="115">
        <f>+(disponibilidad[[#This Row],[Fecha y hora fin]]-disponibilidad[[#This Row],[Fecha y hora inicio]])*1440</f>
        <v>0</v>
      </c>
    </row>
    <row r="5359" spans="6:6" ht="15">
      <c r="F5359" s="115">
        <f>+(disponibilidad[[#This Row],[Fecha y hora fin]]-disponibilidad[[#This Row],[Fecha y hora inicio]])*1440</f>
        <v>0</v>
      </c>
    </row>
    <row r="5360" spans="6:6" ht="15">
      <c r="F5360" s="115">
        <f>+(disponibilidad[[#This Row],[Fecha y hora fin]]-disponibilidad[[#This Row],[Fecha y hora inicio]])*1440</f>
        <v>0</v>
      </c>
    </row>
    <row r="5361" spans="6:6" ht="15">
      <c r="F5361" s="115">
        <f>+(disponibilidad[[#This Row],[Fecha y hora fin]]-disponibilidad[[#This Row],[Fecha y hora inicio]])*1440</f>
        <v>0</v>
      </c>
    </row>
    <row r="5362" spans="6:6" ht="15">
      <c r="F5362" s="115">
        <f>+(disponibilidad[[#This Row],[Fecha y hora fin]]-disponibilidad[[#This Row],[Fecha y hora inicio]])*1440</f>
        <v>0</v>
      </c>
    </row>
    <row r="5363" spans="6:6" ht="15">
      <c r="F5363" s="115">
        <f>+(disponibilidad[[#This Row],[Fecha y hora fin]]-disponibilidad[[#This Row],[Fecha y hora inicio]])*1440</f>
        <v>0</v>
      </c>
    </row>
    <row r="5364" spans="6:6" ht="15">
      <c r="F5364" s="115">
        <f>+(disponibilidad[[#This Row],[Fecha y hora fin]]-disponibilidad[[#This Row],[Fecha y hora inicio]])*1440</f>
        <v>0</v>
      </c>
    </row>
    <row r="5365" spans="6:6" ht="15">
      <c r="F5365" s="115">
        <f>+(disponibilidad[[#This Row],[Fecha y hora fin]]-disponibilidad[[#This Row],[Fecha y hora inicio]])*1440</f>
        <v>0</v>
      </c>
    </row>
    <row r="5366" spans="6:6" ht="15">
      <c r="F5366" s="115">
        <f>+(disponibilidad[[#This Row],[Fecha y hora fin]]-disponibilidad[[#This Row],[Fecha y hora inicio]])*1440</f>
        <v>0</v>
      </c>
    </row>
    <row r="5367" spans="6:6" ht="15">
      <c r="F5367" s="115">
        <f>+(disponibilidad[[#This Row],[Fecha y hora fin]]-disponibilidad[[#This Row],[Fecha y hora inicio]])*1440</f>
        <v>0</v>
      </c>
    </row>
    <row r="5368" spans="6:6" ht="15">
      <c r="F5368" s="115">
        <f>+(disponibilidad[[#This Row],[Fecha y hora fin]]-disponibilidad[[#This Row],[Fecha y hora inicio]])*1440</f>
        <v>0</v>
      </c>
    </row>
    <row r="5369" spans="6:6" ht="15">
      <c r="F5369" s="115">
        <f>+(disponibilidad[[#This Row],[Fecha y hora fin]]-disponibilidad[[#This Row],[Fecha y hora inicio]])*1440</f>
        <v>0</v>
      </c>
    </row>
    <row r="5370" spans="6:6" ht="15">
      <c r="F5370" s="115">
        <f>+(disponibilidad[[#This Row],[Fecha y hora fin]]-disponibilidad[[#This Row],[Fecha y hora inicio]])*1440</f>
        <v>0</v>
      </c>
    </row>
    <row r="5371" spans="6:6" ht="15">
      <c r="F5371" s="115">
        <f>+(disponibilidad[[#This Row],[Fecha y hora fin]]-disponibilidad[[#This Row],[Fecha y hora inicio]])*1440</f>
        <v>0</v>
      </c>
    </row>
    <row r="5372" spans="6:6" ht="15">
      <c r="F5372" s="115">
        <f>+(disponibilidad[[#This Row],[Fecha y hora fin]]-disponibilidad[[#This Row],[Fecha y hora inicio]])*1440</f>
        <v>0</v>
      </c>
    </row>
    <row r="5373" spans="6:6" ht="15">
      <c r="F5373" s="115">
        <f>+(disponibilidad[[#This Row],[Fecha y hora fin]]-disponibilidad[[#This Row],[Fecha y hora inicio]])*1440</f>
        <v>0</v>
      </c>
    </row>
    <row r="5374" spans="6:6" ht="15">
      <c r="F5374" s="115">
        <f>+(disponibilidad[[#This Row],[Fecha y hora fin]]-disponibilidad[[#This Row],[Fecha y hora inicio]])*1440</f>
        <v>0</v>
      </c>
    </row>
    <row r="5375" spans="6:6" ht="15">
      <c r="F5375" s="115">
        <f>+(disponibilidad[[#This Row],[Fecha y hora fin]]-disponibilidad[[#This Row],[Fecha y hora inicio]])*1440</f>
        <v>0</v>
      </c>
    </row>
    <row r="5376" spans="6:6" ht="15">
      <c r="F5376" s="115">
        <f>+(disponibilidad[[#This Row],[Fecha y hora fin]]-disponibilidad[[#This Row],[Fecha y hora inicio]])*1440</f>
        <v>0</v>
      </c>
    </row>
    <row r="5377" spans="6:6" ht="15">
      <c r="F5377" s="115">
        <f>+(disponibilidad[[#This Row],[Fecha y hora fin]]-disponibilidad[[#This Row],[Fecha y hora inicio]])*1440</f>
        <v>0</v>
      </c>
    </row>
    <row r="5378" spans="6:6" ht="15">
      <c r="F5378" s="115">
        <f>+(disponibilidad[[#This Row],[Fecha y hora fin]]-disponibilidad[[#This Row],[Fecha y hora inicio]])*1440</f>
        <v>0</v>
      </c>
    </row>
    <row r="5379" spans="6:6" ht="15">
      <c r="F5379" s="115">
        <f>+(disponibilidad[[#This Row],[Fecha y hora fin]]-disponibilidad[[#This Row],[Fecha y hora inicio]])*1440</f>
        <v>0</v>
      </c>
    </row>
    <row r="5380" spans="6:6" ht="15">
      <c r="F5380" s="115">
        <f>+(disponibilidad[[#This Row],[Fecha y hora fin]]-disponibilidad[[#This Row],[Fecha y hora inicio]])*1440</f>
        <v>0</v>
      </c>
    </row>
    <row r="5381" spans="6:6" ht="15">
      <c r="F5381" s="115">
        <f>+(disponibilidad[[#This Row],[Fecha y hora fin]]-disponibilidad[[#This Row],[Fecha y hora inicio]])*1440</f>
        <v>0</v>
      </c>
    </row>
    <row r="5382" spans="6:6" ht="15">
      <c r="F5382" s="115">
        <f>+(disponibilidad[[#This Row],[Fecha y hora fin]]-disponibilidad[[#This Row],[Fecha y hora inicio]])*1440</f>
        <v>0</v>
      </c>
    </row>
    <row r="5383" spans="6:6" ht="15">
      <c r="F5383" s="115">
        <f>+(disponibilidad[[#This Row],[Fecha y hora fin]]-disponibilidad[[#This Row],[Fecha y hora inicio]])*1440</f>
        <v>0</v>
      </c>
    </row>
    <row r="5384" spans="6:6" ht="15">
      <c r="F5384" s="115">
        <f>+(disponibilidad[[#This Row],[Fecha y hora fin]]-disponibilidad[[#This Row],[Fecha y hora inicio]])*1440</f>
        <v>0</v>
      </c>
    </row>
    <row r="5385" spans="6:6" ht="15">
      <c r="F5385" s="115">
        <f>+(disponibilidad[[#This Row],[Fecha y hora fin]]-disponibilidad[[#This Row],[Fecha y hora inicio]])*1440</f>
        <v>0</v>
      </c>
    </row>
    <row r="5386" spans="6:6" ht="15">
      <c r="F5386" s="115">
        <f>+(disponibilidad[[#This Row],[Fecha y hora fin]]-disponibilidad[[#This Row],[Fecha y hora inicio]])*1440</f>
        <v>0</v>
      </c>
    </row>
    <row r="5387" spans="6:6" ht="15">
      <c r="F5387" s="115">
        <f>+(disponibilidad[[#This Row],[Fecha y hora fin]]-disponibilidad[[#This Row],[Fecha y hora inicio]])*1440</f>
        <v>0</v>
      </c>
    </row>
    <row r="5388" spans="6:6" ht="15">
      <c r="F5388" s="115">
        <f>+(disponibilidad[[#This Row],[Fecha y hora fin]]-disponibilidad[[#This Row],[Fecha y hora inicio]])*1440</f>
        <v>0</v>
      </c>
    </row>
    <row r="5389" spans="6:6" ht="15">
      <c r="F5389" s="115">
        <f>+(disponibilidad[[#This Row],[Fecha y hora fin]]-disponibilidad[[#This Row],[Fecha y hora inicio]])*1440</f>
        <v>0</v>
      </c>
    </row>
    <row r="5390" spans="6:6" ht="15">
      <c r="F5390" s="115">
        <f>+(disponibilidad[[#This Row],[Fecha y hora fin]]-disponibilidad[[#This Row],[Fecha y hora inicio]])*1440</f>
        <v>0</v>
      </c>
    </row>
    <row r="5391" spans="6:6" ht="15">
      <c r="F5391" s="115">
        <f>+(disponibilidad[[#This Row],[Fecha y hora fin]]-disponibilidad[[#This Row],[Fecha y hora inicio]])*1440</f>
        <v>0</v>
      </c>
    </row>
    <row r="5392" spans="6:6" ht="15">
      <c r="F5392" s="115">
        <f>+(disponibilidad[[#This Row],[Fecha y hora fin]]-disponibilidad[[#This Row],[Fecha y hora inicio]])*1440</f>
        <v>0</v>
      </c>
    </row>
    <row r="5393" spans="6:6" ht="15">
      <c r="F5393" s="115">
        <f>+(disponibilidad[[#This Row],[Fecha y hora fin]]-disponibilidad[[#This Row],[Fecha y hora inicio]])*1440</f>
        <v>0</v>
      </c>
    </row>
    <row r="5394" spans="6:6" ht="15">
      <c r="F5394" s="115">
        <f>+(disponibilidad[[#This Row],[Fecha y hora fin]]-disponibilidad[[#This Row],[Fecha y hora inicio]])*1440</f>
        <v>0</v>
      </c>
    </row>
    <row r="5395" spans="6:6" ht="15">
      <c r="F5395" s="115">
        <f>+(disponibilidad[[#This Row],[Fecha y hora fin]]-disponibilidad[[#This Row],[Fecha y hora inicio]])*1440</f>
        <v>0</v>
      </c>
    </row>
    <row r="5396" spans="6:6" ht="15">
      <c r="F5396" s="115">
        <f>+(disponibilidad[[#This Row],[Fecha y hora fin]]-disponibilidad[[#This Row],[Fecha y hora inicio]])*1440</f>
        <v>0</v>
      </c>
    </row>
    <row r="5397" spans="6:6" ht="15">
      <c r="F5397" s="115">
        <f>+(disponibilidad[[#This Row],[Fecha y hora fin]]-disponibilidad[[#This Row],[Fecha y hora inicio]])*1440</f>
        <v>0</v>
      </c>
    </row>
    <row r="5398" spans="6:6" ht="15">
      <c r="F5398" s="115">
        <f>+(disponibilidad[[#This Row],[Fecha y hora fin]]-disponibilidad[[#This Row],[Fecha y hora inicio]])*1440</f>
        <v>0</v>
      </c>
    </row>
    <row r="5399" spans="6:6" ht="15">
      <c r="F5399" s="115">
        <f>+(disponibilidad[[#This Row],[Fecha y hora fin]]-disponibilidad[[#This Row],[Fecha y hora inicio]])*1440</f>
        <v>0</v>
      </c>
    </row>
    <row r="5400" spans="6:6" ht="15">
      <c r="F5400" s="115">
        <f>+(disponibilidad[[#This Row],[Fecha y hora fin]]-disponibilidad[[#This Row],[Fecha y hora inicio]])*1440</f>
        <v>0</v>
      </c>
    </row>
    <row r="5401" spans="6:6" ht="15">
      <c r="F5401" s="115">
        <f>+(disponibilidad[[#This Row],[Fecha y hora fin]]-disponibilidad[[#This Row],[Fecha y hora inicio]])*1440</f>
        <v>0</v>
      </c>
    </row>
    <row r="5402" spans="6:6" ht="15">
      <c r="F5402" s="115">
        <f>+(disponibilidad[[#This Row],[Fecha y hora fin]]-disponibilidad[[#This Row],[Fecha y hora inicio]])*1440</f>
        <v>0</v>
      </c>
    </row>
    <row r="5403" spans="6:6" ht="15">
      <c r="F5403" s="115">
        <f>+(disponibilidad[[#This Row],[Fecha y hora fin]]-disponibilidad[[#This Row],[Fecha y hora inicio]])*1440</f>
        <v>0</v>
      </c>
    </row>
    <row r="5404" spans="6:6" ht="15">
      <c r="F5404" s="115">
        <f>+(disponibilidad[[#This Row],[Fecha y hora fin]]-disponibilidad[[#This Row],[Fecha y hora inicio]])*1440</f>
        <v>0</v>
      </c>
    </row>
    <row r="5405" spans="6:6" ht="15">
      <c r="F5405" s="115">
        <f>+(disponibilidad[[#This Row],[Fecha y hora fin]]-disponibilidad[[#This Row],[Fecha y hora inicio]])*1440</f>
        <v>0</v>
      </c>
    </row>
    <row r="5406" spans="6:6" ht="15">
      <c r="F5406" s="115">
        <f>+(disponibilidad[[#This Row],[Fecha y hora fin]]-disponibilidad[[#This Row],[Fecha y hora inicio]])*1440</f>
        <v>0</v>
      </c>
    </row>
    <row r="5407" spans="6:6" ht="15">
      <c r="F5407" s="115">
        <f>+(disponibilidad[[#This Row],[Fecha y hora fin]]-disponibilidad[[#This Row],[Fecha y hora inicio]])*1440</f>
        <v>0</v>
      </c>
    </row>
    <row r="5408" spans="6:6" ht="15">
      <c r="F5408" s="115">
        <f>+(disponibilidad[[#This Row],[Fecha y hora fin]]-disponibilidad[[#This Row],[Fecha y hora inicio]])*1440</f>
        <v>0</v>
      </c>
    </row>
    <row r="5409" spans="6:6" ht="15">
      <c r="F5409" s="115">
        <f>+(disponibilidad[[#This Row],[Fecha y hora fin]]-disponibilidad[[#This Row],[Fecha y hora inicio]])*1440</f>
        <v>0</v>
      </c>
    </row>
    <row r="5410" spans="6:6" ht="15">
      <c r="F5410" s="115">
        <f>+(disponibilidad[[#This Row],[Fecha y hora fin]]-disponibilidad[[#This Row],[Fecha y hora inicio]])*1440</f>
        <v>0</v>
      </c>
    </row>
    <row r="5411" spans="6:6" ht="15">
      <c r="F5411" s="115">
        <f>+(disponibilidad[[#This Row],[Fecha y hora fin]]-disponibilidad[[#This Row],[Fecha y hora inicio]])*1440</f>
        <v>0</v>
      </c>
    </row>
    <row r="5412" spans="6:6" ht="15">
      <c r="F5412" s="115">
        <f>+(disponibilidad[[#This Row],[Fecha y hora fin]]-disponibilidad[[#This Row],[Fecha y hora inicio]])*1440</f>
        <v>0</v>
      </c>
    </row>
    <row r="5413" spans="6:6" ht="15">
      <c r="F5413" s="115">
        <f>+(disponibilidad[[#This Row],[Fecha y hora fin]]-disponibilidad[[#This Row],[Fecha y hora inicio]])*1440</f>
        <v>0</v>
      </c>
    </row>
    <row r="5414" spans="6:6" ht="15">
      <c r="F5414" s="115">
        <f>+(disponibilidad[[#This Row],[Fecha y hora fin]]-disponibilidad[[#This Row],[Fecha y hora inicio]])*1440</f>
        <v>0</v>
      </c>
    </row>
    <row r="5415" spans="6:6" ht="15">
      <c r="F5415" s="115">
        <f>+(disponibilidad[[#This Row],[Fecha y hora fin]]-disponibilidad[[#This Row],[Fecha y hora inicio]])*1440</f>
        <v>0</v>
      </c>
    </row>
    <row r="5416" spans="6:6" ht="15">
      <c r="F5416" s="115">
        <f>+(disponibilidad[[#This Row],[Fecha y hora fin]]-disponibilidad[[#This Row],[Fecha y hora inicio]])*1440</f>
        <v>0</v>
      </c>
    </row>
    <row r="5417" spans="6:6" ht="15">
      <c r="F5417" s="115">
        <f>+(disponibilidad[[#This Row],[Fecha y hora fin]]-disponibilidad[[#This Row],[Fecha y hora inicio]])*1440</f>
        <v>0</v>
      </c>
    </row>
    <row r="5418" spans="6:6" ht="15">
      <c r="F5418" s="115">
        <f>+(disponibilidad[[#This Row],[Fecha y hora fin]]-disponibilidad[[#This Row],[Fecha y hora inicio]])*1440</f>
        <v>0</v>
      </c>
    </row>
    <row r="5419" spans="6:6" ht="15">
      <c r="F5419" s="115">
        <f>+(disponibilidad[[#This Row],[Fecha y hora fin]]-disponibilidad[[#This Row],[Fecha y hora inicio]])*1440</f>
        <v>0</v>
      </c>
    </row>
    <row r="5420" spans="6:6" ht="15">
      <c r="F5420" s="115">
        <f>+(disponibilidad[[#This Row],[Fecha y hora fin]]-disponibilidad[[#This Row],[Fecha y hora inicio]])*1440</f>
        <v>0</v>
      </c>
    </row>
    <row r="5421" spans="6:6" ht="15">
      <c r="F5421" s="115">
        <f>+(disponibilidad[[#This Row],[Fecha y hora fin]]-disponibilidad[[#This Row],[Fecha y hora inicio]])*1440</f>
        <v>0</v>
      </c>
    </row>
    <row r="5422" spans="6:6" ht="15">
      <c r="F5422" s="115">
        <f>+(disponibilidad[[#This Row],[Fecha y hora fin]]-disponibilidad[[#This Row],[Fecha y hora inicio]])*1440</f>
        <v>0</v>
      </c>
    </row>
    <row r="5423" spans="6:6" ht="15">
      <c r="F5423" s="115">
        <f>+(disponibilidad[[#This Row],[Fecha y hora fin]]-disponibilidad[[#This Row],[Fecha y hora inicio]])*1440</f>
        <v>0</v>
      </c>
    </row>
    <row r="5424" spans="6:6" ht="15">
      <c r="F5424" s="115">
        <f>+(disponibilidad[[#This Row],[Fecha y hora fin]]-disponibilidad[[#This Row],[Fecha y hora inicio]])*1440</f>
        <v>0</v>
      </c>
    </row>
    <row r="5425" spans="6:6" ht="15">
      <c r="F5425" s="115">
        <f>+(disponibilidad[[#This Row],[Fecha y hora fin]]-disponibilidad[[#This Row],[Fecha y hora inicio]])*1440</f>
        <v>0</v>
      </c>
    </row>
    <row r="5426" spans="6:6" ht="15">
      <c r="F5426" s="115">
        <f>+(disponibilidad[[#This Row],[Fecha y hora fin]]-disponibilidad[[#This Row],[Fecha y hora inicio]])*1440</f>
        <v>0</v>
      </c>
    </row>
    <row r="5427" spans="6:6" ht="15">
      <c r="F5427" s="115">
        <f>+(disponibilidad[[#This Row],[Fecha y hora fin]]-disponibilidad[[#This Row],[Fecha y hora inicio]])*1440</f>
        <v>0</v>
      </c>
    </row>
    <row r="5428" spans="6:6" ht="15">
      <c r="F5428" s="115">
        <f>+(disponibilidad[[#This Row],[Fecha y hora fin]]-disponibilidad[[#This Row],[Fecha y hora inicio]])*1440</f>
        <v>0</v>
      </c>
    </row>
    <row r="5429" spans="6:6" ht="15">
      <c r="F5429" s="115">
        <f>+(disponibilidad[[#This Row],[Fecha y hora fin]]-disponibilidad[[#This Row],[Fecha y hora inicio]])*1440</f>
        <v>0</v>
      </c>
    </row>
    <row r="5430" spans="6:6" ht="15">
      <c r="F5430" s="115">
        <f>+(disponibilidad[[#This Row],[Fecha y hora fin]]-disponibilidad[[#This Row],[Fecha y hora inicio]])*1440</f>
        <v>0</v>
      </c>
    </row>
    <row r="5431" spans="6:6" ht="15">
      <c r="F5431" s="115">
        <f>+(disponibilidad[[#This Row],[Fecha y hora fin]]-disponibilidad[[#This Row],[Fecha y hora inicio]])*1440</f>
        <v>0</v>
      </c>
    </row>
    <row r="5432" spans="6:6" ht="15">
      <c r="F5432" s="115">
        <f>+(disponibilidad[[#This Row],[Fecha y hora fin]]-disponibilidad[[#This Row],[Fecha y hora inicio]])*1440</f>
        <v>0</v>
      </c>
    </row>
    <row r="5433" spans="6:6" ht="15">
      <c r="F5433" s="115">
        <f>+(disponibilidad[[#This Row],[Fecha y hora fin]]-disponibilidad[[#This Row],[Fecha y hora inicio]])*1440</f>
        <v>0</v>
      </c>
    </row>
    <row r="5434" spans="6:6" ht="15">
      <c r="F5434" s="115">
        <f>+(disponibilidad[[#This Row],[Fecha y hora fin]]-disponibilidad[[#This Row],[Fecha y hora inicio]])*1440</f>
        <v>0</v>
      </c>
    </row>
    <row r="5435" spans="6:6" ht="15">
      <c r="F5435" s="115">
        <f>+(disponibilidad[[#This Row],[Fecha y hora fin]]-disponibilidad[[#This Row],[Fecha y hora inicio]])*1440</f>
        <v>0</v>
      </c>
    </row>
    <row r="5436" spans="6:6" ht="15">
      <c r="F5436" s="115">
        <f>+(disponibilidad[[#This Row],[Fecha y hora fin]]-disponibilidad[[#This Row],[Fecha y hora inicio]])*1440</f>
        <v>0</v>
      </c>
    </row>
    <row r="5437" spans="6:6" ht="15">
      <c r="F5437" s="115">
        <f>+(disponibilidad[[#This Row],[Fecha y hora fin]]-disponibilidad[[#This Row],[Fecha y hora inicio]])*1440</f>
        <v>0</v>
      </c>
    </row>
    <row r="5438" spans="6:6" ht="15">
      <c r="F5438" s="115">
        <f>+(disponibilidad[[#This Row],[Fecha y hora fin]]-disponibilidad[[#This Row],[Fecha y hora inicio]])*1440</f>
        <v>0</v>
      </c>
    </row>
    <row r="5439" spans="6:6" ht="15">
      <c r="F5439" s="115">
        <f>+(disponibilidad[[#This Row],[Fecha y hora fin]]-disponibilidad[[#This Row],[Fecha y hora inicio]])*1440</f>
        <v>0</v>
      </c>
    </row>
    <row r="5440" spans="6:6" ht="15">
      <c r="F5440" s="115">
        <f>+(disponibilidad[[#This Row],[Fecha y hora fin]]-disponibilidad[[#This Row],[Fecha y hora inicio]])*1440</f>
        <v>0</v>
      </c>
    </row>
    <row r="5441" spans="6:6" ht="15">
      <c r="F5441" s="115">
        <f>+(disponibilidad[[#This Row],[Fecha y hora fin]]-disponibilidad[[#This Row],[Fecha y hora inicio]])*1440</f>
        <v>0</v>
      </c>
    </row>
    <row r="5442" spans="6:6" ht="15">
      <c r="F5442" s="115">
        <f>+(disponibilidad[[#This Row],[Fecha y hora fin]]-disponibilidad[[#This Row],[Fecha y hora inicio]])*1440</f>
        <v>0</v>
      </c>
    </row>
    <row r="5443" spans="6:6" ht="15">
      <c r="F5443" s="115">
        <f>+(disponibilidad[[#This Row],[Fecha y hora fin]]-disponibilidad[[#This Row],[Fecha y hora inicio]])*1440</f>
        <v>0</v>
      </c>
    </row>
    <row r="5444" spans="6:6" ht="15">
      <c r="F5444" s="115">
        <f>+(disponibilidad[[#This Row],[Fecha y hora fin]]-disponibilidad[[#This Row],[Fecha y hora inicio]])*1440</f>
        <v>0</v>
      </c>
    </row>
    <row r="5445" spans="6:6" ht="15">
      <c r="F5445" s="115">
        <f>+(disponibilidad[[#This Row],[Fecha y hora fin]]-disponibilidad[[#This Row],[Fecha y hora inicio]])*1440</f>
        <v>0</v>
      </c>
    </row>
    <row r="5446" spans="6:6" ht="15">
      <c r="F5446" s="115">
        <f>+(disponibilidad[[#This Row],[Fecha y hora fin]]-disponibilidad[[#This Row],[Fecha y hora inicio]])*1440</f>
        <v>0</v>
      </c>
    </row>
    <row r="5447" spans="6:6" ht="15">
      <c r="F5447" s="115">
        <f>+(disponibilidad[[#This Row],[Fecha y hora fin]]-disponibilidad[[#This Row],[Fecha y hora inicio]])*1440</f>
        <v>0</v>
      </c>
    </row>
    <row r="5448" spans="6:6" ht="15">
      <c r="F5448" s="115">
        <f>+(disponibilidad[[#This Row],[Fecha y hora fin]]-disponibilidad[[#This Row],[Fecha y hora inicio]])*1440</f>
        <v>0</v>
      </c>
    </row>
    <row r="5449" spans="6:6" ht="15">
      <c r="F5449" s="115">
        <f>+(disponibilidad[[#This Row],[Fecha y hora fin]]-disponibilidad[[#This Row],[Fecha y hora inicio]])*1440</f>
        <v>0</v>
      </c>
    </row>
    <row r="5450" spans="6:6" ht="15">
      <c r="F5450" s="115">
        <f>+(disponibilidad[[#This Row],[Fecha y hora fin]]-disponibilidad[[#This Row],[Fecha y hora inicio]])*1440</f>
        <v>0</v>
      </c>
    </row>
    <row r="5451" spans="6:6" ht="15">
      <c r="F5451" s="115">
        <f>+(disponibilidad[[#This Row],[Fecha y hora fin]]-disponibilidad[[#This Row],[Fecha y hora inicio]])*1440</f>
        <v>0</v>
      </c>
    </row>
    <row r="5452" spans="6:6" ht="15">
      <c r="F5452" s="115">
        <f>+(disponibilidad[[#This Row],[Fecha y hora fin]]-disponibilidad[[#This Row],[Fecha y hora inicio]])*1440</f>
        <v>0</v>
      </c>
    </row>
    <row r="5453" spans="6:6" ht="15">
      <c r="F5453" s="115">
        <f>+(disponibilidad[[#This Row],[Fecha y hora fin]]-disponibilidad[[#This Row],[Fecha y hora inicio]])*1440</f>
        <v>0</v>
      </c>
    </row>
    <row r="5454" spans="6:6" ht="15">
      <c r="F5454" s="115">
        <f>+(disponibilidad[[#This Row],[Fecha y hora fin]]-disponibilidad[[#This Row],[Fecha y hora inicio]])*1440</f>
        <v>0</v>
      </c>
    </row>
    <row r="5455" spans="6:6" ht="15">
      <c r="F5455" s="115">
        <f>+(disponibilidad[[#This Row],[Fecha y hora fin]]-disponibilidad[[#This Row],[Fecha y hora inicio]])*1440</f>
        <v>0</v>
      </c>
    </row>
    <row r="5456" spans="6:6" ht="15">
      <c r="F5456" s="115">
        <f>+(disponibilidad[[#This Row],[Fecha y hora fin]]-disponibilidad[[#This Row],[Fecha y hora inicio]])*1440</f>
        <v>0</v>
      </c>
    </row>
    <row r="5457" spans="6:6" ht="15">
      <c r="F5457" s="115">
        <f>+(disponibilidad[[#This Row],[Fecha y hora fin]]-disponibilidad[[#This Row],[Fecha y hora inicio]])*1440</f>
        <v>0</v>
      </c>
    </row>
    <row r="5458" spans="6:6" ht="15">
      <c r="F5458" s="115">
        <f>+(disponibilidad[[#This Row],[Fecha y hora fin]]-disponibilidad[[#This Row],[Fecha y hora inicio]])*1440</f>
        <v>0</v>
      </c>
    </row>
    <row r="5459" spans="6:6" ht="15">
      <c r="F5459" s="115">
        <f>+(disponibilidad[[#This Row],[Fecha y hora fin]]-disponibilidad[[#This Row],[Fecha y hora inicio]])*1440</f>
        <v>0</v>
      </c>
    </row>
    <row r="5460" spans="6:6" ht="15">
      <c r="F5460" s="115">
        <f>+(disponibilidad[[#This Row],[Fecha y hora fin]]-disponibilidad[[#This Row],[Fecha y hora inicio]])*1440</f>
        <v>0</v>
      </c>
    </row>
    <row r="5461" spans="6:6" ht="15">
      <c r="F5461" s="115">
        <f>+(disponibilidad[[#This Row],[Fecha y hora fin]]-disponibilidad[[#This Row],[Fecha y hora inicio]])*1440</f>
        <v>0</v>
      </c>
    </row>
    <row r="5462" spans="6:6" ht="15">
      <c r="F5462" s="115">
        <f>+(disponibilidad[[#This Row],[Fecha y hora fin]]-disponibilidad[[#This Row],[Fecha y hora inicio]])*1440</f>
        <v>0</v>
      </c>
    </row>
    <row r="5463" spans="6:6" ht="15">
      <c r="F5463" s="115">
        <f>+(disponibilidad[[#This Row],[Fecha y hora fin]]-disponibilidad[[#This Row],[Fecha y hora inicio]])*1440</f>
        <v>0</v>
      </c>
    </row>
    <row r="5464" spans="6:6" ht="15">
      <c r="F5464" s="115">
        <f>+(disponibilidad[[#This Row],[Fecha y hora fin]]-disponibilidad[[#This Row],[Fecha y hora inicio]])*1440</f>
        <v>0</v>
      </c>
    </row>
    <row r="5465" spans="6:6" ht="15">
      <c r="F5465" s="115">
        <f>+(disponibilidad[[#This Row],[Fecha y hora fin]]-disponibilidad[[#This Row],[Fecha y hora inicio]])*1440</f>
        <v>0</v>
      </c>
    </row>
    <row r="5466" spans="6:6" ht="15">
      <c r="F5466" s="115">
        <f>+(disponibilidad[[#This Row],[Fecha y hora fin]]-disponibilidad[[#This Row],[Fecha y hora inicio]])*1440</f>
        <v>0</v>
      </c>
    </row>
    <row r="5467" spans="6:6" ht="15">
      <c r="F5467" s="115">
        <f>+(disponibilidad[[#This Row],[Fecha y hora fin]]-disponibilidad[[#This Row],[Fecha y hora inicio]])*1440</f>
        <v>0</v>
      </c>
    </row>
    <row r="5468" spans="6:6" ht="15">
      <c r="F5468" s="115">
        <f>+(disponibilidad[[#This Row],[Fecha y hora fin]]-disponibilidad[[#This Row],[Fecha y hora inicio]])*1440</f>
        <v>0</v>
      </c>
    </row>
    <row r="5469" spans="6:6" ht="15">
      <c r="F5469" s="115">
        <f>+(disponibilidad[[#This Row],[Fecha y hora fin]]-disponibilidad[[#This Row],[Fecha y hora inicio]])*1440</f>
        <v>0</v>
      </c>
    </row>
    <row r="5470" spans="6:6" ht="15">
      <c r="F5470" s="115">
        <f>+(disponibilidad[[#This Row],[Fecha y hora fin]]-disponibilidad[[#This Row],[Fecha y hora inicio]])*1440</f>
        <v>0</v>
      </c>
    </row>
    <row r="5471" spans="6:6" ht="15">
      <c r="F5471" s="115">
        <f>+(disponibilidad[[#This Row],[Fecha y hora fin]]-disponibilidad[[#This Row],[Fecha y hora inicio]])*1440</f>
        <v>0</v>
      </c>
    </row>
    <row r="5472" spans="6:6" ht="15">
      <c r="F5472" s="115">
        <f>+(disponibilidad[[#This Row],[Fecha y hora fin]]-disponibilidad[[#This Row],[Fecha y hora inicio]])*1440</f>
        <v>0</v>
      </c>
    </row>
    <row r="5473" spans="6:6" ht="15">
      <c r="F5473" s="115">
        <f>+(disponibilidad[[#This Row],[Fecha y hora fin]]-disponibilidad[[#This Row],[Fecha y hora inicio]])*1440</f>
        <v>0</v>
      </c>
    </row>
    <row r="5474" spans="6:6" ht="15">
      <c r="F5474" s="115">
        <f>+(disponibilidad[[#This Row],[Fecha y hora fin]]-disponibilidad[[#This Row],[Fecha y hora inicio]])*1440</f>
        <v>0</v>
      </c>
    </row>
    <row r="5475" spans="6:6" ht="15">
      <c r="F5475" s="115">
        <f>+(disponibilidad[[#This Row],[Fecha y hora fin]]-disponibilidad[[#This Row],[Fecha y hora inicio]])*1440</f>
        <v>0</v>
      </c>
    </row>
    <row r="5476" spans="6:6" ht="15">
      <c r="F5476" s="115">
        <f>+(disponibilidad[[#This Row],[Fecha y hora fin]]-disponibilidad[[#This Row],[Fecha y hora inicio]])*1440</f>
        <v>0</v>
      </c>
    </row>
    <row r="5477" spans="6:6" ht="15">
      <c r="F5477" s="115">
        <f>+(disponibilidad[[#This Row],[Fecha y hora fin]]-disponibilidad[[#This Row],[Fecha y hora inicio]])*1440</f>
        <v>0</v>
      </c>
    </row>
    <row r="5478" spans="6:6" ht="15">
      <c r="F5478" s="115">
        <f>+(disponibilidad[[#This Row],[Fecha y hora fin]]-disponibilidad[[#This Row],[Fecha y hora inicio]])*1440</f>
        <v>0</v>
      </c>
    </row>
    <row r="5479" spans="6:6" ht="15">
      <c r="F5479" s="115">
        <f>+(disponibilidad[[#This Row],[Fecha y hora fin]]-disponibilidad[[#This Row],[Fecha y hora inicio]])*1440</f>
        <v>0</v>
      </c>
    </row>
    <row r="5480" spans="6:6" ht="15">
      <c r="F5480" s="115">
        <f>+(disponibilidad[[#This Row],[Fecha y hora fin]]-disponibilidad[[#This Row],[Fecha y hora inicio]])*1440</f>
        <v>0</v>
      </c>
    </row>
    <row r="5481" spans="6:6" ht="15">
      <c r="F5481" s="115">
        <f>+(disponibilidad[[#This Row],[Fecha y hora fin]]-disponibilidad[[#This Row],[Fecha y hora inicio]])*1440</f>
        <v>0</v>
      </c>
    </row>
    <row r="5482" spans="6:6" ht="15">
      <c r="F5482" s="115">
        <f>+(disponibilidad[[#This Row],[Fecha y hora fin]]-disponibilidad[[#This Row],[Fecha y hora inicio]])*1440</f>
        <v>0</v>
      </c>
    </row>
    <row r="5483" spans="6:6" ht="15">
      <c r="F5483" s="115">
        <f>+(disponibilidad[[#This Row],[Fecha y hora fin]]-disponibilidad[[#This Row],[Fecha y hora inicio]])*1440</f>
        <v>0</v>
      </c>
    </row>
    <row r="5484" spans="6:6" ht="15">
      <c r="F5484" s="115">
        <f>+(disponibilidad[[#This Row],[Fecha y hora fin]]-disponibilidad[[#This Row],[Fecha y hora inicio]])*1440</f>
        <v>0</v>
      </c>
    </row>
    <row r="5485" spans="6:6" ht="15">
      <c r="F5485" s="115">
        <f>+(disponibilidad[[#This Row],[Fecha y hora fin]]-disponibilidad[[#This Row],[Fecha y hora inicio]])*1440</f>
        <v>0</v>
      </c>
    </row>
    <row r="5486" spans="6:6" ht="15">
      <c r="F5486" s="115">
        <f>+(disponibilidad[[#This Row],[Fecha y hora fin]]-disponibilidad[[#This Row],[Fecha y hora inicio]])*1440</f>
        <v>0</v>
      </c>
    </row>
    <row r="5487" spans="6:6" ht="15">
      <c r="F5487" s="115">
        <f>+(disponibilidad[[#This Row],[Fecha y hora fin]]-disponibilidad[[#This Row],[Fecha y hora inicio]])*1440</f>
        <v>0</v>
      </c>
    </row>
    <row r="5488" spans="6:6" ht="15">
      <c r="F5488" s="115">
        <f>+(disponibilidad[[#This Row],[Fecha y hora fin]]-disponibilidad[[#This Row],[Fecha y hora inicio]])*1440</f>
        <v>0</v>
      </c>
    </row>
    <row r="5489" spans="6:6" ht="15">
      <c r="F5489" s="115">
        <f>+(disponibilidad[[#This Row],[Fecha y hora fin]]-disponibilidad[[#This Row],[Fecha y hora inicio]])*1440</f>
        <v>0</v>
      </c>
    </row>
    <row r="5490" spans="6:6" ht="15">
      <c r="F5490" s="115">
        <f>+(disponibilidad[[#This Row],[Fecha y hora fin]]-disponibilidad[[#This Row],[Fecha y hora inicio]])*1440</f>
        <v>0</v>
      </c>
    </row>
    <row r="5491" spans="6:6" ht="15">
      <c r="F5491" s="115">
        <f>+(disponibilidad[[#This Row],[Fecha y hora fin]]-disponibilidad[[#This Row],[Fecha y hora inicio]])*1440</f>
        <v>0</v>
      </c>
    </row>
    <row r="5492" spans="6:6" ht="15">
      <c r="F5492" s="115">
        <f>+(disponibilidad[[#This Row],[Fecha y hora fin]]-disponibilidad[[#This Row],[Fecha y hora inicio]])*1440</f>
        <v>0</v>
      </c>
    </row>
    <row r="5493" spans="6:6" ht="15">
      <c r="F5493" s="115">
        <f>+(disponibilidad[[#This Row],[Fecha y hora fin]]-disponibilidad[[#This Row],[Fecha y hora inicio]])*1440</f>
        <v>0</v>
      </c>
    </row>
    <row r="5494" spans="6:6" ht="15">
      <c r="F5494" s="115">
        <f>+(disponibilidad[[#This Row],[Fecha y hora fin]]-disponibilidad[[#This Row],[Fecha y hora inicio]])*1440</f>
        <v>0</v>
      </c>
    </row>
    <row r="5495" spans="6:6" ht="15">
      <c r="F5495" s="115">
        <f>+(disponibilidad[[#This Row],[Fecha y hora fin]]-disponibilidad[[#This Row],[Fecha y hora inicio]])*1440</f>
        <v>0</v>
      </c>
    </row>
    <row r="5496" spans="6:6" ht="15">
      <c r="F5496" s="115">
        <f>+(disponibilidad[[#This Row],[Fecha y hora fin]]-disponibilidad[[#This Row],[Fecha y hora inicio]])*1440</f>
        <v>0</v>
      </c>
    </row>
    <row r="5497" spans="6:6" ht="15">
      <c r="F5497" s="115">
        <f>+(disponibilidad[[#This Row],[Fecha y hora fin]]-disponibilidad[[#This Row],[Fecha y hora inicio]])*1440</f>
        <v>0</v>
      </c>
    </row>
    <row r="5498" spans="6:6" ht="15">
      <c r="F5498" s="115">
        <f>+(disponibilidad[[#This Row],[Fecha y hora fin]]-disponibilidad[[#This Row],[Fecha y hora inicio]])*1440</f>
        <v>0</v>
      </c>
    </row>
    <row r="5499" spans="6:6" ht="15">
      <c r="F5499" s="115">
        <f>+(disponibilidad[[#This Row],[Fecha y hora fin]]-disponibilidad[[#This Row],[Fecha y hora inicio]])*1440</f>
        <v>0</v>
      </c>
    </row>
    <row r="5500" spans="6:6" ht="15">
      <c r="F5500" s="115">
        <f>+(disponibilidad[[#This Row],[Fecha y hora fin]]-disponibilidad[[#This Row],[Fecha y hora inicio]])*1440</f>
        <v>0</v>
      </c>
    </row>
    <row r="5501" spans="6:6" ht="15">
      <c r="F5501" s="115">
        <f>+(disponibilidad[[#This Row],[Fecha y hora fin]]-disponibilidad[[#This Row],[Fecha y hora inicio]])*1440</f>
        <v>0</v>
      </c>
    </row>
    <row r="5502" spans="6:6" ht="15">
      <c r="F5502" s="115">
        <f>+(disponibilidad[[#This Row],[Fecha y hora fin]]-disponibilidad[[#This Row],[Fecha y hora inicio]])*1440</f>
        <v>0</v>
      </c>
    </row>
    <row r="5503" spans="6:6" ht="15">
      <c r="F5503" s="115">
        <f>+(disponibilidad[[#This Row],[Fecha y hora fin]]-disponibilidad[[#This Row],[Fecha y hora inicio]])*1440</f>
        <v>0</v>
      </c>
    </row>
    <row r="5504" spans="6:6" ht="15">
      <c r="F5504" s="115">
        <f>+(disponibilidad[[#This Row],[Fecha y hora fin]]-disponibilidad[[#This Row],[Fecha y hora inicio]])*1440</f>
        <v>0</v>
      </c>
    </row>
    <row r="5505" spans="6:6" ht="15">
      <c r="F5505" s="115">
        <f>+(disponibilidad[[#This Row],[Fecha y hora fin]]-disponibilidad[[#This Row],[Fecha y hora inicio]])*1440</f>
        <v>0</v>
      </c>
    </row>
    <row r="5506" spans="6:6" ht="15">
      <c r="F5506" s="115">
        <f>+(disponibilidad[[#This Row],[Fecha y hora fin]]-disponibilidad[[#This Row],[Fecha y hora inicio]])*1440</f>
        <v>0</v>
      </c>
    </row>
    <row r="5507" spans="6:6" ht="15">
      <c r="F5507" s="115">
        <f>+(disponibilidad[[#This Row],[Fecha y hora fin]]-disponibilidad[[#This Row],[Fecha y hora inicio]])*1440</f>
        <v>0</v>
      </c>
    </row>
    <row r="5508" spans="6:6" ht="15">
      <c r="F5508" s="115">
        <f>+(disponibilidad[[#This Row],[Fecha y hora fin]]-disponibilidad[[#This Row],[Fecha y hora inicio]])*1440</f>
        <v>0</v>
      </c>
    </row>
    <row r="5509" spans="6:6" ht="15">
      <c r="F5509" s="115">
        <f>+(disponibilidad[[#This Row],[Fecha y hora fin]]-disponibilidad[[#This Row],[Fecha y hora inicio]])*1440</f>
        <v>0</v>
      </c>
    </row>
    <row r="5510" spans="6:6" ht="15">
      <c r="F5510" s="115">
        <f>+(disponibilidad[[#This Row],[Fecha y hora fin]]-disponibilidad[[#This Row],[Fecha y hora inicio]])*1440</f>
        <v>0</v>
      </c>
    </row>
    <row r="5511" spans="6:6" ht="15">
      <c r="F5511" s="115">
        <f>+(disponibilidad[[#This Row],[Fecha y hora fin]]-disponibilidad[[#This Row],[Fecha y hora inicio]])*1440</f>
        <v>0</v>
      </c>
    </row>
    <row r="5512" spans="6:6" ht="15">
      <c r="F5512" s="115">
        <f>+(disponibilidad[[#This Row],[Fecha y hora fin]]-disponibilidad[[#This Row],[Fecha y hora inicio]])*1440</f>
        <v>0</v>
      </c>
    </row>
    <row r="5513" spans="6:6" ht="15">
      <c r="F5513" s="115">
        <f>+(disponibilidad[[#This Row],[Fecha y hora fin]]-disponibilidad[[#This Row],[Fecha y hora inicio]])*1440</f>
        <v>0</v>
      </c>
    </row>
    <row r="5514" spans="6:6" ht="15">
      <c r="F5514" s="115">
        <f>+(disponibilidad[[#This Row],[Fecha y hora fin]]-disponibilidad[[#This Row],[Fecha y hora inicio]])*1440</f>
        <v>0</v>
      </c>
    </row>
    <row r="5515" spans="6:6" ht="15">
      <c r="F5515" s="115">
        <f>+(disponibilidad[[#This Row],[Fecha y hora fin]]-disponibilidad[[#This Row],[Fecha y hora inicio]])*1440</f>
        <v>0</v>
      </c>
    </row>
    <row r="5516" spans="6:6" ht="15">
      <c r="F5516" s="115">
        <f>+(disponibilidad[[#This Row],[Fecha y hora fin]]-disponibilidad[[#This Row],[Fecha y hora inicio]])*1440</f>
        <v>0</v>
      </c>
    </row>
    <row r="5517" spans="6:6" ht="15">
      <c r="F5517" s="115">
        <f>+(disponibilidad[[#This Row],[Fecha y hora fin]]-disponibilidad[[#This Row],[Fecha y hora inicio]])*1440</f>
        <v>0</v>
      </c>
    </row>
    <row r="5518" spans="6:6" ht="15">
      <c r="F5518" s="115">
        <f>+(disponibilidad[[#This Row],[Fecha y hora fin]]-disponibilidad[[#This Row],[Fecha y hora inicio]])*1440</f>
        <v>0</v>
      </c>
    </row>
    <row r="5519" spans="6:6" ht="15">
      <c r="F5519" s="115">
        <f>+(disponibilidad[[#This Row],[Fecha y hora fin]]-disponibilidad[[#This Row],[Fecha y hora inicio]])*1440</f>
        <v>0</v>
      </c>
    </row>
    <row r="5520" spans="6:6" ht="15">
      <c r="F5520" s="115">
        <f>+(disponibilidad[[#This Row],[Fecha y hora fin]]-disponibilidad[[#This Row],[Fecha y hora inicio]])*1440</f>
        <v>0</v>
      </c>
    </row>
    <row r="5521" spans="6:6" ht="15">
      <c r="F5521" s="115">
        <f>+(disponibilidad[[#This Row],[Fecha y hora fin]]-disponibilidad[[#This Row],[Fecha y hora inicio]])*1440</f>
        <v>0</v>
      </c>
    </row>
    <row r="5522" spans="6:6" ht="15">
      <c r="F5522" s="115">
        <f>+(disponibilidad[[#This Row],[Fecha y hora fin]]-disponibilidad[[#This Row],[Fecha y hora inicio]])*1440</f>
        <v>0</v>
      </c>
    </row>
    <row r="5523" spans="6:6" ht="15">
      <c r="F5523" s="115">
        <f>+(disponibilidad[[#This Row],[Fecha y hora fin]]-disponibilidad[[#This Row],[Fecha y hora inicio]])*1440</f>
        <v>0</v>
      </c>
    </row>
    <row r="5524" spans="6:6" ht="15">
      <c r="F5524" s="115">
        <f>+(disponibilidad[[#This Row],[Fecha y hora fin]]-disponibilidad[[#This Row],[Fecha y hora inicio]])*1440</f>
        <v>0</v>
      </c>
    </row>
    <row r="5525" spans="6:6" ht="15">
      <c r="F5525" s="115">
        <f>+(disponibilidad[[#This Row],[Fecha y hora fin]]-disponibilidad[[#This Row],[Fecha y hora inicio]])*1440</f>
        <v>0</v>
      </c>
    </row>
    <row r="5526" spans="6:6" ht="15">
      <c r="F5526" s="115">
        <f>+(disponibilidad[[#This Row],[Fecha y hora fin]]-disponibilidad[[#This Row],[Fecha y hora inicio]])*1440</f>
        <v>0</v>
      </c>
    </row>
    <row r="5527" spans="6:6" ht="15">
      <c r="F5527" s="115">
        <f>+(disponibilidad[[#This Row],[Fecha y hora fin]]-disponibilidad[[#This Row],[Fecha y hora inicio]])*1440</f>
        <v>0</v>
      </c>
    </row>
    <row r="5528" spans="6:6" ht="15">
      <c r="F5528" s="115">
        <f>+(disponibilidad[[#This Row],[Fecha y hora fin]]-disponibilidad[[#This Row],[Fecha y hora inicio]])*1440</f>
        <v>0</v>
      </c>
    </row>
    <row r="5529" spans="6:6" ht="15">
      <c r="F5529" s="115">
        <f>+(disponibilidad[[#This Row],[Fecha y hora fin]]-disponibilidad[[#This Row],[Fecha y hora inicio]])*1440</f>
        <v>0</v>
      </c>
    </row>
    <row r="5530" spans="6:6" ht="15">
      <c r="F5530" s="115">
        <f>+(disponibilidad[[#This Row],[Fecha y hora fin]]-disponibilidad[[#This Row],[Fecha y hora inicio]])*1440</f>
        <v>0</v>
      </c>
    </row>
    <row r="5531" spans="6:6" ht="15">
      <c r="F5531" s="115">
        <f>+(disponibilidad[[#This Row],[Fecha y hora fin]]-disponibilidad[[#This Row],[Fecha y hora inicio]])*1440</f>
        <v>0</v>
      </c>
    </row>
    <row r="5532" spans="6:6" ht="15">
      <c r="F5532" s="115">
        <f>+(disponibilidad[[#This Row],[Fecha y hora fin]]-disponibilidad[[#This Row],[Fecha y hora inicio]])*1440</f>
        <v>0</v>
      </c>
    </row>
    <row r="5533" spans="6:6" ht="15">
      <c r="F5533" s="115">
        <f>+(disponibilidad[[#This Row],[Fecha y hora fin]]-disponibilidad[[#This Row],[Fecha y hora inicio]])*1440</f>
        <v>0</v>
      </c>
    </row>
    <row r="5534" spans="6:6" ht="15">
      <c r="F5534" s="115">
        <f>+(disponibilidad[[#This Row],[Fecha y hora fin]]-disponibilidad[[#This Row],[Fecha y hora inicio]])*1440</f>
        <v>0</v>
      </c>
    </row>
    <row r="5535" spans="6:6" ht="15">
      <c r="F5535" s="115">
        <f>+(disponibilidad[[#This Row],[Fecha y hora fin]]-disponibilidad[[#This Row],[Fecha y hora inicio]])*1440</f>
        <v>0</v>
      </c>
    </row>
    <row r="5536" spans="6:6" ht="15">
      <c r="F5536" s="115">
        <f>+(disponibilidad[[#This Row],[Fecha y hora fin]]-disponibilidad[[#This Row],[Fecha y hora inicio]])*1440</f>
        <v>0</v>
      </c>
    </row>
    <row r="5537" spans="6:6" ht="15">
      <c r="F5537" s="115">
        <f>+(disponibilidad[[#This Row],[Fecha y hora fin]]-disponibilidad[[#This Row],[Fecha y hora inicio]])*1440</f>
        <v>0</v>
      </c>
    </row>
    <row r="5538" spans="6:6" ht="15">
      <c r="F5538" s="115">
        <f>+(disponibilidad[[#This Row],[Fecha y hora fin]]-disponibilidad[[#This Row],[Fecha y hora inicio]])*1440</f>
        <v>0</v>
      </c>
    </row>
    <row r="5539" spans="6:6" ht="15">
      <c r="F5539" s="115">
        <f>+(disponibilidad[[#This Row],[Fecha y hora fin]]-disponibilidad[[#This Row],[Fecha y hora inicio]])*1440</f>
        <v>0</v>
      </c>
    </row>
    <row r="5540" spans="6:6" ht="15">
      <c r="F5540" s="115">
        <f>+(disponibilidad[[#This Row],[Fecha y hora fin]]-disponibilidad[[#This Row],[Fecha y hora inicio]])*1440</f>
        <v>0</v>
      </c>
    </row>
    <row r="5541" spans="6:6" ht="15">
      <c r="F5541" s="115">
        <f>+(disponibilidad[[#This Row],[Fecha y hora fin]]-disponibilidad[[#This Row],[Fecha y hora inicio]])*1440</f>
        <v>0</v>
      </c>
    </row>
    <row r="5542" spans="6:6" ht="15">
      <c r="F5542" s="115">
        <f>+(disponibilidad[[#This Row],[Fecha y hora fin]]-disponibilidad[[#This Row],[Fecha y hora inicio]])*1440</f>
        <v>0</v>
      </c>
    </row>
    <row r="5543" spans="6:6" ht="15">
      <c r="F5543" s="115">
        <f>+(disponibilidad[[#This Row],[Fecha y hora fin]]-disponibilidad[[#This Row],[Fecha y hora inicio]])*1440</f>
        <v>0</v>
      </c>
    </row>
    <row r="5544" spans="6:6" ht="15">
      <c r="F5544" s="115">
        <f>+(disponibilidad[[#This Row],[Fecha y hora fin]]-disponibilidad[[#This Row],[Fecha y hora inicio]])*1440</f>
        <v>0</v>
      </c>
    </row>
    <row r="5545" spans="6:6" ht="15">
      <c r="F5545" s="115">
        <f>+(disponibilidad[[#This Row],[Fecha y hora fin]]-disponibilidad[[#This Row],[Fecha y hora inicio]])*1440</f>
        <v>0</v>
      </c>
    </row>
    <row r="5546" spans="6:6" ht="15">
      <c r="F5546" s="115">
        <f>+(disponibilidad[[#This Row],[Fecha y hora fin]]-disponibilidad[[#This Row],[Fecha y hora inicio]])*1440</f>
        <v>0</v>
      </c>
    </row>
    <row r="5547" spans="6:6" ht="15">
      <c r="F5547" s="115">
        <f>+(disponibilidad[[#This Row],[Fecha y hora fin]]-disponibilidad[[#This Row],[Fecha y hora inicio]])*1440</f>
        <v>0</v>
      </c>
    </row>
    <row r="5548" spans="6:6" ht="15">
      <c r="F5548" s="115">
        <f>+(disponibilidad[[#This Row],[Fecha y hora fin]]-disponibilidad[[#This Row],[Fecha y hora inicio]])*1440</f>
        <v>0</v>
      </c>
    </row>
    <row r="5549" spans="6:6" ht="15">
      <c r="F5549" s="115">
        <f>+(disponibilidad[[#This Row],[Fecha y hora fin]]-disponibilidad[[#This Row],[Fecha y hora inicio]])*1440</f>
        <v>0</v>
      </c>
    </row>
    <row r="5550" spans="6:6" ht="15">
      <c r="F5550" s="115">
        <f>+(disponibilidad[[#This Row],[Fecha y hora fin]]-disponibilidad[[#This Row],[Fecha y hora inicio]])*1440</f>
        <v>0</v>
      </c>
    </row>
    <row r="5551" spans="6:6" ht="15">
      <c r="F5551" s="115">
        <f>+(disponibilidad[[#This Row],[Fecha y hora fin]]-disponibilidad[[#This Row],[Fecha y hora inicio]])*1440</f>
        <v>0</v>
      </c>
    </row>
    <row r="5552" spans="6:6" ht="15">
      <c r="F5552" s="115">
        <f>+(disponibilidad[[#This Row],[Fecha y hora fin]]-disponibilidad[[#This Row],[Fecha y hora inicio]])*1440</f>
        <v>0</v>
      </c>
    </row>
    <row r="5553" spans="6:6" ht="15">
      <c r="F5553" s="115">
        <f>+(disponibilidad[[#This Row],[Fecha y hora fin]]-disponibilidad[[#This Row],[Fecha y hora inicio]])*1440</f>
        <v>0</v>
      </c>
    </row>
    <row r="5554" spans="6:6" ht="15">
      <c r="F5554" s="115">
        <f>+(disponibilidad[[#This Row],[Fecha y hora fin]]-disponibilidad[[#This Row],[Fecha y hora inicio]])*1440</f>
        <v>0</v>
      </c>
    </row>
    <row r="5555" spans="6:6" ht="15">
      <c r="F5555" s="115">
        <f>+(disponibilidad[[#This Row],[Fecha y hora fin]]-disponibilidad[[#This Row],[Fecha y hora inicio]])*1440</f>
        <v>0</v>
      </c>
    </row>
    <row r="5556" spans="6:6" ht="15">
      <c r="F5556" s="115">
        <f>+(disponibilidad[[#This Row],[Fecha y hora fin]]-disponibilidad[[#This Row],[Fecha y hora inicio]])*1440</f>
        <v>0</v>
      </c>
    </row>
    <row r="5557" spans="6:6" ht="15">
      <c r="F5557" s="115">
        <f>+(disponibilidad[[#This Row],[Fecha y hora fin]]-disponibilidad[[#This Row],[Fecha y hora inicio]])*1440</f>
        <v>0</v>
      </c>
    </row>
    <row r="5558" spans="6:6" ht="15">
      <c r="F5558" s="115">
        <f>+(disponibilidad[[#This Row],[Fecha y hora fin]]-disponibilidad[[#This Row],[Fecha y hora inicio]])*1440</f>
        <v>0</v>
      </c>
    </row>
    <row r="5559" spans="6:6" ht="15">
      <c r="F5559" s="115">
        <f>+(disponibilidad[[#This Row],[Fecha y hora fin]]-disponibilidad[[#This Row],[Fecha y hora inicio]])*1440</f>
        <v>0</v>
      </c>
    </row>
    <row r="5560" spans="6:6" ht="15">
      <c r="F5560" s="115">
        <f>+(disponibilidad[[#This Row],[Fecha y hora fin]]-disponibilidad[[#This Row],[Fecha y hora inicio]])*1440</f>
        <v>0</v>
      </c>
    </row>
    <row r="5561" spans="6:6" ht="15">
      <c r="F5561" s="115">
        <f>+(disponibilidad[[#This Row],[Fecha y hora fin]]-disponibilidad[[#This Row],[Fecha y hora inicio]])*1440</f>
        <v>0</v>
      </c>
    </row>
    <row r="5562" spans="6:6" ht="15">
      <c r="F5562" s="115">
        <f>+(disponibilidad[[#This Row],[Fecha y hora fin]]-disponibilidad[[#This Row],[Fecha y hora inicio]])*1440</f>
        <v>0</v>
      </c>
    </row>
    <row r="5563" spans="6:6" ht="15">
      <c r="F5563" s="115">
        <f>+(disponibilidad[[#This Row],[Fecha y hora fin]]-disponibilidad[[#This Row],[Fecha y hora inicio]])*1440</f>
        <v>0</v>
      </c>
    </row>
    <row r="5564" spans="6:6" ht="15">
      <c r="F5564" s="115">
        <f>+(disponibilidad[[#This Row],[Fecha y hora fin]]-disponibilidad[[#This Row],[Fecha y hora inicio]])*1440</f>
        <v>0</v>
      </c>
    </row>
    <row r="5565" spans="6:6" ht="15">
      <c r="F5565" s="115">
        <f>+(disponibilidad[[#This Row],[Fecha y hora fin]]-disponibilidad[[#This Row],[Fecha y hora inicio]])*1440</f>
        <v>0</v>
      </c>
    </row>
    <row r="5566" spans="6:6" ht="15">
      <c r="F5566" s="115">
        <f>+(disponibilidad[[#This Row],[Fecha y hora fin]]-disponibilidad[[#This Row],[Fecha y hora inicio]])*1440</f>
        <v>0</v>
      </c>
    </row>
    <row r="5567" spans="6:6" ht="15">
      <c r="F5567" s="115">
        <f>+(disponibilidad[[#This Row],[Fecha y hora fin]]-disponibilidad[[#This Row],[Fecha y hora inicio]])*1440</f>
        <v>0</v>
      </c>
    </row>
    <row r="5568" spans="6:6" ht="15">
      <c r="F5568" s="115">
        <f>+(disponibilidad[[#This Row],[Fecha y hora fin]]-disponibilidad[[#This Row],[Fecha y hora inicio]])*1440</f>
        <v>0</v>
      </c>
    </row>
    <row r="5569" spans="6:6" ht="15">
      <c r="F5569" s="115">
        <f>+(disponibilidad[[#This Row],[Fecha y hora fin]]-disponibilidad[[#This Row],[Fecha y hora inicio]])*1440</f>
        <v>0</v>
      </c>
    </row>
    <row r="5570" spans="6:6" ht="15">
      <c r="F5570" s="115">
        <f>+(disponibilidad[[#This Row],[Fecha y hora fin]]-disponibilidad[[#This Row],[Fecha y hora inicio]])*1440</f>
        <v>0</v>
      </c>
    </row>
    <row r="5571" spans="6:6" ht="15">
      <c r="F5571" s="115">
        <f>+(disponibilidad[[#This Row],[Fecha y hora fin]]-disponibilidad[[#This Row],[Fecha y hora inicio]])*1440</f>
        <v>0</v>
      </c>
    </row>
    <row r="5572" spans="6:6" ht="15">
      <c r="F5572" s="115">
        <f>+(disponibilidad[[#This Row],[Fecha y hora fin]]-disponibilidad[[#This Row],[Fecha y hora inicio]])*1440</f>
        <v>0</v>
      </c>
    </row>
    <row r="5573" spans="6:6" ht="15">
      <c r="F5573" s="115">
        <f>+(disponibilidad[[#This Row],[Fecha y hora fin]]-disponibilidad[[#This Row],[Fecha y hora inicio]])*1440</f>
        <v>0</v>
      </c>
    </row>
    <row r="5574" spans="6:6" ht="15">
      <c r="F5574" s="115">
        <f>+(disponibilidad[[#This Row],[Fecha y hora fin]]-disponibilidad[[#This Row],[Fecha y hora inicio]])*1440</f>
        <v>0</v>
      </c>
    </row>
    <row r="5575" spans="6:6" ht="15">
      <c r="F5575" s="115">
        <f>+(disponibilidad[[#This Row],[Fecha y hora fin]]-disponibilidad[[#This Row],[Fecha y hora inicio]])*1440</f>
        <v>0</v>
      </c>
    </row>
    <row r="5576" spans="6:6" ht="15">
      <c r="F5576" s="115">
        <f>+(disponibilidad[[#This Row],[Fecha y hora fin]]-disponibilidad[[#This Row],[Fecha y hora inicio]])*1440</f>
        <v>0</v>
      </c>
    </row>
    <row r="5577" spans="6:6" ht="15">
      <c r="F5577" s="115">
        <f>+(disponibilidad[[#This Row],[Fecha y hora fin]]-disponibilidad[[#This Row],[Fecha y hora inicio]])*1440</f>
        <v>0</v>
      </c>
    </row>
    <row r="5578" spans="6:6" ht="15">
      <c r="F5578" s="115">
        <f>+(disponibilidad[[#This Row],[Fecha y hora fin]]-disponibilidad[[#This Row],[Fecha y hora inicio]])*1440</f>
        <v>0</v>
      </c>
    </row>
    <row r="5579" spans="6:6" ht="15">
      <c r="F5579" s="115">
        <f>+(disponibilidad[[#This Row],[Fecha y hora fin]]-disponibilidad[[#This Row],[Fecha y hora inicio]])*1440</f>
        <v>0</v>
      </c>
    </row>
    <row r="5580" spans="6:6" ht="15">
      <c r="F5580" s="115">
        <f>+(disponibilidad[[#This Row],[Fecha y hora fin]]-disponibilidad[[#This Row],[Fecha y hora inicio]])*1440</f>
        <v>0</v>
      </c>
    </row>
    <row r="5581" spans="6:6" ht="15">
      <c r="F5581" s="115">
        <f>+(disponibilidad[[#This Row],[Fecha y hora fin]]-disponibilidad[[#This Row],[Fecha y hora inicio]])*1440</f>
        <v>0</v>
      </c>
    </row>
    <row r="5582" spans="6:6" ht="15">
      <c r="F5582" s="115">
        <f>+(disponibilidad[[#This Row],[Fecha y hora fin]]-disponibilidad[[#This Row],[Fecha y hora inicio]])*1440</f>
        <v>0</v>
      </c>
    </row>
    <row r="5583" spans="6:6" ht="15">
      <c r="F5583" s="115">
        <f>+(disponibilidad[[#This Row],[Fecha y hora fin]]-disponibilidad[[#This Row],[Fecha y hora inicio]])*1440</f>
        <v>0</v>
      </c>
    </row>
    <row r="5584" spans="6:6" ht="15">
      <c r="F5584" s="115">
        <f>+(disponibilidad[[#This Row],[Fecha y hora fin]]-disponibilidad[[#This Row],[Fecha y hora inicio]])*1440</f>
        <v>0</v>
      </c>
    </row>
    <row r="5585" spans="6:6" ht="15">
      <c r="F5585" s="115">
        <f>+(disponibilidad[[#This Row],[Fecha y hora fin]]-disponibilidad[[#This Row],[Fecha y hora inicio]])*1440</f>
        <v>0</v>
      </c>
    </row>
    <row r="5586" spans="6:6" ht="15">
      <c r="F5586" s="115">
        <f>+(disponibilidad[[#This Row],[Fecha y hora fin]]-disponibilidad[[#This Row],[Fecha y hora inicio]])*1440</f>
        <v>0</v>
      </c>
    </row>
    <row r="5587" spans="6:6" ht="15">
      <c r="F5587" s="115">
        <f>+(disponibilidad[[#This Row],[Fecha y hora fin]]-disponibilidad[[#This Row],[Fecha y hora inicio]])*1440</f>
        <v>0</v>
      </c>
    </row>
    <row r="5588" spans="6:6" ht="15">
      <c r="F5588" s="115">
        <f>+(disponibilidad[[#This Row],[Fecha y hora fin]]-disponibilidad[[#This Row],[Fecha y hora inicio]])*1440</f>
        <v>0</v>
      </c>
    </row>
    <row r="5589" spans="6:6" ht="15">
      <c r="F5589" s="115">
        <f>+(disponibilidad[[#This Row],[Fecha y hora fin]]-disponibilidad[[#This Row],[Fecha y hora inicio]])*1440</f>
        <v>0</v>
      </c>
    </row>
    <row r="5590" spans="6:6" ht="15">
      <c r="F5590" s="115">
        <f>+(disponibilidad[[#This Row],[Fecha y hora fin]]-disponibilidad[[#This Row],[Fecha y hora inicio]])*1440</f>
        <v>0</v>
      </c>
    </row>
    <row r="5591" spans="6:6" ht="15">
      <c r="F5591" s="115">
        <f>+(disponibilidad[[#This Row],[Fecha y hora fin]]-disponibilidad[[#This Row],[Fecha y hora inicio]])*1440</f>
        <v>0</v>
      </c>
    </row>
    <row r="5592" spans="6:6" ht="15">
      <c r="F5592" s="115">
        <f>+(disponibilidad[[#This Row],[Fecha y hora fin]]-disponibilidad[[#This Row],[Fecha y hora inicio]])*1440</f>
        <v>0</v>
      </c>
    </row>
    <row r="5593" spans="6:6" ht="15">
      <c r="F5593" s="115">
        <f>+(disponibilidad[[#This Row],[Fecha y hora fin]]-disponibilidad[[#This Row],[Fecha y hora inicio]])*1440</f>
        <v>0</v>
      </c>
    </row>
    <row r="5594" spans="6:6" ht="15">
      <c r="F5594" s="115">
        <f>+(disponibilidad[[#This Row],[Fecha y hora fin]]-disponibilidad[[#This Row],[Fecha y hora inicio]])*1440</f>
        <v>0</v>
      </c>
    </row>
    <row r="5595" spans="6:6" ht="15">
      <c r="F5595" s="115">
        <f>+(disponibilidad[[#This Row],[Fecha y hora fin]]-disponibilidad[[#This Row],[Fecha y hora inicio]])*1440</f>
        <v>0</v>
      </c>
    </row>
    <row r="5596" spans="6:6" ht="15">
      <c r="F5596" s="115">
        <f>+(disponibilidad[[#This Row],[Fecha y hora fin]]-disponibilidad[[#This Row],[Fecha y hora inicio]])*1440</f>
        <v>0</v>
      </c>
    </row>
    <row r="5597" spans="6:6" ht="15">
      <c r="F5597" s="115">
        <f>+(disponibilidad[[#This Row],[Fecha y hora fin]]-disponibilidad[[#This Row],[Fecha y hora inicio]])*1440</f>
        <v>0</v>
      </c>
    </row>
    <row r="5598" spans="6:6" ht="15">
      <c r="F5598" s="115">
        <f>+(disponibilidad[[#This Row],[Fecha y hora fin]]-disponibilidad[[#This Row],[Fecha y hora inicio]])*1440</f>
        <v>0</v>
      </c>
    </row>
    <row r="5599" spans="6:6" ht="15">
      <c r="F5599" s="115">
        <f>+(disponibilidad[[#This Row],[Fecha y hora fin]]-disponibilidad[[#This Row],[Fecha y hora inicio]])*1440</f>
        <v>0</v>
      </c>
    </row>
    <row r="5600" spans="6:6" ht="15">
      <c r="F5600" s="115">
        <f>+(disponibilidad[[#This Row],[Fecha y hora fin]]-disponibilidad[[#This Row],[Fecha y hora inicio]])*1440</f>
        <v>0</v>
      </c>
    </row>
    <row r="5601" spans="6:6" ht="15">
      <c r="F5601" s="115">
        <f>+(disponibilidad[[#This Row],[Fecha y hora fin]]-disponibilidad[[#This Row],[Fecha y hora inicio]])*1440</f>
        <v>0</v>
      </c>
    </row>
    <row r="5602" spans="6:6" ht="15">
      <c r="F5602" s="115">
        <f>+(disponibilidad[[#This Row],[Fecha y hora fin]]-disponibilidad[[#This Row],[Fecha y hora inicio]])*1440</f>
        <v>0</v>
      </c>
    </row>
    <row r="5603" spans="6:6" ht="15">
      <c r="F5603" s="115">
        <f>+(disponibilidad[[#This Row],[Fecha y hora fin]]-disponibilidad[[#This Row],[Fecha y hora inicio]])*1440</f>
        <v>0</v>
      </c>
    </row>
    <row r="5604" spans="6:6" ht="15">
      <c r="F5604" s="115">
        <f>+(disponibilidad[[#This Row],[Fecha y hora fin]]-disponibilidad[[#This Row],[Fecha y hora inicio]])*1440</f>
        <v>0</v>
      </c>
    </row>
    <row r="5605" spans="6:6" ht="15">
      <c r="F5605" s="115">
        <f>+(disponibilidad[[#This Row],[Fecha y hora fin]]-disponibilidad[[#This Row],[Fecha y hora inicio]])*1440</f>
        <v>0</v>
      </c>
    </row>
    <row r="5606" spans="6:6" ht="15">
      <c r="F5606" s="115">
        <f>+(disponibilidad[[#This Row],[Fecha y hora fin]]-disponibilidad[[#This Row],[Fecha y hora inicio]])*1440</f>
        <v>0</v>
      </c>
    </row>
    <row r="5607" spans="6:6" ht="15">
      <c r="F5607" s="115">
        <f>+(disponibilidad[[#This Row],[Fecha y hora fin]]-disponibilidad[[#This Row],[Fecha y hora inicio]])*1440</f>
        <v>0</v>
      </c>
    </row>
    <row r="5608" spans="6:6" ht="15">
      <c r="F5608" s="115">
        <f>+(disponibilidad[[#This Row],[Fecha y hora fin]]-disponibilidad[[#This Row],[Fecha y hora inicio]])*1440</f>
        <v>0</v>
      </c>
    </row>
    <row r="5609" spans="6:6" ht="15">
      <c r="F5609" s="115">
        <f>+(disponibilidad[[#This Row],[Fecha y hora fin]]-disponibilidad[[#This Row],[Fecha y hora inicio]])*1440</f>
        <v>0</v>
      </c>
    </row>
    <row r="5610" spans="6:6" ht="15">
      <c r="F5610" s="115">
        <f>+(disponibilidad[[#This Row],[Fecha y hora fin]]-disponibilidad[[#This Row],[Fecha y hora inicio]])*1440</f>
        <v>0</v>
      </c>
    </row>
    <row r="5611" spans="6:6" ht="15">
      <c r="F5611" s="115">
        <f>+(disponibilidad[[#This Row],[Fecha y hora fin]]-disponibilidad[[#This Row],[Fecha y hora inicio]])*1440</f>
        <v>0</v>
      </c>
    </row>
    <row r="5612" spans="6:6" ht="15">
      <c r="F5612" s="115">
        <f>+(disponibilidad[[#This Row],[Fecha y hora fin]]-disponibilidad[[#This Row],[Fecha y hora inicio]])*1440</f>
        <v>0</v>
      </c>
    </row>
    <row r="5613" spans="6:6" ht="15">
      <c r="F5613" s="115">
        <f>+(disponibilidad[[#This Row],[Fecha y hora fin]]-disponibilidad[[#This Row],[Fecha y hora inicio]])*1440</f>
        <v>0</v>
      </c>
    </row>
    <row r="5614" spans="6:6" ht="15">
      <c r="F5614" s="115">
        <f>+(disponibilidad[[#This Row],[Fecha y hora fin]]-disponibilidad[[#This Row],[Fecha y hora inicio]])*1440</f>
        <v>0</v>
      </c>
    </row>
    <row r="5615" spans="6:6" ht="15">
      <c r="F5615" s="115">
        <f>+(disponibilidad[[#This Row],[Fecha y hora fin]]-disponibilidad[[#This Row],[Fecha y hora inicio]])*1440</f>
        <v>0</v>
      </c>
    </row>
    <row r="5616" spans="6:6" ht="15">
      <c r="F5616" s="115">
        <f>+(disponibilidad[[#This Row],[Fecha y hora fin]]-disponibilidad[[#This Row],[Fecha y hora inicio]])*1440</f>
        <v>0</v>
      </c>
    </row>
    <row r="5617" spans="6:6" ht="15">
      <c r="F5617" s="115">
        <f>+(disponibilidad[[#This Row],[Fecha y hora fin]]-disponibilidad[[#This Row],[Fecha y hora inicio]])*1440</f>
        <v>0</v>
      </c>
    </row>
    <row r="5618" spans="6:6" ht="15">
      <c r="F5618" s="115">
        <f>+(disponibilidad[[#This Row],[Fecha y hora fin]]-disponibilidad[[#This Row],[Fecha y hora inicio]])*1440</f>
        <v>0</v>
      </c>
    </row>
    <row r="5619" spans="6:6" ht="15">
      <c r="F5619" s="115">
        <f>+(disponibilidad[[#This Row],[Fecha y hora fin]]-disponibilidad[[#This Row],[Fecha y hora inicio]])*1440</f>
        <v>0</v>
      </c>
    </row>
    <row r="5620" spans="6:6" ht="15">
      <c r="F5620" s="115">
        <f>+(disponibilidad[[#This Row],[Fecha y hora fin]]-disponibilidad[[#This Row],[Fecha y hora inicio]])*1440</f>
        <v>0</v>
      </c>
    </row>
    <row r="5621" spans="6:6" ht="15">
      <c r="F5621" s="115">
        <f>+(disponibilidad[[#This Row],[Fecha y hora fin]]-disponibilidad[[#This Row],[Fecha y hora inicio]])*1440</f>
        <v>0</v>
      </c>
    </row>
    <row r="5622" spans="6:6" ht="15">
      <c r="F5622" s="115">
        <f>+(disponibilidad[[#This Row],[Fecha y hora fin]]-disponibilidad[[#This Row],[Fecha y hora inicio]])*1440</f>
        <v>0</v>
      </c>
    </row>
    <row r="5623" spans="6:6" ht="15">
      <c r="F5623" s="115">
        <f>+(disponibilidad[[#This Row],[Fecha y hora fin]]-disponibilidad[[#This Row],[Fecha y hora inicio]])*1440</f>
        <v>0</v>
      </c>
    </row>
    <row r="5624" spans="6:6" ht="15">
      <c r="F5624" s="115">
        <f>+(disponibilidad[[#This Row],[Fecha y hora fin]]-disponibilidad[[#This Row],[Fecha y hora inicio]])*1440</f>
        <v>0</v>
      </c>
    </row>
    <row r="5625" spans="6:6" ht="15">
      <c r="F5625" s="115">
        <f>+(disponibilidad[[#This Row],[Fecha y hora fin]]-disponibilidad[[#This Row],[Fecha y hora inicio]])*1440</f>
        <v>0</v>
      </c>
    </row>
    <row r="5626" spans="6:6" ht="15">
      <c r="F5626" s="115">
        <f>+(disponibilidad[[#This Row],[Fecha y hora fin]]-disponibilidad[[#This Row],[Fecha y hora inicio]])*1440</f>
        <v>0</v>
      </c>
    </row>
    <row r="5627" spans="6:6" ht="15">
      <c r="F5627" s="115">
        <f>+(disponibilidad[[#This Row],[Fecha y hora fin]]-disponibilidad[[#This Row],[Fecha y hora inicio]])*1440</f>
        <v>0</v>
      </c>
    </row>
    <row r="5628" spans="6:6" ht="15">
      <c r="F5628" s="115">
        <f>+(disponibilidad[[#This Row],[Fecha y hora fin]]-disponibilidad[[#This Row],[Fecha y hora inicio]])*1440</f>
        <v>0</v>
      </c>
    </row>
    <row r="5629" spans="6:6" ht="15">
      <c r="F5629" s="115">
        <f>+(disponibilidad[[#This Row],[Fecha y hora fin]]-disponibilidad[[#This Row],[Fecha y hora inicio]])*1440</f>
        <v>0</v>
      </c>
    </row>
    <row r="5630" spans="6:6" ht="15">
      <c r="F5630" s="115">
        <f>+(disponibilidad[[#This Row],[Fecha y hora fin]]-disponibilidad[[#This Row],[Fecha y hora inicio]])*1440</f>
        <v>0</v>
      </c>
    </row>
    <row r="5631" spans="6:6" ht="15">
      <c r="F5631" s="115">
        <f>+(disponibilidad[[#This Row],[Fecha y hora fin]]-disponibilidad[[#This Row],[Fecha y hora inicio]])*1440</f>
        <v>0</v>
      </c>
    </row>
    <row r="5632" spans="6:6" ht="15">
      <c r="F5632" s="115">
        <f>+(disponibilidad[[#This Row],[Fecha y hora fin]]-disponibilidad[[#This Row],[Fecha y hora inicio]])*1440</f>
        <v>0</v>
      </c>
    </row>
    <row r="5633" spans="6:6" ht="15">
      <c r="F5633" s="115">
        <f>+(disponibilidad[[#This Row],[Fecha y hora fin]]-disponibilidad[[#This Row],[Fecha y hora inicio]])*1440</f>
        <v>0</v>
      </c>
    </row>
    <row r="5634" spans="6:6" ht="15">
      <c r="F5634" s="115">
        <f>+(disponibilidad[[#This Row],[Fecha y hora fin]]-disponibilidad[[#This Row],[Fecha y hora inicio]])*1440</f>
        <v>0</v>
      </c>
    </row>
    <row r="5635" spans="6:6" ht="15">
      <c r="F5635" s="115">
        <f>+(disponibilidad[[#This Row],[Fecha y hora fin]]-disponibilidad[[#This Row],[Fecha y hora inicio]])*1440</f>
        <v>0</v>
      </c>
    </row>
    <row r="5636" spans="6:6" ht="15">
      <c r="F5636" s="115">
        <f>+(disponibilidad[[#This Row],[Fecha y hora fin]]-disponibilidad[[#This Row],[Fecha y hora inicio]])*1440</f>
        <v>0</v>
      </c>
    </row>
    <row r="5637" spans="6:6" ht="15">
      <c r="F5637" s="115">
        <f>+(disponibilidad[[#This Row],[Fecha y hora fin]]-disponibilidad[[#This Row],[Fecha y hora inicio]])*1440</f>
        <v>0</v>
      </c>
    </row>
    <row r="5638" spans="6:6" ht="15">
      <c r="F5638" s="115">
        <f>+(disponibilidad[[#This Row],[Fecha y hora fin]]-disponibilidad[[#This Row],[Fecha y hora inicio]])*1440</f>
        <v>0</v>
      </c>
    </row>
    <row r="5639" spans="6:6" ht="15">
      <c r="F5639" s="115">
        <f>+(disponibilidad[[#This Row],[Fecha y hora fin]]-disponibilidad[[#This Row],[Fecha y hora inicio]])*1440</f>
        <v>0</v>
      </c>
    </row>
    <row r="5640" spans="6:6" ht="15">
      <c r="F5640" s="115">
        <f>+(disponibilidad[[#This Row],[Fecha y hora fin]]-disponibilidad[[#This Row],[Fecha y hora inicio]])*1440</f>
        <v>0</v>
      </c>
    </row>
    <row r="5641" spans="6:6" ht="15">
      <c r="F5641" s="115">
        <f>+(disponibilidad[[#This Row],[Fecha y hora fin]]-disponibilidad[[#This Row],[Fecha y hora inicio]])*1440</f>
        <v>0</v>
      </c>
    </row>
    <row r="5642" spans="6:6" ht="15">
      <c r="F5642" s="115">
        <f>+(disponibilidad[[#This Row],[Fecha y hora fin]]-disponibilidad[[#This Row],[Fecha y hora inicio]])*1440</f>
        <v>0</v>
      </c>
    </row>
    <row r="5643" spans="6:6" ht="15">
      <c r="F5643" s="115">
        <f>+(disponibilidad[[#This Row],[Fecha y hora fin]]-disponibilidad[[#This Row],[Fecha y hora inicio]])*1440</f>
        <v>0</v>
      </c>
    </row>
    <row r="5644" spans="6:6" ht="15">
      <c r="F5644" s="115">
        <f>+(disponibilidad[[#This Row],[Fecha y hora fin]]-disponibilidad[[#This Row],[Fecha y hora inicio]])*1440</f>
        <v>0</v>
      </c>
    </row>
    <row r="5645" spans="6:6" ht="15">
      <c r="F5645" s="115">
        <f>+(disponibilidad[[#This Row],[Fecha y hora fin]]-disponibilidad[[#This Row],[Fecha y hora inicio]])*1440</f>
        <v>0</v>
      </c>
    </row>
    <row r="5646" spans="6:6" ht="15">
      <c r="F5646" s="115">
        <f>+(disponibilidad[[#This Row],[Fecha y hora fin]]-disponibilidad[[#This Row],[Fecha y hora inicio]])*1440</f>
        <v>0</v>
      </c>
    </row>
    <row r="5647" spans="6:6" ht="15">
      <c r="F5647" s="115">
        <f>+(disponibilidad[[#This Row],[Fecha y hora fin]]-disponibilidad[[#This Row],[Fecha y hora inicio]])*1440</f>
        <v>0</v>
      </c>
    </row>
    <row r="5648" spans="6:6" ht="15">
      <c r="F5648" s="115">
        <f>+(disponibilidad[[#This Row],[Fecha y hora fin]]-disponibilidad[[#This Row],[Fecha y hora inicio]])*1440</f>
        <v>0</v>
      </c>
    </row>
    <row r="5649" spans="6:6" ht="15">
      <c r="F5649" s="115">
        <f>+(disponibilidad[[#This Row],[Fecha y hora fin]]-disponibilidad[[#This Row],[Fecha y hora inicio]])*1440</f>
        <v>0</v>
      </c>
    </row>
    <row r="5650" spans="6:6" ht="15">
      <c r="F5650" s="115">
        <f>+(disponibilidad[[#This Row],[Fecha y hora fin]]-disponibilidad[[#This Row],[Fecha y hora inicio]])*1440</f>
        <v>0</v>
      </c>
    </row>
    <row r="5651" spans="6:6" ht="15">
      <c r="F5651" s="115">
        <f>+(disponibilidad[[#This Row],[Fecha y hora fin]]-disponibilidad[[#This Row],[Fecha y hora inicio]])*1440</f>
        <v>0</v>
      </c>
    </row>
    <row r="5652" spans="6:6" ht="15">
      <c r="F5652" s="115">
        <f>+(disponibilidad[[#This Row],[Fecha y hora fin]]-disponibilidad[[#This Row],[Fecha y hora inicio]])*1440</f>
        <v>0</v>
      </c>
    </row>
    <row r="5653" spans="6:6" ht="15">
      <c r="F5653" s="115">
        <f>+(disponibilidad[[#This Row],[Fecha y hora fin]]-disponibilidad[[#This Row],[Fecha y hora inicio]])*1440</f>
        <v>0</v>
      </c>
    </row>
    <row r="5654" spans="6:6" ht="15">
      <c r="F5654" s="115">
        <f>+(disponibilidad[[#This Row],[Fecha y hora fin]]-disponibilidad[[#This Row],[Fecha y hora inicio]])*1440</f>
        <v>0</v>
      </c>
    </row>
    <row r="5655" spans="6:6" ht="15">
      <c r="F5655" s="115">
        <f>+(disponibilidad[[#This Row],[Fecha y hora fin]]-disponibilidad[[#This Row],[Fecha y hora inicio]])*1440</f>
        <v>0</v>
      </c>
    </row>
    <row r="5656" spans="6:6" ht="15">
      <c r="F5656" s="115">
        <f>+(disponibilidad[[#This Row],[Fecha y hora fin]]-disponibilidad[[#This Row],[Fecha y hora inicio]])*1440</f>
        <v>0</v>
      </c>
    </row>
    <row r="5657" spans="6:6" ht="15">
      <c r="F5657" s="115">
        <f>+(disponibilidad[[#This Row],[Fecha y hora fin]]-disponibilidad[[#This Row],[Fecha y hora inicio]])*1440</f>
        <v>0</v>
      </c>
    </row>
    <row r="5658" spans="6:6" ht="15">
      <c r="F5658" s="115">
        <f>+(disponibilidad[[#This Row],[Fecha y hora fin]]-disponibilidad[[#This Row],[Fecha y hora inicio]])*1440</f>
        <v>0</v>
      </c>
    </row>
    <row r="5659" spans="6:6" ht="15">
      <c r="F5659" s="115">
        <f>+(disponibilidad[[#This Row],[Fecha y hora fin]]-disponibilidad[[#This Row],[Fecha y hora inicio]])*1440</f>
        <v>0</v>
      </c>
    </row>
    <row r="5660" spans="6:6" ht="15">
      <c r="F5660" s="115">
        <f>+(disponibilidad[[#This Row],[Fecha y hora fin]]-disponibilidad[[#This Row],[Fecha y hora inicio]])*1440</f>
        <v>0</v>
      </c>
    </row>
    <row r="5661" spans="6:6" ht="15">
      <c r="F5661" s="115">
        <f>+(disponibilidad[[#This Row],[Fecha y hora fin]]-disponibilidad[[#This Row],[Fecha y hora inicio]])*1440</f>
        <v>0</v>
      </c>
    </row>
    <row r="5662" spans="6:6" ht="15">
      <c r="F5662" s="115">
        <f>+(disponibilidad[[#This Row],[Fecha y hora fin]]-disponibilidad[[#This Row],[Fecha y hora inicio]])*1440</f>
        <v>0</v>
      </c>
    </row>
    <row r="5663" spans="6:6" ht="15">
      <c r="F5663" s="115">
        <f>+(disponibilidad[[#This Row],[Fecha y hora fin]]-disponibilidad[[#This Row],[Fecha y hora inicio]])*1440</f>
        <v>0</v>
      </c>
    </row>
    <row r="5664" spans="6:6" ht="15">
      <c r="F5664" s="115">
        <f>+(disponibilidad[[#This Row],[Fecha y hora fin]]-disponibilidad[[#This Row],[Fecha y hora inicio]])*1440</f>
        <v>0</v>
      </c>
    </row>
    <row r="5665" spans="6:6" ht="15">
      <c r="F5665" s="115">
        <f>+(disponibilidad[[#This Row],[Fecha y hora fin]]-disponibilidad[[#This Row],[Fecha y hora inicio]])*1440</f>
        <v>0</v>
      </c>
    </row>
    <row r="5666" spans="6:6" ht="15">
      <c r="F5666" s="115">
        <f>+(disponibilidad[[#This Row],[Fecha y hora fin]]-disponibilidad[[#This Row],[Fecha y hora inicio]])*1440</f>
        <v>0</v>
      </c>
    </row>
    <row r="5667" spans="6:6" ht="15">
      <c r="F5667" s="115">
        <f>+(disponibilidad[[#This Row],[Fecha y hora fin]]-disponibilidad[[#This Row],[Fecha y hora inicio]])*1440</f>
        <v>0</v>
      </c>
    </row>
    <row r="5668" spans="6:6" ht="15">
      <c r="F5668" s="115">
        <f>+(disponibilidad[[#This Row],[Fecha y hora fin]]-disponibilidad[[#This Row],[Fecha y hora inicio]])*1440</f>
        <v>0</v>
      </c>
    </row>
    <row r="5669" spans="6:6" ht="15">
      <c r="F5669" s="115">
        <f>+(disponibilidad[[#This Row],[Fecha y hora fin]]-disponibilidad[[#This Row],[Fecha y hora inicio]])*1440</f>
        <v>0</v>
      </c>
    </row>
    <row r="5670" spans="6:6" ht="15">
      <c r="F5670" s="115">
        <f>+(disponibilidad[[#This Row],[Fecha y hora fin]]-disponibilidad[[#This Row],[Fecha y hora inicio]])*1440</f>
        <v>0</v>
      </c>
    </row>
    <row r="5671" spans="6:6" ht="15">
      <c r="F5671" s="115">
        <f>+(disponibilidad[[#This Row],[Fecha y hora fin]]-disponibilidad[[#This Row],[Fecha y hora inicio]])*1440</f>
        <v>0</v>
      </c>
    </row>
    <row r="5672" spans="6:6" ht="15">
      <c r="F5672" s="115">
        <f>+(disponibilidad[[#This Row],[Fecha y hora fin]]-disponibilidad[[#This Row],[Fecha y hora inicio]])*1440</f>
        <v>0</v>
      </c>
    </row>
    <row r="5673" spans="6:6" ht="15">
      <c r="F5673" s="115">
        <f>+(disponibilidad[[#This Row],[Fecha y hora fin]]-disponibilidad[[#This Row],[Fecha y hora inicio]])*1440</f>
        <v>0</v>
      </c>
    </row>
    <row r="5674" spans="6:6" ht="15">
      <c r="F5674" s="115">
        <f>+(disponibilidad[[#This Row],[Fecha y hora fin]]-disponibilidad[[#This Row],[Fecha y hora inicio]])*1440</f>
        <v>0</v>
      </c>
    </row>
    <row r="5675" spans="6:6" ht="15">
      <c r="F5675" s="115">
        <f>+(disponibilidad[[#This Row],[Fecha y hora fin]]-disponibilidad[[#This Row],[Fecha y hora inicio]])*1440</f>
        <v>0</v>
      </c>
    </row>
    <row r="5676" spans="6:6" ht="15">
      <c r="F5676" s="115">
        <f>+(disponibilidad[[#This Row],[Fecha y hora fin]]-disponibilidad[[#This Row],[Fecha y hora inicio]])*1440</f>
        <v>0</v>
      </c>
    </row>
    <row r="5677" spans="6:6" ht="15">
      <c r="F5677" s="115">
        <f>+(disponibilidad[[#This Row],[Fecha y hora fin]]-disponibilidad[[#This Row],[Fecha y hora inicio]])*1440</f>
        <v>0</v>
      </c>
    </row>
    <row r="5678" spans="6:6" ht="15">
      <c r="F5678" s="115">
        <f>+(disponibilidad[[#This Row],[Fecha y hora fin]]-disponibilidad[[#This Row],[Fecha y hora inicio]])*1440</f>
        <v>0</v>
      </c>
    </row>
    <row r="5679" spans="6:6" ht="15">
      <c r="F5679" s="115">
        <f>+(disponibilidad[[#This Row],[Fecha y hora fin]]-disponibilidad[[#This Row],[Fecha y hora inicio]])*1440</f>
        <v>0</v>
      </c>
    </row>
    <row r="5680" spans="6:6" ht="15">
      <c r="F5680" s="115">
        <f>+(disponibilidad[[#This Row],[Fecha y hora fin]]-disponibilidad[[#This Row],[Fecha y hora inicio]])*1440</f>
        <v>0</v>
      </c>
    </row>
    <row r="5681" spans="6:6" ht="15">
      <c r="F5681" s="115">
        <f>+(disponibilidad[[#This Row],[Fecha y hora fin]]-disponibilidad[[#This Row],[Fecha y hora inicio]])*1440</f>
        <v>0</v>
      </c>
    </row>
    <row r="5682" spans="6:6" ht="15">
      <c r="F5682" s="115">
        <f>+(disponibilidad[[#This Row],[Fecha y hora fin]]-disponibilidad[[#This Row],[Fecha y hora inicio]])*1440</f>
        <v>0</v>
      </c>
    </row>
    <row r="5683" spans="6:6" ht="15">
      <c r="F5683" s="115">
        <f>+(disponibilidad[[#This Row],[Fecha y hora fin]]-disponibilidad[[#This Row],[Fecha y hora inicio]])*1440</f>
        <v>0</v>
      </c>
    </row>
    <row r="5684" spans="6:6" ht="15">
      <c r="F5684" s="115">
        <f>+(disponibilidad[[#This Row],[Fecha y hora fin]]-disponibilidad[[#This Row],[Fecha y hora inicio]])*1440</f>
        <v>0</v>
      </c>
    </row>
    <row r="5685" spans="6:6" ht="15">
      <c r="F5685" s="115">
        <f>+(disponibilidad[[#This Row],[Fecha y hora fin]]-disponibilidad[[#This Row],[Fecha y hora inicio]])*1440</f>
        <v>0</v>
      </c>
    </row>
    <row r="5686" spans="6:6" ht="15">
      <c r="F5686" s="115">
        <f>+(disponibilidad[[#This Row],[Fecha y hora fin]]-disponibilidad[[#This Row],[Fecha y hora inicio]])*1440</f>
        <v>0</v>
      </c>
    </row>
    <row r="5687" spans="6:6" ht="15">
      <c r="F5687" s="115">
        <f>+(disponibilidad[[#This Row],[Fecha y hora fin]]-disponibilidad[[#This Row],[Fecha y hora inicio]])*1440</f>
        <v>0</v>
      </c>
    </row>
    <row r="5688" spans="6:6" ht="15">
      <c r="F5688" s="115">
        <f>+(disponibilidad[[#This Row],[Fecha y hora fin]]-disponibilidad[[#This Row],[Fecha y hora inicio]])*1440</f>
        <v>0</v>
      </c>
    </row>
    <row r="5689" spans="6:6" ht="15">
      <c r="F5689" s="115">
        <f>+(disponibilidad[[#This Row],[Fecha y hora fin]]-disponibilidad[[#This Row],[Fecha y hora inicio]])*1440</f>
        <v>0</v>
      </c>
    </row>
    <row r="5690" spans="6:6" ht="15">
      <c r="F5690" s="115">
        <f>+(disponibilidad[[#This Row],[Fecha y hora fin]]-disponibilidad[[#This Row],[Fecha y hora inicio]])*1440</f>
        <v>0</v>
      </c>
    </row>
    <row r="5691" spans="6:6" ht="15">
      <c r="F5691" s="115">
        <f>+(disponibilidad[[#This Row],[Fecha y hora fin]]-disponibilidad[[#This Row],[Fecha y hora inicio]])*1440</f>
        <v>0</v>
      </c>
    </row>
    <row r="5692" spans="6:6" ht="15">
      <c r="F5692" s="115">
        <f>+(disponibilidad[[#This Row],[Fecha y hora fin]]-disponibilidad[[#This Row],[Fecha y hora inicio]])*1440</f>
        <v>0</v>
      </c>
    </row>
    <row r="5693" spans="6:6" ht="15">
      <c r="F5693" s="115">
        <f>+(disponibilidad[[#This Row],[Fecha y hora fin]]-disponibilidad[[#This Row],[Fecha y hora inicio]])*1440</f>
        <v>0</v>
      </c>
    </row>
    <row r="5694" spans="6:6" ht="15">
      <c r="F5694" s="115">
        <f>+(disponibilidad[[#This Row],[Fecha y hora fin]]-disponibilidad[[#This Row],[Fecha y hora inicio]])*1440</f>
        <v>0</v>
      </c>
    </row>
    <row r="5695" spans="6:6" ht="15">
      <c r="F5695" s="115">
        <f>+(disponibilidad[[#This Row],[Fecha y hora fin]]-disponibilidad[[#This Row],[Fecha y hora inicio]])*1440</f>
        <v>0</v>
      </c>
    </row>
    <row r="5696" spans="6:6" ht="15">
      <c r="F5696" s="115">
        <f>+(disponibilidad[[#This Row],[Fecha y hora fin]]-disponibilidad[[#This Row],[Fecha y hora inicio]])*1440</f>
        <v>0</v>
      </c>
    </row>
    <row r="5697" spans="6:6" ht="15">
      <c r="F5697" s="115">
        <f>+(disponibilidad[[#This Row],[Fecha y hora fin]]-disponibilidad[[#This Row],[Fecha y hora inicio]])*1440</f>
        <v>0</v>
      </c>
    </row>
    <row r="5698" spans="6:6" ht="15">
      <c r="F5698" s="115">
        <f>+(disponibilidad[[#This Row],[Fecha y hora fin]]-disponibilidad[[#This Row],[Fecha y hora inicio]])*1440</f>
        <v>0</v>
      </c>
    </row>
    <row r="5699" spans="6:6" ht="15">
      <c r="F5699" s="115">
        <f>+(disponibilidad[[#This Row],[Fecha y hora fin]]-disponibilidad[[#This Row],[Fecha y hora inicio]])*1440</f>
        <v>0</v>
      </c>
    </row>
    <row r="5700" spans="6:6" ht="15">
      <c r="F5700" s="115">
        <f>+(disponibilidad[[#This Row],[Fecha y hora fin]]-disponibilidad[[#This Row],[Fecha y hora inicio]])*1440</f>
        <v>0</v>
      </c>
    </row>
    <row r="5701" spans="6:6" ht="15">
      <c r="F5701" s="115">
        <f>+(disponibilidad[[#This Row],[Fecha y hora fin]]-disponibilidad[[#This Row],[Fecha y hora inicio]])*1440</f>
        <v>0</v>
      </c>
    </row>
    <row r="5702" spans="6:6" ht="15">
      <c r="F5702" s="115">
        <f>+(disponibilidad[[#This Row],[Fecha y hora fin]]-disponibilidad[[#This Row],[Fecha y hora inicio]])*1440</f>
        <v>0</v>
      </c>
    </row>
    <row r="5703" spans="6:6" ht="15">
      <c r="F5703" s="115">
        <f>+(disponibilidad[[#This Row],[Fecha y hora fin]]-disponibilidad[[#This Row],[Fecha y hora inicio]])*1440</f>
        <v>0</v>
      </c>
    </row>
    <row r="5704" spans="6:6" ht="15">
      <c r="F5704" s="115">
        <f>+(disponibilidad[[#This Row],[Fecha y hora fin]]-disponibilidad[[#This Row],[Fecha y hora inicio]])*1440</f>
        <v>0</v>
      </c>
    </row>
    <row r="5705" spans="6:6" ht="15">
      <c r="F5705" s="115">
        <f>+(disponibilidad[[#This Row],[Fecha y hora fin]]-disponibilidad[[#This Row],[Fecha y hora inicio]])*1440</f>
        <v>0</v>
      </c>
    </row>
    <row r="5706" spans="6:6" ht="15">
      <c r="F5706" s="115">
        <f>+(disponibilidad[[#This Row],[Fecha y hora fin]]-disponibilidad[[#This Row],[Fecha y hora inicio]])*1440</f>
        <v>0</v>
      </c>
    </row>
    <row r="5707" spans="6:6" ht="15">
      <c r="F5707" s="115">
        <f>+(disponibilidad[[#This Row],[Fecha y hora fin]]-disponibilidad[[#This Row],[Fecha y hora inicio]])*1440</f>
        <v>0</v>
      </c>
    </row>
    <row r="5708" spans="6:6" ht="15">
      <c r="F5708" s="115">
        <f>+(disponibilidad[[#This Row],[Fecha y hora fin]]-disponibilidad[[#This Row],[Fecha y hora inicio]])*1440</f>
        <v>0</v>
      </c>
    </row>
    <row r="5709" spans="6:6" ht="15">
      <c r="F5709" s="115">
        <f>+(disponibilidad[[#This Row],[Fecha y hora fin]]-disponibilidad[[#This Row],[Fecha y hora inicio]])*1440</f>
        <v>0</v>
      </c>
    </row>
    <row r="5710" spans="6:6" ht="15">
      <c r="F5710" s="115">
        <f>+(disponibilidad[[#This Row],[Fecha y hora fin]]-disponibilidad[[#This Row],[Fecha y hora inicio]])*1440</f>
        <v>0</v>
      </c>
    </row>
    <row r="5711" spans="6:6" ht="15">
      <c r="F5711" s="115">
        <f>+(disponibilidad[[#This Row],[Fecha y hora fin]]-disponibilidad[[#This Row],[Fecha y hora inicio]])*1440</f>
        <v>0</v>
      </c>
    </row>
    <row r="5712" spans="6:6" ht="15">
      <c r="F5712" s="115">
        <f>+(disponibilidad[[#This Row],[Fecha y hora fin]]-disponibilidad[[#This Row],[Fecha y hora inicio]])*1440</f>
        <v>0</v>
      </c>
    </row>
    <row r="5713" spans="6:6" ht="15">
      <c r="F5713" s="115">
        <f>+(disponibilidad[[#This Row],[Fecha y hora fin]]-disponibilidad[[#This Row],[Fecha y hora inicio]])*1440</f>
        <v>0</v>
      </c>
    </row>
    <row r="5714" spans="6:6" ht="15">
      <c r="F5714" s="115">
        <f>+(disponibilidad[[#This Row],[Fecha y hora fin]]-disponibilidad[[#This Row],[Fecha y hora inicio]])*1440</f>
        <v>0</v>
      </c>
    </row>
    <row r="5715" spans="6:6" ht="15">
      <c r="F5715" s="115">
        <f>+(disponibilidad[[#This Row],[Fecha y hora fin]]-disponibilidad[[#This Row],[Fecha y hora inicio]])*1440</f>
        <v>0</v>
      </c>
    </row>
    <row r="5716" spans="6:6" ht="15">
      <c r="F5716" s="115">
        <f>+(disponibilidad[[#This Row],[Fecha y hora fin]]-disponibilidad[[#This Row],[Fecha y hora inicio]])*1440</f>
        <v>0</v>
      </c>
    </row>
    <row r="5717" spans="6:6" ht="15">
      <c r="F5717" s="115">
        <f>+(disponibilidad[[#This Row],[Fecha y hora fin]]-disponibilidad[[#This Row],[Fecha y hora inicio]])*1440</f>
        <v>0</v>
      </c>
    </row>
    <row r="5718" spans="6:6" ht="15">
      <c r="F5718" s="115">
        <f>+(disponibilidad[[#This Row],[Fecha y hora fin]]-disponibilidad[[#This Row],[Fecha y hora inicio]])*1440</f>
        <v>0</v>
      </c>
    </row>
    <row r="5719" spans="6:6" ht="15">
      <c r="F5719" s="115">
        <f>+(disponibilidad[[#This Row],[Fecha y hora fin]]-disponibilidad[[#This Row],[Fecha y hora inicio]])*1440</f>
        <v>0</v>
      </c>
    </row>
    <row r="5720" spans="6:6" ht="15">
      <c r="F5720" s="115">
        <f>+(disponibilidad[[#This Row],[Fecha y hora fin]]-disponibilidad[[#This Row],[Fecha y hora inicio]])*1440</f>
        <v>0</v>
      </c>
    </row>
    <row r="5721" spans="6:6" ht="15">
      <c r="F5721" s="115">
        <f>+(disponibilidad[[#This Row],[Fecha y hora fin]]-disponibilidad[[#This Row],[Fecha y hora inicio]])*1440</f>
        <v>0</v>
      </c>
    </row>
    <row r="5722" spans="6:6" ht="15">
      <c r="F5722" s="115">
        <f>+(disponibilidad[[#This Row],[Fecha y hora fin]]-disponibilidad[[#This Row],[Fecha y hora inicio]])*1440</f>
        <v>0</v>
      </c>
    </row>
    <row r="5723" spans="6:6" ht="15">
      <c r="F5723" s="115">
        <f>+(disponibilidad[[#This Row],[Fecha y hora fin]]-disponibilidad[[#This Row],[Fecha y hora inicio]])*1440</f>
        <v>0</v>
      </c>
    </row>
    <row r="5724" spans="6:6" ht="15">
      <c r="F5724" s="115">
        <f>+(disponibilidad[[#This Row],[Fecha y hora fin]]-disponibilidad[[#This Row],[Fecha y hora inicio]])*1440</f>
        <v>0</v>
      </c>
    </row>
    <row r="5725" spans="6:6" ht="15">
      <c r="F5725" s="115">
        <f>+(disponibilidad[[#This Row],[Fecha y hora fin]]-disponibilidad[[#This Row],[Fecha y hora inicio]])*1440</f>
        <v>0</v>
      </c>
    </row>
    <row r="5726" spans="6:6" ht="15">
      <c r="F5726" s="115">
        <f>+(disponibilidad[[#This Row],[Fecha y hora fin]]-disponibilidad[[#This Row],[Fecha y hora inicio]])*1440</f>
        <v>0</v>
      </c>
    </row>
    <row r="5727" spans="6:6" ht="15">
      <c r="F5727" s="115">
        <f>+(disponibilidad[[#This Row],[Fecha y hora fin]]-disponibilidad[[#This Row],[Fecha y hora inicio]])*1440</f>
        <v>0</v>
      </c>
    </row>
    <row r="5728" spans="6:6" ht="15">
      <c r="F5728" s="115">
        <f>+(disponibilidad[[#This Row],[Fecha y hora fin]]-disponibilidad[[#This Row],[Fecha y hora inicio]])*1440</f>
        <v>0</v>
      </c>
    </row>
    <row r="5729" spans="6:6" ht="15">
      <c r="F5729" s="115">
        <f>+(disponibilidad[[#This Row],[Fecha y hora fin]]-disponibilidad[[#This Row],[Fecha y hora inicio]])*1440</f>
        <v>0</v>
      </c>
    </row>
    <row r="5730" spans="6:6" ht="15">
      <c r="F5730" s="115">
        <f>+(disponibilidad[[#This Row],[Fecha y hora fin]]-disponibilidad[[#This Row],[Fecha y hora inicio]])*1440</f>
        <v>0</v>
      </c>
    </row>
    <row r="5731" spans="6:6" ht="15">
      <c r="F5731" s="115">
        <f>+(disponibilidad[[#This Row],[Fecha y hora fin]]-disponibilidad[[#This Row],[Fecha y hora inicio]])*1440</f>
        <v>0</v>
      </c>
    </row>
    <row r="5732" spans="6:6" ht="15">
      <c r="F5732" s="115">
        <f>+(disponibilidad[[#This Row],[Fecha y hora fin]]-disponibilidad[[#This Row],[Fecha y hora inicio]])*1440</f>
        <v>0</v>
      </c>
    </row>
    <row r="5733" spans="6:6" ht="15">
      <c r="F5733" s="115">
        <f>+(disponibilidad[[#This Row],[Fecha y hora fin]]-disponibilidad[[#This Row],[Fecha y hora inicio]])*1440</f>
        <v>0</v>
      </c>
    </row>
    <row r="5734" spans="6:6" ht="15">
      <c r="F5734" s="115">
        <f>+(disponibilidad[[#This Row],[Fecha y hora fin]]-disponibilidad[[#This Row],[Fecha y hora inicio]])*1440</f>
        <v>0</v>
      </c>
    </row>
    <row r="5735" spans="6:6" ht="15">
      <c r="F5735" s="115">
        <f>+(disponibilidad[[#This Row],[Fecha y hora fin]]-disponibilidad[[#This Row],[Fecha y hora inicio]])*1440</f>
        <v>0</v>
      </c>
    </row>
    <row r="5736" spans="6:6" ht="15">
      <c r="F5736" s="115">
        <f>+(disponibilidad[[#This Row],[Fecha y hora fin]]-disponibilidad[[#This Row],[Fecha y hora inicio]])*1440</f>
        <v>0</v>
      </c>
    </row>
    <row r="5737" spans="6:6" ht="15">
      <c r="F5737" s="115">
        <f>+(disponibilidad[[#This Row],[Fecha y hora fin]]-disponibilidad[[#This Row],[Fecha y hora inicio]])*1440</f>
        <v>0</v>
      </c>
    </row>
    <row r="5738" spans="6:6" ht="15">
      <c r="F5738" s="115">
        <f>+(disponibilidad[[#This Row],[Fecha y hora fin]]-disponibilidad[[#This Row],[Fecha y hora inicio]])*1440</f>
        <v>0</v>
      </c>
    </row>
    <row r="5739" spans="6:6" ht="15">
      <c r="F5739" s="115">
        <f>+(disponibilidad[[#This Row],[Fecha y hora fin]]-disponibilidad[[#This Row],[Fecha y hora inicio]])*1440</f>
        <v>0</v>
      </c>
    </row>
    <row r="5740" spans="6:6" ht="15">
      <c r="F5740" s="115">
        <f>+(disponibilidad[[#This Row],[Fecha y hora fin]]-disponibilidad[[#This Row],[Fecha y hora inicio]])*1440</f>
        <v>0</v>
      </c>
    </row>
    <row r="5741" spans="6:6" ht="15">
      <c r="F5741" s="115">
        <f>+(disponibilidad[[#This Row],[Fecha y hora fin]]-disponibilidad[[#This Row],[Fecha y hora inicio]])*1440</f>
        <v>0</v>
      </c>
    </row>
    <row r="5742" spans="6:6" ht="15">
      <c r="F5742" s="115">
        <f>+(disponibilidad[[#This Row],[Fecha y hora fin]]-disponibilidad[[#This Row],[Fecha y hora inicio]])*1440</f>
        <v>0</v>
      </c>
    </row>
    <row r="5743" spans="6:6" ht="15">
      <c r="F5743" s="115">
        <f>+(disponibilidad[[#This Row],[Fecha y hora fin]]-disponibilidad[[#This Row],[Fecha y hora inicio]])*1440</f>
        <v>0</v>
      </c>
    </row>
    <row r="5744" spans="6:6" ht="15">
      <c r="F5744" s="115">
        <f>+(disponibilidad[[#This Row],[Fecha y hora fin]]-disponibilidad[[#This Row],[Fecha y hora inicio]])*1440</f>
        <v>0</v>
      </c>
    </row>
    <row r="5745" spans="6:6" ht="15">
      <c r="F5745" s="115">
        <f>+(disponibilidad[[#This Row],[Fecha y hora fin]]-disponibilidad[[#This Row],[Fecha y hora inicio]])*1440</f>
        <v>0</v>
      </c>
    </row>
    <row r="5746" spans="6:6" ht="15">
      <c r="F5746" s="115">
        <f>+(disponibilidad[[#This Row],[Fecha y hora fin]]-disponibilidad[[#This Row],[Fecha y hora inicio]])*1440</f>
        <v>0</v>
      </c>
    </row>
    <row r="5747" spans="6:6" ht="15">
      <c r="F5747" s="115">
        <f>+(disponibilidad[[#This Row],[Fecha y hora fin]]-disponibilidad[[#This Row],[Fecha y hora inicio]])*1440</f>
        <v>0</v>
      </c>
    </row>
    <row r="5748" spans="6:6" ht="15">
      <c r="F5748" s="115">
        <f>+(disponibilidad[[#This Row],[Fecha y hora fin]]-disponibilidad[[#This Row],[Fecha y hora inicio]])*1440</f>
        <v>0</v>
      </c>
    </row>
    <row r="5749" spans="6:6" ht="15">
      <c r="F5749" s="115">
        <f>+(disponibilidad[[#This Row],[Fecha y hora fin]]-disponibilidad[[#This Row],[Fecha y hora inicio]])*1440</f>
        <v>0</v>
      </c>
    </row>
    <row r="5750" spans="6:6" ht="15">
      <c r="F5750" s="115">
        <f>+(disponibilidad[[#This Row],[Fecha y hora fin]]-disponibilidad[[#This Row],[Fecha y hora inicio]])*1440</f>
        <v>0</v>
      </c>
    </row>
    <row r="5751" spans="6:6" ht="15">
      <c r="F5751" s="115">
        <f>+(disponibilidad[[#This Row],[Fecha y hora fin]]-disponibilidad[[#This Row],[Fecha y hora inicio]])*1440</f>
        <v>0</v>
      </c>
    </row>
    <row r="5752" spans="6:6" ht="15">
      <c r="F5752" s="115">
        <f>+(disponibilidad[[#This Row],[Fecha y hora fin]]-disponibilidad[[#This Row],[Fecha y hora inicio]])*1440</f>
        <v>0</v>
      </c>
    </row>
    <row r="5753" spans="6:6" ht="15">
      <c r="F5753" s="115">
        <f>+(disponibilidad[[#This Row],[Fecha y hora fin]]-disponibilidad[[#This Row],[Fecha y hora inicio]])*1440</f>
        <v>0</v>
      </c>
    </row>
    <row r="5754" spans="6:6" ht="15">
      <c r="F5754" s="115">
        <f>+(disponibilidad[[#This Row],[Fecha y hora fin]]-disponibilidad[[#This Row],[Fecha y hora inicio]])*1440</f>
        <v>0</v>
      </c>
    </row>
    <row r="5755" spans="6:6" ht="15">
      <c r="F5755" s="115">
        <f>+(disponibilidad[[#This Row],[Fecha y hora fin]]-disponibilidad[[#This Row],[Fecha y hora inicio]])*1440</f>
        <v>0</v>
      </c>
    </row>
    <row r="5756" spans="6:6" ht="15">
      <c r="F5756" s="115">
        <f>+(disponibilidad[[#This Row],[Fecha y hora fin]]-disponibilidad[[#This Row],[Fecha y hora inicio]])*1440</f>
        <v>0</v>
      </c>
    </row>
    <row r="5757" spans="6:6" ht="15">
      <c r="F5757" s="115">
        <f>+(disponibilidad[[#This Row],[Fecha y hora fin]]-disponibilidad[[#This Row],[Fecha y hora inicio]])*1440</f>
        <v>0</v>
      </c>
    </row>
    <row r="5758" spans="6:6" ht="15">
      <c r="F5758" s="115">
        <f>+(disponibilidad[[#This Row],[Fecha y hora fin]]-disponibilidad[[#This Row],[Fecha y hora inicio]])*1440</f>
        <v>0</v>
      </c>
    </row>
    <row r="5759" spans="6:6" ht="15">
      <c r="F5759" s="115">
        <f>+(disponibilidad[[#This Row],[Fecha y hora fin]]-disponibilidad[[#This Row],[Fecha y hora inicio]])*1440</f>
        <v>0</v>
      </c>
    </row>
    <row r="5760" spans="6:6" ht="15">
      <c r="F5760" s="115">
        <f>+(disponibilidad[[#This Row],[Fecha y hora fin]]-disponibilidad[[#This Row],[Fecha y hora inicio]])*1440</f>
        <v>0</v>
      </c>
    </row>
    <row r="5761" spans="6:6" ht="15">
      <c r="F5761" s="115">
        <f>+(disponibilidad[[#This Row],[Fecha y hora fin]]-disponibilidad[[#This Row],[Fecha y hora inicio]])*1440</f>
        <v>0</v>
      </c>
    </row>
    <row r="5762" spans="6:6" ht="15">
      <c r="F5762" s="115">
        <f>+(disponibilidad[[#This Row],[Fecha y hora fin]]-disponibilidad[[#This Row],[Fecha y hora inicio]])*1440</f>
        <v>0</v>
      </c>
    </row>
    <row r="5763" spans="6:6" ht="15">
      <c r="F5763" s="115">
        <f>+(disponibilidad[[#This Row],[Fecha y hora fin]]-disponibilidad[[#This Row],[Fecha y hora inicio]])*1440</f>
        <v>0</v>
      </c>
    </row>
    <row r="5764" spans="6:6" ht="15">
      <c r="F5764" s="115">
        <f>+(disponibilidad[[#This Row],[Fecha y hora fin]]-disponibilidad[[#This Row],[Fecha y hora inicio]])*1440</f>
        <v>0</v>
      </c>
    </row>
    <row r="5765" spans="6:6" ht="15">
      <c r="F5765" s="115">
        <f>+(disponibilidad[[#This Row],[Fecha y hora fin]]-disponibilidad[[#This Row],[Fecha y hora inicio]])*1440</f>
        <v>0</v>
      </c>
    </row>
    <row r="5766" spans="6:6" ht="15">
      <c r="F5766" s="115">
        <f>+(disponibilidad[[#This Row],[Fecha y hora fin]]-disponibilidad[[#This Row],[Fecha y hora inicio]])*1440</f>
        <v>0</v>
      </c>
    </row>
    <row r="5767" spans="6:6" ht="15">
      <c r="F5767" s="115">
        <f>+(disponibilidad[[#This Row],[Fecha y hora fin]]-disponibilidad[[#This Row],[Fecha y hora inicio]])*1440</f>
        <v>0</v>
      </c>
    </row>
    <row r="5768" spans="6:6" ht="15">
      <c r="F5768" s="115">
        <f>+(disponibilidad[[#This Row],[Fecha y hora fin]]-disponibilidad[[#This Row],[Fecha y hora inicio]])*1440</f>
        <v>0</v>
      </c>
    </row>
    <row r="5769" spans="6:6" ht="15">
      <c r="F5769" s="115">
        <f>+(disponibilidad[[#This Row],[Fecha y hora fin]]-disponibilidad[[#This Row],[Fecha y hora inicio]])*1440</f>
        <v>0</v>
      </c>
    </row>
    <row r="5770" spans="6:6" ht="15">
      <c r="F5770" s="115">
        <f>+(disponibilidad[[#This Row],[Fecha y hora fin]]-disponibilidad[[#This Row],[Fecha y hora inicio]])*1440</f>
        <v>0</v>
      </c>
    </row>
    <row r="5771" spans="6:6" ht="15">
      <c r="F5771" s="115">
        <f>+(disponibilidad[[#This Row],[Fecha y hora fin]]-disponibilidad[[#This Row],[Fecha y hora inicio]])*1440</f>
        <v>0</v>
      </c>
    </row>
    <row r="5772" spans="6:6" ht="15">
      <c r="F5772" s="115">
        <f>+(disponibilidad[[#This Row],[Fecha y hora fin]]-disponibilidad[[#This Row],[Fecha y hora inicio]])*1440</f>
        <v>0</v>
      </c>
    </row>
    <row r="5773" spans="6:6" ht="15">
      <c r="F5773" s="115">
        <f>+(disponibilidad[[#This Row],[Fecha y hora fin]]-disponibilidad[[#This Row],[Fecha y hora inicio]])*1440</f>
        <v>0</v>
      </c>
    </row>
    <row r="5774" spans="6:6" ht="15">
      <c r="F5774" s="115">
        <f>+(disponibilidad[[#This Row],[Fecha y hora fin]]-disponibilidad[[#This Row],[Fecha y hora inicio]])*1440</f>
        <v>0</v>
      </c>
    </row>
    <row r="5775" spans="6:6" ht="15">
      <c r="F5775" s="115">
        <f>+(disponibilidad[[#This Row],[Fecha y hora fin]]-disponibilidad[[#This Row],[Fecha y hora inicio]])*1440</f>
        <v>0</v>
      </c>
    </row>
    <row r="5776" spans="6:6" ht="15">
      <c r="F5776" s="115">
        <f>+(disponibilidad[[#This Row],[Fecha y hora fin]]-disponibilidad[[#This Row],[Fecha y hora inicio]])*1440</f>
        <v>0</v>
      </c>
    </row>
    <row r="5777" spans="6:6" ht="15">
      <c r="F5777" s="115">
        <f>+(disponibilidad[[#This Row],[Fecha y hora fin]]-disponibilidad[[#This Row],[Fecha y hora inicio]])*1440</f>
        <v>0</v>
      </c>
    </row>
    <row r="5778" spans="6:6" ht="15">
      <c r="F5778" s="115">
        <f>+(disponibilidad[[#This Row],[Fecha y hora fin]]-disponibilidad[[#This Row],[Fecha y hora inicio]])*1440</f>
        <v>0</v>
      </c>
    </row>
    <row r="5779" spans="6:6" ht="15">
      <c r="F5779" s="115">
        <f>+(disponibilidad[[#This Row],[Fecha y hora fin]]-disponibilidad[[#This Row],[Fecha y hora inicio]])*1440</f>
        <v>0</v>
      </c>
    </row>
    <row r="5780" spans="6:6" ht="15">
      <c r="F5780" s="115">
        <f>+(disponibilidad[[#This Row],[Fecha y hora fin]]-disponibilidad[[#This Row],[Fecha y hora inicio]])*1440</f>
        <v>0</v>
      </c>
    </row>
    <row r="5781" spans="6:6" ht="15">
      <c r="F5781" s="115">
        <f>+(disponibilidad[[#This Row],[Fecha y hora fin]]-disponibilidad[[#This Row],[Fecha y hora inicio]])*1440</f>
        <v>0</v>
      </c>
    </row>
    <row r="5782" spans="6:6" ht="15">
      <c r="F5782" s="115">
        <f>+(disponibilidad[[#This Row],[Fecha y hora fin]]-disponibilidad[[#This Row],[Fecha y hora inicio]])*1440</f>
        <v>0</v>
      </c>
    </row>
    <row r="5783" spans="6:6" ht="15">
      <c r="F5783" s="115">
        <f>+(disponibilidad[[#This Row],[Fecha y hora fin]]-disponibilidad[[#This Row],[Fecha y hora inicio]])*1440</f>
        <v>0</v>
      </c>
    </row>
    <row r="5784" spans="6:6" ht="15">
      <c r="F5784" s="115">
        <f>+(disponibilidad[[#This Row],[Fecha y hora fin]]-disponibilidad[[#This Row],[Fecha y hora inicio]])*1440</f>
        <v>0</v>
      </c>
    </row>
    <row r="5785" spans="6:6" ht="15">
      <c r="F5785" s="115">
        <f>+(disponibilidad[[#This Row],[Fecha y hora fin]]-disponibilidad[[#This Row],[Fecha y hora inicio]])*1440</f>
        <v>0</v>
      </c>
    </row>
    <row r="5786" spans="6:6" ht="15">
      <c r="F5786" s="115">
        <f>+(disponibilidad[[#This Row],[Fecha y hora fin]]-disponibilidad[[#This Row],[Fecha y hora inicio]])*1440</f>
        <v>0</v>
      </c>
    </row>
    <row r="5787" spans="6:6" ht="15">
      <c r="F5787" s="115">
        <f>+(disponibilidad[[#This Row],[Fecha y hora fin]]-disponibilidad[[#This Row],[Fecha y hora inicio]])*1440</f>
        <v>0</v>
      </c>
    </row>
    <row r="5788" spans="6:6" ht="15">
      <c r="F5788" s="115">
        <f>+(disponibilidad[[#This Row],[Fecha y hora fin]]-disponibilidad[[#This Row],[Fecha y hora inicio]])*1440</f>
        <v>0</v>
      </c>
    </row>
    <row r="5789" spans="6:6" ht="15">
      <c r="F5789" s="115">
        <f>+(disponibilidad[[#This Row],[Fecha y hora fin]]-disponibilidad[[#This Row],[Fecha y hora inicio]])*1440</f>
        <v>0</v>
      </c>
    </row>
    <row r="5790" spans="6:6" ht="15">
      <c r="F5790" s="115">
        <f>+(disponibilidad[[#This Row],[Fecha y hora fin]]-disponibilidad[[#This Row],[Fecha y hora inicio]])*1440</f>
        <v>0</v>
      </c>
    </row>
    <row r="5791" spans="6:6" ht="15">
      <c r="F5791" s="115">
        <f>+(disponibilidad[[#This Row],[Fecha y hora fin]]-disponibilidad[[#This Row],[Fecha y hora inicio]])*1440</f>
        <v>0</v>
      </c>
    </row>
    <row r="5792" spans="6:6" ht="15">
      <c r="F5792" s="115">
        <f>+(disponibilidad[[#This Row],[Fecha y hora fin]]-disponibilidad[[#This Row],[Fecha y hora inicio]])*1440</f>
        <v>0</v>
      </c>
    </row>
    <row r="5793" spans="6:6" ht="15">
      <c r="F5793" s="115">
        <f>+(disponibilidad[[#This Row],[Fecha y hora fin]]-disponibilidad[[#This Row],[Fecha y hora inicio]])*1440</f>
        <v>0</v>
      </c>
    </row>
    <row r="5794" spans="6:6" ht="15">
      <c r="F5794" s="115">
        <f>+(disponibilidad[[#This Row],[Fecha y hora fin]]-disponibilidad[[#This Row],[Fecha y hora inicio]])*1440</f>
        <v>0</v>
      </c>
    </row>
    <row r="5795" spans="6:6" ht="15">
      <c r="F5795" s="115">
        <f>+(disponibilidad[[#This Row],[Fecha y hora fin]]-disponibilidad[[#This Row],[Fecha y hora inicio]])*1440</f>
        <v>0</v>
      </c>
    </row>
    <row r="5796" spans="6:6" ht="15">
      <c r="F5796" s="115">
        <f>+(disponibilidad[[#This Row],[Fecha y hora fin]]-disponibilidad[[#This Row],[Fecha y hora inicio]])*1440</f>
        <v>0</v>
      </c>
    </row>
    <row r="5797" spans="6:6" ht="15">
      <c r="F5797" s="115">
        <f>+(disponibilidad[[#This Row],[Fecha y hora fin]]-disponibilidad[[#This Row],[Fecha y hora inicio]])*1440</f>
        <v>0</v>
      </c>
    </row>
    <row r="5798" spans="6:6" ht="15">
      <c r="F5798" s="115">
        <f>+(disponibilidad[[#This Row],[Fecha y hora fin]]-disponibilidad[[#This Row],[Fecha y hora inicio]])*1440</f>
        <v>0</v>
      </c>
    </row>
    <row r="5799" spans="6:6" ht="15">
      <c r="F5799" s="115">
        <f>+(disponibilidad[[#This Row],[Fecha y hora fin]]-disponibilidad[[#This Row],[Fecha y hora inicio]])*1440</f>
        <v>0</v>
      </c>
    </row>
    <row r="5800" spans="6:6" ht="15">
      <c r="F5800" s="115">
        <f>+(disponibilidad[[#This Row],[Fecha y hora fin]]-disponibilidad[[#This Row],[Fecha y hora inicio]])*1440</f>
        <v>0</v>
      </c>
    </row>
    <row r="5801" spans="6:6" ht="15">
      <c r="F5801" s="115">
        <f>+(disponibilidad[[#This Row],[Fecha y hora fin]]-disponibilidad[[#This Row],[Fecha y hora inicio]])*1440</f>
        <v>0</v>
      </c>
    </row>
    <row r="5802" spans="6:6" ht="15">
      <c r="F5802" s="115">
        <f>+(disponibilidad[[#This Row],[Fecha y hora fin]]-disponibilidad[[#This Row],[Fecha y hora inicio]])*1440</f>
        <v>0</v>
      </c>
    </row>
    <row r="5803" spans="6:6" ht="15">
      <c r="F5803" s="115">
        <f>+(disponibilidad[[#This Row],[Fecha y hora fin]]-disponibilidad[[#This Row],[Fecha y hora inicio]])*1440</f>
        <v>0</v>
      </c>
    </row>
    <row r="5804" spans="6:6" ht="15">
      <c r="F5804" s="115">
        <f>+(disponibilidad[[#This Row],[Fecha y hora fin]]-disponibilidad[[#This Row],[Fecha y hora inicio]])*1440</f>
        <v>0</v>
      </c>
    </row>
    <row r="5805" spans="6:6" ht="15">
      <c r="F5805" s="115">
        <f>+(disponibilidad[[#This Row],[Fecha y hora fin]]-disponibilidad[[#This Row],[Fecha y hora inicio]])*1440</f>
        <v>0</v>
      </c>
    </row>
    <row r="5806" spans="6:6" ht="15">
      <c r="F5806" s="115">
        <f>+(disponibilidad[[#This Row],[Fecha y hora fin]]-disponibilidad[[#This Row],[Fecha y hora inicio]])*1440</f>
        <v>0</v>
      </c>
    </row>
    <row r="5807" spans="6:6" ht="15">
      <c r="F5807" s="115">
        <f>+(disponibilidad[[#This Row],[Fecha y hora fin]]-disponibilidad[[#This Row],[Fecha y hora inicio]])*1440</f>
        <v>0</v>
      </c>
    </row>
    <row r="5808" spans="6:6" ht="15">
      <c r="F5808" s="115">
        <f>+(disponibilidad[[#This Row],[Fecha y hora fin]]-disponibilidad[[#This Row],[Fecha y hora inicio]])*1440</f>
        <v>0</v>
      </c>
    </row>
    <row r="5809" spans="6:6" ht="15">
      <c r="F5809" s="115">
        <f>+(disponibilidad[[#This Row],[Fecha y hora fin]]-disponibilidad[[#This Row],[Fecha y hora inicio]])*1440</f>
        <v>0</v>
      </c>
    </row>
    <row r="5810" spans="6:6" ht="15">
      <c r="F5810" s="115">
        <f>+(disponibilidad[[#This Row],[Fecha y hora fin]]-disponibilidad[[#This Row],[Fecha y hora inicio]])*1440</f>
        <v>0</v>
      </c>
    </row>
    <row r="5811" spans="6:6" ht="15">
      <c r="F5811" s="115">
        <f>+(disponibilidad[[#This Row],[Fecha y hora fin]]-disponibilidad[[#This Row],[Fecha y hora inicio]])*1440</f>
        <v>0</v>
      </c>
    </row>
    <row r="5812" spans="6:6" ht="15">
      <c r="F5812" s="115">
        <f>+(disponibilidad[[#This Row],[Fecha y hora fin]]-disponibilidad[[#This Row],[Fecha y hora inicio]])*1440</f>
        <v>0</v>
      </c>
    </row>
    <row r="5813" spans="6:6" ht="15">
      <c r="F5813" s="115">
        <f>+(disponibilidad[[#This Row],[Fecha y hora fin]]-disponibilidad[[#This Row],[Fecha y hora inicio]])*1440</f>
        <v>0</v>
      </c>
    </row>
    <row r="5814" spans="6:6" ht="15">
      <c r="F5814" s="115">
        <f>+(disponibilidad[[#This Row],[Fecha y hora fin]]-disponibilidad[[#This Row],[Fecha y hora inicio]])*1440</f>
        <v>0</v>
      </c>
    </row>
    <row r="5815" spans="6:6" ht="15">
      <c r="F5815" s="115">
        <f>+(disponibilidad[[#This Row],[Fecha y hora fin]]-disponibilidad[[#This Row],[Fecha y hora inicio]])*1440</f>
        <v>0</v>
      </c>
    </row>
    <row r="5816" spans="6:6" ht="15">
      <c r="F5816" s="115">
        <f>+(disponibilidad[[#This Row],[Fecha y hora fin]]-disponibilidad[[#This Row],[Fecha y hora inicio]])*1440</f>
        <v>0</v>
      </c>
    </row>
    <row r="5817" spans="6:6" ht="15">
      <c r="F5817" s="115">
        <f>+(disponibilidad[[#This Row],[Fecha y hora fin]]-disponibilidad[[#This Row],[Fecha y hora inicio]])*1440</f>
        <v>0</v>
      </c>
    </row>
    <row r="5818" spans="6:6" ht="15">
      <c r="F5818" s="115">
        <f>+(disponibilidad[[#This Row],[Fecha y hora fin]]-disponibilidad[[#This Row],[Fecha y hora inicio]])*1440</f>
        <v>0</v>
      </c>
    </row>
    <row r="5819" spans="6:6" ht="15">
      <c r="F5819" s="115">
        <f>+(disponibilidad[[#This Row],[Fecha y hora fin]]-disponibilidad[[#This Row],[Fecha y hora inicio]])*1440</f>
        <v>0</v>
      </c>
    </row>
    <row r="5820" spans="6:6" ht="15">
      <c r="F5820" s="115">
        <f>+(disponibilidad[[#This Row],[Fecha y hora fin]]-disponibilidad[[#This Row],[Fecha y hora inicio]])*1440</f>
        <v>0</v>
      </c>
    </row>
    <row r="5821" spans="6:6" ht="15">
      <c r="F5821" s="115">
        <f>+(disponibilidad[[#This Row],[Fecha y hora fin]]-disponibilidad[[#This Row],[Fecha y hora inicio]])*1440</f>
        <v>0</v>
      </c>
    </row>
    <row r="5822" spans="6:6" ht="15">
      <c r="F5822" s="115">
        <f>+(disponibilidad[[#This Row],[Fecha y hora fin]]-disponibilidad[[#This Row],[Fecha y hora inicio]])*1440</f>
        <v>0</v>
      </c>
    </row>
    <row r="5823" spans="6:6" ht="15">
      <c r="F5823" s="115">
        <f>+(disponibilidad[[#This Row],[Fecha y hora fin]]-disponibilidad[[#This Row],[Fecha y hora inicio]])*1440</f>
        <v>0</v>
      </c>
    </row>
    <row r="5824" spans="6:6" ht="15">
      <c r="F5824" s="115">
        <f>+(disponibilidad[[#This Row],[Fecha y hora fin]]-disponibilidad[[#This Row],[Fecha y hora inicio]])*1440</f>
        <v>0</v>
      </c>
    </row>
    <row r="5825" spans="6:6" ht="15">
      <c r="F5825" s="115">
        <f>+(disponibilidad[[#This Row],[Fecha y hora fin]]-disponibilidad[[#This Row],[Fecha y hora inicio]])*1440</f>
        <v>0</v>
      </c>
    </row>
    <row r="5826" spans="6:6" ht="15">
      <c r="F5826" s="115">
        <f>+(disponibilidad[[#This Row],[Fecha y hora fin]]-disponibilidad[[#This Row],[Fecha y hora inicio]])*1440</f>
        <v>0</v>
      </c>
    </row>
    <row r="5827" spans="6:6" ht="15">
      <c r="F5827" s="115">
        <f>+(disponibilidad[[#This Row],[Fecha y hora fin]]-disponibilidad[[#This Row],[Fecha y hora inicio]])*1440</f>
        <v>0</v>
      </c>
    </row>
    <row r="5828" spans="6:6" ht="15">
      <c r="F5828" s="115">
        <f>+(disponibilidad[[#This Row],[Fecha y hora fin]]-disponibilidad[[#This Row],[Fecha y hora inicio]])*1440</f>
        <v>0</v>
      </c>
    </row>
    <row r="5829" spans="6:6" ht="15">
      <c r="F5829" s="115">
        <f>+(disponibilidad[[#This Row],[Fecha y hora fin]]-disponibilidad[[#This Row],[Fecha y hora inicio]])*1440</f>
        <v>0</v>
      </c>
    </row>
    <row r="5830" spans="6:6" ht="15">
      <c r="F5830" s="115">
        <f>+(disponibilidad[[#This Row],[Fecha y hora fin]]-disponibilidad[[#This Row],[Fecha y hora inicio]])*1440</f>
        <v>0</v>
      </c>
    </row>
    <row r="5831" spans="6:6" ht="15">
      <c r="F5831" s="115">
        <f>+(disponibilidad[[#This Row],[Fecha y hora fin]]-disponibilidad[[#This Row],[Fecha y hora inicio]])*1440</f>
        <v>0</v>
      </c>
    </row>
    <row r="5832" spans="6:6" ht="15">
      <c r="F5832" s="115">
        <f>+(disponibilidad[[#This Row],[Fecha y hora fin]]-disponibilidad[[#This Row],[Fecha y hora inicio]])*1440</f>
        <v>0</v>
      </c>
    </row>
    <row r="5833" spans="6:6" ht="15">
      <c r="F5833" s="115">
        <f>+(disponibilidad[[#This Row],[Fecha y hora fin]]-disponibilidad[[#This Row],[Fecha y hora inicio]])*1440</f>
        <v>0</v>
      </c>
    </row>
    <row r="5834" spans="6:6" ht="15">
      <c r="F5834" s="115">
        <f>+(disponibilidad[[#This Row],[Fecha y hora fin]]-disponibilidad[[#This Row],[Fecha y hora inicio]])*1440</f>
        <v>0</v>
      </c>
    </row>
    <row r="5835" spans="6:6" ht="15">
      <c r="F5835" s="115">
        <f>+(disponibilidad[[#This Row],[Fecha y hora fin]]-disponibilidad[[#This Row],[Fecha y hora inicio]])*1440</f>
        <v>0</v>
      </c>
    </row>
    <row r="5836" spans="6:6" ht="15">
      <c r="F5836" s="115">
        <f>+(disponibilidad[[#This Row],[Fecha y hora fin]]-disponibilidad[[#This Row],[Fecha y hora inicio]])*1440</f>
        <v>0</v>
      </c>
    </row>
    <row r="5837" spans="6:6" ht="15">
      <c r="F5837" s="115">
        <f>+(disponibilidad[[#This Row],[Fecha y hora fin]]-disponibilidad[[#This Row],[Fecha y hora inicio]])*1440</f>
        <v>0</v>
      </c>
    </row>
    <row r="5838" spans="6:6" ht="15">
      <c r="F5838" s="115">
        <f>+(disponibilidad[[#This Row],[Fecha y hora fin]]-disponibilidad[[#This Row],[Fecha y hora inicio]])*1440</f>
        <v>0</v>
      </c>
    </row>
    <row r="5839" spans="6:6" ht="15">
      <c r="F5839" s="115">
        <f>+(disponibilidad[[#This Row],[Fecha y hora fin]]-disponibilidad[[#This Row],[Fecha y hora inicio]])*1440</f>
        <v>0</v>
      </c>
    </row>
    <row r="5840" spans="6:6" ht="15">
      <c r="F5840" s="115">
        <f>+(disponibilidad[[#This Row],[Fecha y hora fin]]-disponibilidad[[#This Row],[Fecha y hora inicio]])*1440</f>
        <v>0</v>
      </c>
    </row>
    <row r="5841" spans="6:6" ht="15">
      <c r="F5841" s="115">
        <f>+(disponibilidad[[#This Row],[Fecha y hora fin]]-disponibilidad[[#This Row],[Fecha y hora inicio]])*1440</f>
        <v>0</v>
      </c>
    </row>
    <row r="5842" spans="6:6" ht="15">
      <c r="F5842" s="115">
        <f>+(disponibilidad[[#This Row],[Fecha y hora fin]]-disponibilidad[[#This Row],[Fecha y hora inicio]])*1440</f>
        <v>0</v>
      </c>
    </row>
    <row r="5843" spans="6:6" ht="15">
      <c r="F5843" s="115">
        <f>+(disponibilidad[[#This Row],[Fecha y hora fin]]-disponibilidad[[#This Row],[Fecha y hora inicio]])*1440</f>
        <v>0</v>
      </c>
    </row>
    <row r="5844" spans="6:6" ht="15">
      <c r="F5844" s="115">
        <f>+(disponibilidad[[#This Row],[Fecha y hora fin]]-disponibilidad[[#This Row],[Fecha y hora inicio]])*1440</f>
        <v>0</v>
      </c>
    </row>
    <row r="5845" spans="6:6" ht="15">
      <c r="F5845" s="115">
        <f>+(disponibilidad[[#This Row],[Fecha y hora fin]]-disponibilidad[[#This Row],[Fecha y hora inicio]])*1440</f>
        <v>0</v>
      </c>
    </row>
    <row r="5846" spans="6:6" ht="15">
      <c r="F5846" s="115">
        <f>+(disponibilidad[[#This Row],[Fecha y hora fin]]-disponibilidad[[#This Row],[Fecha y hora inicio]])*1440</f>
        <v>0</v>
      </c>
    </row>
    <row r="5847" spans="6:6" ht="15">
      <c r="F5847" s="115">
        <f>+(disponibilidad[[#This Row],[Fecha y hora fin]]-disponibilidad[[#This Row],[Fecha y hora inicio]])*1440</f>
        <v>0</v>
      </c>
    </row>
    <row r="5848" spans="6:6" ht="15">
      <c r="F5848" s="115">
        <f>+(disponibilidad[[#This Row],[Fecha y hora fin]]-disponibilidad[[#This Row],[Fecha y hora inicio]])*1440</f>
        <v>0</v>
      </c>
    </row>
    <row r="5849" spans="6:6" ht="15">
      <c r="F5849" s="115">
        <f>+(disponibilidad[[#This Row],[Fecha y hora fin]]-disponibilidad[[#This Row],[Fecha y hora inicio]])*1440</f>
        <v>0</v>
      </c>
    </row>
    <row r="5850" spans="6:6" ht="15">
      <c r="F5850" s="115">
        <f>+(disponibilidad[[#This Row],[Fecha y hora fin]]-disponibilidad[[#This Row],[Fecha y hora inicio]])*1440</f>
        <v>0</v>
      </c>
    </row>
    <row r="5851" spans="6:6" ht="15">
      <c r="F5851" s="115">
        <f>+(disponibilidad[[#This Row],[Fecha y hora fin]]-disponibilidad[[#This Row],[Fecha y hora inicio]])*1440</f>
        <v>0</v>
      </c>
    </row>
    <row r="5852" spans="6:6" ht="15">
      <c r="F5852" s="115">
        <f>+(disponibilidad[[#This Row],[Fecha y hora fin]]-disponibilidad[[#This Row],[Fecha y hora inicio]])*1440</f>
        <v>0</v>
      </c>
    </row>
    <row r="5853" spans="6:6" ht="15">
      <c r="F5853" s="115">
        <f>+(disponibilidad[[#This Row],[Fecha y hora fin]]-disponibilidad[[#This Row],[Fecha y hora inicio]])*1440</f>
        <v>0</v>
      </c>
    </row>
    <row r="5854" spans="6:6" ht="15">
      <c r="F5854" s="115">
        <f>+(disponibilidad[[#This Row],[Fecha y hora fin]]-disponibilidad[[#This Row],[Fecha y hora inicio]])*1440</f>
        <v>0</v>
      </c>
    </row>
    <row r="5855" spans="6:6" ht="15">
      <c r="F5855" s="115">
        <f>+(disponibilidad[[#This Row],[Fecha y hora fin]]-disponibilidad[[#This Row],[Fecha y hora inicio]])*1440</f>
        <v>0</v>
      </c>
    </row>
    <row r="5856" spans="6:6" ht="15">
      <c r="F5856" s="115">
        <f>+(disponibilidad[[#This Row],[Fecha y hora fin]]-disponibilidad[[#This Row],[Fecha y hora inicio]])*1440</f>
        <v>0</v>
      </c>
    </row>
    <row r="5857" spans="6:6" ht="15">
      <c r="F5857" s="115">
        <f>+(disponibilidad[[#This Row],[Fecha y hora fin]]-disponibilidad[[#This Row],[Fecha y hora inicio]])*1440</f>
        <v>0</v>
      </c>
    </row>
    <row r="5858" spans="6:6" ht="15">
      <c r="F5858" s="115">
        <f>+(disponibilidad[[#This Row],[Fecha y hora fin]]-disponibilidad[[#This Row],[Fecha y hora inicio]])*1440</f>
        <v>0</v>
      </c>
    </row>
    <row r="5859" spans="6:6" ht="15">
      <c r="F5859" s="115">
        <f>+(disponibilidad[[#This Row],[Fecha y hora fin]]-disponibilidad[[#This Row],[Fecha y hora inicio]])*1440</f>
        <v>0</v>
      </c>
    </row>
    <row r="5860" spans="6:6" ht="15">
      <c r="F5860" s="115">
        <f>+(disponibilidad[[#This Row],[Fecha y hora fin]]-disponibilidad[[#This Row],[Fecha y hora inicio]])*1440</f>
        <v>0</v>
      </c>
    </row>
    <row r="5861" spans="6:6" ht="15">
      <c r="F5861" s="115">
        <f>+(disponibilidad[[#This Row],[Fecha y hora fin]]-disponibilidad[[#This Row],[Fecha y hora inicio]])*1440</f>
        <v>0</v>
      </c>
    </row>
    <row r="5862" spans="6:6" ht="15">
      <c r="F5862" s="115">
        <f>+(disponibilidad[[#This Row],[Fecha y hora fin]]-disponibilidad[[#This Row],[Fecha y hora inicio]])*1440</f>
        <v>0</v>
      </c>
    </row>
    <row r="5863" spans="6:6" ht="15">
      <c r="F5863" s="115">
        <f>+(disponibilidad[[#This Row],[Fecha y hora fin]]-disponibilidad[[#This Row],[Fecha y hora inicio]])*1440</f>
        <v>0</v>
      </c>
    </row>
    <row r="5864" spans="6:6" ht="15">
      <c r="F5864" s="115">
        <f>+(disponibilidad[[#This Row],[Fecha y hora fin]]-disponibilidad[[#This Row],[Fecha y hora inicio]])*1440</f>
        <v>0</v>
      </c>
    </row>
    <row r="5865" spans="6:6" ht="15">
      <c r="F5865" s="115">
        <f>+(disponibilidad[[#This Row],[Fecha y hora fin]]-disponibilidad[[#This Row],[Fecha y hora inicio]])*1440</f>
        <v>0</v>
      </c>
    </row>
    <row r="5866" spans="6:6" ht="15">
      <c r="F5866" s="115">
        <f>+(disponibilidad[[#This Row],[Fecha y hora fin]]-disponibilidad[[#This Row],[Fecha y hora inicio]])*1440</f>
        <v>0</v>
      </c>
    </row>
    <row r="5867" spans="6:6" ht="15">
      <c r="F5867" s="115">
        <f>+(disponibilidad[[#This Row],[Fecha y hora fin]]-disponibilidad[[#This Row],[Fecha y hora inicio]])*1440</f>
        <v>0</v>
      </c>
    </row>
    <row r="5868" spans="6:6" ht="15">
      <c r="F5868" s="115">
        <f>+(disponibilidad[[#This Row],[Fecha y hora fin]]-disponibilidad[[#This Row],[Fecha y hora inicio]])*1440</f>
        <v>0</v>
      </c>
    </row>
    <row r="5869" spans="6:6" ht="15">
      <c r="F5869" s="115">
        <f>+(disponibilidad[[#This Row],[Fecha y hora fin]]-disponibilidad[[#This Row],[Fecha y hora inicio]])*1440</f>
        <v>0</v>
      </c>
    </row>
    <row r="5870" spans="6:6" ht="15">
      <c r="F5870" s="115">
        <f>+(disponibilidad[[#This Row],[Fecha y hora fin]]-disponibilidad[[#This Row],[Fecha y hora inicio]])*1440</f>
        <v>0</v>
      </c>
    </row>
    <row r="5871" spans="6:6" ht="15">
      <c r="F5871" s="115">
        <f>+(disponibilidad[[#This Row],[Fecha y hora fin]]-disponibilidad[[#This Row],[Fecha y hora inicio]])*1440</f>
        <v>0</v>
      </c>
    </row>
    <row r="5872" spans="6:6" ht="15">
      <c r="F5872" s="115">
        <f>+(disponibilidad[[#This Row],[Fecha y hora fin]]-disponibilidad[[#This Row],[Fecha y hora inicio]])*1440</f>
        <v>0</v>
      </c>
    </row>
    <row r="5873" spans="6:6" ht="15">
      <c r="F5873" s="115">
        <f>+(disponibilidad[[#This Row],[Fecha y hora fin]]-disponibilidad[[#This Row],[Fecha y hora inicio]])*1440</f>
        <v>0</v>
      </c>
    </row>
    <row r="5874" spans="6:6" ht="15">
      <c r="F5874" s="115">
        <f>+(disponibilidad[[#This Row],[Fecha y hora fin]]-disponibilidad[[#This Row],[Fecha y hora inicio]])*1440</f>
        <v>0</v>
      </c>
    </row>
    <row r="5875" spans="6:6" ht="15">
      <c r="F5875" s="115">
        <f>+(disponibilidad[[#This Row],[Fecha y hora fin]]-disponibilidad[[#This Row],[Fecha y hora inicio]])*1440</f>
        <v>0</v>
      </c>
    </row>
    <row r="5876" spans="6:6" ht="15">
      <c r="F5876" s="115">
        <f>+(disponibilidad[[#This Row],[Fecha y hora fin]]-disponibilidad[[#This Row],[Fecha y hora inicio]])*1440</f>
        <v>0</v>
      </c>
    </row>
    <row r="5877" spans="6:6" ht="15">
      <c r="F5877" s="115">
        <f>+(disponibilidad[[#This Row],[Fecha y hora fin]]-disponibilidad[[#This Row],[Fecha y hora inicio]])*1440</f>
        <v>0</v>
      </c>
    </row>
    <row r="5878" spans="6:6" ht="15">
      <c r="F5878" s="115">
        <f>+(disponibilidad[[#This Row],[Fecha y hora fin]]-disponibilidad[[#This Row],[Fecha y hora inicio]])*1440</f>
        <v>0</v>
      </c>
    </row>
    <row r="5879" spans="6:6" ht="15">
      <c r="F5879" s="115">
        <f>+(disponibilidad[[#This Row],[Fecha y hora fin]]-disponibilidad[[#This Row],[Fecha y hora inicio]])*1440</f>
        <v>0</v>
      </c>
    </row>
    <row r="5880" spans="6:6" ht="15">
      <c r="F5880" s="115">
        <f>+(disponibilidad[[#This Row],[Fecha y hora fin]]-disponibilidad[[#This Row],[Fecha y hora inicio]])*1440</f>
        <v>0</v>
      </c>
    </row>
    <row r="5881" spans="6:6" ht="15">
      <c r="F5881" s="115">
        <f>+(disponibilidad[[#This Row],[Fecha y hora fin]]-disponibilidad[[#This Row],[Fecha y hora inicio]])*1440</f>
        <v>0</v>
      </c>
    </row>
    <row r="5882" spans="6:6" ht="15">
      <c r="F5882" s="115">
        <f>+(disponibilidad[[#This Row],[Fecha y hora fin]]-disponibilidad[[#This Row],[Fecha y hora inicio]])*1440</f>
        <v>0</v>
      </c>
    </row>
    <row r="5883" spans="6:6" ht="15">
      <c r="F5883" s="115">
        <f>+(disponibilidad[[#This Row],[Fecha y hora fin]]-disponibilidad[[#This Row],[Fecha y hora inicio]])*1440</f>
        <v>0</v>
      </c>
    </row>
    <row r="5884" spans="6:6" ht="15">
      <c r="F5884" s="115">
        <f>+(disponibilidad[[#This Row],[Fecha y hora fin]]-disponibilidad[[#This Row],[Fecha y hora inicio]])*1440</f>
        <v>0</v>
      </c>
    </row>
    <row r="5885" spans="6:6" ht="15">
      <c r="F5885" s="115">
        <f>+(disponibilidad[[#This Row],[Fecha y hora fin]]-disponibilidad[[#This Row],[Fecha y hora inicio]])*1440</f>
        <v>0</v>
      </c>
    </row>
    <row r="5886" spans="6:6" ht="15">
      <c r="F5886" s="115">
        <f>+(disponibilidad[[#This Row],[Fecha y hora fin]]-disponibilidad[[#This Row],[Fecha y hora inicio]])*1440</f>
        <v>0</v>
      </c>
    </row>
    <row r="5887" spans="6:6" ht="15">
      <c r="F5887" s="115">
        <f>+(disponibilidad[[#This Row],[Fecha y hora fin]]-disponibilidad[[#This Row],[Fecha y hora inicio]])*1440</f>
        <v>0</v>
      </c>
    </row>
    <row r="5888" spans="6:6" ht="15">
      <c r="F5888" s="115">
        <f>+(disponibilidad[[#This Row],[Fecha y hora fin]]-disponibilidad[[#This Row],[Fecha y hora inicio]])*1440</f>
        <v>0</v>
      </c>
    </row>
    <row r="5889" spans="6:6" ht="15">
      <c r="F5889" s="115">
        <f>+(disponibilidad[[#This Row],[Fecha y hora fin]]-disponibilidad[[#This Row],[Fecha y hora inicio]])*1440</f>
        <v>0</v>
      </c>
    </row>
    <row r="5890" spans="6:6" ht="15">
      <c r="F5890" s="115">
        <f>+(disponibilidad[[#This Row],[Fecha y hora fin]]-disponibilidad[[#This Row],[Fecha y hora inicio]])*1440</f>
        <v>0</v>
      </c>
    </row>
    <row r="5891" spans="6:6" ht="15">
      <c r="F5891" s="115">
        <f>+(disponibilidad[[#This Row],[Fecha y hora fin]]-disponibilidad[[#This Row],[Fecha y hora inicio]])*1440</f>
        <v>0</v>
      </c>
    </row>
    <row r="5892" spans="6:6" ht="15">
      <c r="F5892" s="115">
        <f>+(disponibilidad[[#This Row],[Fecha y hora fin]]-disponibilidad[[#This Row],[Fecha y hora inicio]])*1440</f>
        <v>0</v>
      </c>
    </row>
    <row r="5893" spans="6:6" ht="15">
      <c r="F5893" s="115">
        <f>+(disponibilidad[[#This Row],[Fecha y hora fin]]-disponibilidad[[#This Row],[Fecha y hora inicio]])*1440</f>
        <v>0</v>
      </c>
    </row>
    <row r="5894" spans="6:6" ht="15">
      <c r="F5894" s="115">
        <f>+(disponibilidad[[#This Row],[Fecha y hora fin]]-disponibilidad[[#This Row],[Fecha y hora inicio]])*1440</f>
        <v>0</v>
      </c>
    </row>
    <row r="5895" spans="6:6" ht="15">
      <c r="F5895" s="115">
        <f>+(disponibilidad[[#This Row],[Fecha y hora fin]]-disponibilidad[[#This Row],[Fecha y hora inicio]])*1440</f>
        <v>0</v>
      </c>
    </row>
    <row r="5896" spans="6:6" ht="15">
      <c r="F5896" s="115">
        <f>+(disponibilidad[[#This Row],[Fecha y hora fin]]-disponibilidad[[#This Row],[Fecha y hora inicio]])*1440</f>
        <v>0</v>
      </c>
    </row>
    <row r="5897" spans="6:6" ht="15">
      <c r="F5897" s="115">
        <f>+(disponibilidad[[#This Row],[Fecha y hora fin]]-disponibilidad[[#This Row],[Fecha y hora inicio]])*1440</f>
        <v>0</v>
      </c>
    </row>
    <row r="5898" spans="6:6" ht="15">
      <c r="F5898" s="115">
        <f>+(disponibilidad[[#This Row],[Fecha y hora fin]]-disponibilidad[[#This Row],[Fecha y hora inicio]])*1440</f>
        <v>0</v>
      </c>
    </row>
    <row r="5899" spans="6:6" ht="15">
      <c r="F5899" s="115">
        <f>+(disponibilidad[[#This Row],[Fecha y hora fin]]-disponibilidad[[#This Row],[Fecha y hora inicio]])*1440</f>
        <v>0</v>
      </c>
    </row>
    <row r="5900" spans="6:6" ht="15">
      <c r="F5900" s="115">
        <f>+(disponibilidad[[#This Row],[Fecha y hora fin]]-disponibilidad[[#This Row],[Fecha y hora inicio]])*1440</f>
        <v>0</v>
      </c>
    </row>
    <row r="5901" spans="6:6" ht="15">
      <c r="F5901" s="115">
        <f>+(disponibilidad[[#This Row],[Fecha y hora fin]]-disponibilidad[[#This Row],[Fecha y hora inicio]])*1440</f>
        <v>0</v>
      </c>
    </row>
    <row r="5902" spans="6:6" ht="15">
      <c r="F5902" s="115">
        <f>+(disponibilidad[[#This Row],[Fecha y hora fin]]-disponibilidad[[#This Row],[Fecha y hora inicio]])*1440</f>
        <v>0</v>
      </c>
    </row>
    <row r="5903" spans="6:6" ht="15">
      <c r="F5903" s="115">
        <f>+(disponibilidad[[#This Row],[Fecha y hora fin]]-disponibilidad[[#This Row],[Fecha y hora inicio]])*1440</f>
        <v>0</v>
      </c>
    </row>
    <row r="5904" spans="6:6" ht="15">
      <c r="F5904" s="115">
        <f>+(disponibilidad[[#This Row],[Fecha y hora fin]]-disponibilidad[[#This Row],[Fecha y hora inicio]])*1440</f>
        <v>0</v>
      </c>
    </row>
    <row r="5905" spans="6:6" ht="15">
      <c r="F5905" s="115">
        <f>+(disponibilidad[[#This Row],[Fecha y hora fin]]-disponibilidad[[#This Row],[Fecha y hora inicio]])*1440</f>
        <v>0</v>
      </c>
    </row>
    <row r="5906" spans="6:6" ht="15">
      <c r="F5906" s="115">
        <f>+(disponibilidad[[#This Row],[Fecha y hora fin]]-disponibilidad[[#This Row],[Fecha y hora inicio]])*1440</f>
        <v>0</v>
      </c>
    </row>
    <row r="5907" spans="6:6" ht="15">
      <c r="F5907" s="115">
        <f>+(disponibilidad[[#This Row],[Fecha y hora fin]]-disponibilidad[[#This Row],[Fecha y hora inicio]])*1440</f>
        <v>0</v>
      </c>
    </row>
    <row r="5908" spans="6:6" ht="15">
      <c r="F5908" s="115">
        <f>+(disponibilidad[[#This Row],[Fecha y hora fin]]-disponibilidad[[#This Row],[Fecha y hora inicio]])*1440</f>
        <v>0</v>
      </c>
    </row>
    <row r="5909" spans="6:6" ht="15">
      <c r="F5909" s="115">
        <f>+(disponibilidad[[#This Row],[Fecha y hora fin]]-disponibilidad[[#This Row],[Fecha y hora inicio]])*1440</f>
        <v>0</v>
      </c>
    </row>
    <row r="5910" spans="6:6" ht="15">
      <c r="F5910" s="115">
        <f>+(disponibilidad[[#This Row],[Fecha y hora fin]]-disponibilidad[[#This Row],[Fecha y hora inicio]])*1440</f>
        <v>0</v>
      </c>
    </row>
    <row r="5911" spans="6:6" ht="15">
      <c r="F5911" s="115">
        <f>+(disponibilidad[[#This Row],[Fecha y hora fin]]-disponibilidad[[#This Row],[Fecha y hora inicio]])*1440</f>
        <v>0</v>
      </c>
    </row>
    <row r="5912" spans="6:6" ht="15">
      <c r="F5912" s="115">
        <f>+(disponibilidad[[#This Row],[Fecha y hora fin]]-disponibilidad[[#This Row],[Fecha y hora inicio]])*1440</f>
        <v>0</v>
      </c>
    </row>
    <row r="5913" spans="6:6" ht="15">
      <c r="F5913" s="115">
        <f>+(disponibilidad[[#This Row],[Fecha y hora fin]]-disponibilidad[[#This Row],[Fecha y hora inicio]])*1440</f>
        <v>0</v>
      </c>
    </row>
    <row r="5914" spans="6:6" ht="15">
      <c r="F5914" s="115">
        <f>+(disponibilidad[[#This Row],[Fecha y hora fin]]-disponibilidad[[#This Row],[Fecha y hora inicio]])*1440</f>
        <v>0</v>
      </c>
    </row>
    <row r="5915" spans="6:6" ht="15">
      <c r="F5915" s="115">
        <f>+(disponibilidad[[#This Row],[Fecha y hora fin]]-disponibilidad[[#This Row],[Fecha y hora inicio]])*1440</f>
        <v>0</v>
      </c>
    </row>
    <row r="5916" spans="6:6" ht="15">
      <c r="F5916" s="115">
        <f>+(disponibilidad[[#This Row],[Fecha y hora fin]]-disponibilidad[[#This Row],[Fecha y hora inicio]])*1440</f>
        <v>0</v>
      </c>
    </row>
    <row r="5917" spans="6:6" ht="15">
      <c r="F5917" s="115">
        <f>+(disponibilidad[[#This Row],[Fecha y hora fin]]-disponibilidad[[#This Row],[Fecha y hora inicio]])*1440</f>
        <v>0</v>
      </c>
    </row>
    <row r="5918" spans="6:6" ht="15">
      <c r="F5918" s="115">
        <f>+(disponibilidad[[#This Row],[Fecha y hora fin]]-disponibilidad[[#This Row],[Fecha y hora inicio]])*1440</f>
        <v>0</v>
      </c>
    </row>
    <row r="5919" spans="6:6" ht="15">
      <c r="F5919" s="115">
        <f>+(disponibilidad[[#This Row],[Fecha y hora fin]]-disponibilidad[[#This Row],[Fecha y hora inicio]])*1440</f>
        <v>0</v>
      </c>
    </row>
    <row r="5920" spans="6:6" ht="15">
      <c r="F5920" s="115">
        <f>+(disponibilidad[[#This Row],[Fecha y hora fin]]-disponibilidad[[#This Row],[Fecha y hora inicio]])*1440</f>
        <v>0</v>
      </c>
    </row>
    <row r="5921" spans="6:6" ht="15">
      <c r="F5921" s="115">
        <f>+(disponibilidad[[#This Row],[Fecha y hora fin]]-disponibilidad[[#This Row],[Fecha y hora inicio]])*1440</f>
        <v>0</v>
      </c>
    </row>
    <row r="5922" spans="6:6" ht="15">
      <c r="F5922" s="115">
        <f>+(disponibilidad[[#This Row],[Fecha y hora fin]]-disponibilidad[[#This Row],[Fecha y hora inicio]])*1440</f>
        <v>0</v>
      </c>
    </row>
    <row r="5923" spans="6:6" ht="15">
      <c r="F5923" s="115">
        <f>+(disponibilidad[[#This Row],[Fecha y hora fin]]-disponibilidad[[#This Row],[Fecha y hora inicio]])*1440</f>
        <v>0</v>
      </c>
    </row>
    <row r="5924" spans="6:6" ht="15">
      <c r="F5924" s="115">
        <f>+(disponibilidad[[#This Row],[Fecha y hora fin]]-disponibilidad[[#This Row],[Fecha y hora inicio]])*1440</f>
        <v>0</v>
      </c>
    </row>
    <row r="5925" spans="6:6" ht="15">
      <c r="F5925" s="115">
        <f>+(disponibilidad[[#This Row],[Fecha y hora fin]]-disponibilidad[[#This Row],[Fecha y hora inicio]])*1440</f>
        <v>0</v>
      </c>
    </row>
    <row r="5926" spans="6:6" ht="15">
      <c r="F5926" s="115">
        <f>+(disponibilidad[[#This Row],[Fecha y hora fin]]-disponibilidad[[#This Row],[Fecha y hora inicio]])*1440</f>
        <v>0</v>
      </c>
    </row>
    <row r="5927" spans="6:6" ht="15">
      <c r="F5927" s="115">
        <f>+(disponibilidad[[#This Row],[Fecha y hora fin]]-disponibilidad[[#This Row],[Fecha y hora inicio]])*1440</f>
        <v>0</v>
      </c>
    </row>
    <row r="5928" spans="6:6" ht="15">
      <c r="F5928" s="115">
        <f>+(disponibilidad[[#This Row],[Fecha y hora fin]]-disponibilidad[[#This Row],[Fecha y hora inicio]])*1440</f>
        <v>0</v>
      </c>
    </row>
    <row r="5929" spans="6:6" ht="15">
      <c r="F5929" s="115">
        <f>+(disponibilidad[[#This Row],[Fecha y hora fin]]-disponibilidad[[#This Row],[Fecha y hora inicio]])*1440</f>
        <v>0</v>
      </c>
    </row>
    <row r="5930" spans="6:6" ht="15">
      <c r="F5930" s="115">
        <f>+(disponibilidad[[#This Row],[Fecha y hora fin]]-disponibilidad[[#This Row],[Fecha y hora inicio]])*1440</f>
        <v>0</v>
      </c>
    </row>
    <row r="5931" spans="6:6" ht="15">
      <c r="F5931" s="115">
        <f>+(disponibilidad[[#This Row],[Fecha y hora fin]]-disponibilidad[[#This Row],[Fecha y hora inicio]])*1440</f>
        <v>0</v>
      </c>
    </row>
    <row r="5932" spans="6:6" ht="15">
      <c r="F5932" s="115">
        <f>+(disponibilidad[[#This Row],[Fecha y hora fin]]-disponibilidad[[#This Row],[Fecha y hora inicio]])*1440</f>
        <v>0</v>
      </c>
    </row>
    <row r="5933" spans="6:6" ht="15">
      <c r="F5933" s="115">
        <f>+(disponibilidad[[#This Row],[Fecha y hora fin]]-disponibilidad[[#This Row],[Fecha y hora inicio]])*1440</f>
        <v>0</v>
      </c>
    </row>
    <row r="5934" spans="6:6" ht="15">
      <c r="F5934" s="115">
        <f>+(disponibilidad[[#This Row],[Fecha y hora fin]]-disponibilidad[[#This Row],[Fecha y hora inicio]])*1440</f>
        <v>0</v>
      </c>
    </row>
    <row r="5935" spans="6:6" ht="15">
      <c r="F5935" s="115">
        <f>+(disponibilidad[[#This Row],[Fecha y hora fin]]-disponibilidad[[#This Row],[Fecha y hora inicio]])*1440</f>
        <v>0</v>
      </c>
    </row>
    <row r="5936" spans="6:6" ht="15">
      <c r="F5936" s="115">
        <f>+(disponibilidad[[#This Row],[Fecha y hora fin]]-disponibilidad[[#This Row],[Fecha y hora inicio]])*1440</f>
        <v>0</v>
      </c>
    </row>
    <row r="5937" spans="6:6" ht="15">
      <c r="F5937" s="115">
        <f>+(disponibilidad[[#This Row],[Fecha y hora fin]]-disponibilidad[[#This Row],[Fecha y hora inicio]])*1440</f>
        <v>0</v>
      </c>
    </row>
    <row r="5938" spans="6:6" ht="15">
      <c r="F5938" s="115">
        <f>+(disponibilidad[[#This Row],[Fecha y hora fin]]-disponibilidad[[#This Row],[Fecha y hora inicio]])*1440</f>
        <v>0</v>
      </c>
    </row>
    <row r="5939" spans="6:6" ht="15">
      <c r="F5939" s="115">
        <f>+(disponibilidad[[#This Row],[Fecha y hora fin]]-disponibilidad[[#This Row],[Fecha y hora inicio]])*1440</f>
        <v>0</v>
      </c>
    </row>
    <row r="5940" spans="6:6" ht="15">
      <c r="F5940" s="115">
        <f>+(disponibilidad[[#This Row],[Fecha y hora fin]]-disponibilidad[[#This Row],[Fecha y hora inicio]])*1440</f>
        <v>0</v>
      </c>
    </row>
    <row r="5941" spans="6:6" ht="15">
      <c r="F5941" s="115">
        <f>+(disponibilidad[[#This Row],[Fecha y hora fin]]-disponibilidad[[#This Row],[Fecha y hora inicio]])*1440</f>
        <v>0</v>
      </c>
    </row>
    <row r="5942" spans="6:6" ht="15">
      <c r="F5942" s="115">
        <f>+(disponibilidad[[#This Row],[Fecha y hora fin]]-disponibilidad[[#This Row],[Fecha y hora inicio]])*1440</f>
        <v>0</v>
      </c>
    </row>
    <row r="5943" spans="6:6" ht="15">
      <c r="F5943" s="115">
        <f>+(disponibilidad[[#This Row],[Fecha y hora fin]]-disponibilidad[[#This Row],[Fecha y hora inicio]])*1440</f>
        <v>0</v>
      </c>
    </row>
    <row r="5944" spans="6:6" ht="15">
      <c r="F5944" s="115">
        <f>+(disponibilidad[[#This Row],[Fecha y hora fin]]-disponibilidad[[#This Row],[Fecha y hora inicio]])*1440</f>
        <v>0</v>
      </c>
    </row>
    <row r="5945" spans="6:6" ht="15">
      <c r="F5945" s="115">
        <f>+(disponibilidad[[#This Row],[Fecha y hora fin]]-disponibilidad[[#This Row],[Fecha y hora inicio]])*1440</f>
        <v>0</v>
      </c>
    </row>
    <row r="5946" spans="6:6" ht="15">
      <c r="F5946" s="115">
        <f>+(disponibilidad[[#This Row],[Fecha y hora fin]]-disponibilidad[[#This Row],[Fecha y hora inicio]])*1440</f>
        <v>0</v>
      </c>
    </row>
    <row r="5947" spans="6:6" ht="15">
      <c r="F5947" s="115">
        <f>+(disponibilidad[[#This Row],[Fecha y hora fin]]-disponibilidad[[#This Row],[Fecha y hora inicio]])*1440</f>
        <v>0</v>
      </c>
    </row>
    <row r="5948" spans="6:6" ht="15">
      <c r="F5948" s="115">
        <f>+(disponibilidad[[#This Row],[Fecha y hora fin]]-disponibilidad[[#This Row],[Fecha y hora inicio]])*1440</f>
        <v>0</v>
      </c>
    </row>
    <row r="5949" spans="6:6" ht="15">
      <c r="F5949" s="115">
        <f>+(disponibilidad[[#This Row],[Fecha y hora fin]]-disponibilidad[[#This Row],[Fecha y hora inicio]])*1440</f>
        <v>0</v>
      </c>
    </row>
    <row r="5950" spans="6:6" ht="15">
      <c r="F5950" s="115">
        <f>+(disponibilidad[[#This Row],[Fecha y hora fin]]-disponibilidad[[#This Row],[Fecha y hora inicio]])*1440</f>
        <v>0</v>
      </c>
    </row>
    <row r="5951" spans="6:6" ht="15">
      <c r="F5951" s="115">
        <f>+(disponibilidad[[#This Row],[Fecha y hora fin]]-disponibilidad[[#This Row],[Fecha y hora inicio]])*1440</f>
        <v>0</v>
      </c>
    </row>
    <row r="5952" spans="6:6" ht="15">
      <c r="F5952" s="115">
        <f>+(disponibilidad[[#This Row],[Fecha y hora fin]]-disponibilidad[[#This Row],[Fecha y hora inicio]])*1440</f>
        <v>0</v>
      </c>
    </row>
    <row r="5953" spans="6:6" ht="15">
      <c r="F5953" s="115">
        <f>+(disponibilidad[[#This Row],[Fecha y hora fin]]-disponibilidad[[#This Row],[Fecha y hora inicio]])*1440</f>
        <v>0</v>
      </c>
    </row>
    <row r="5954" spans="6:6" ht="15">
      <c r="F5954" s="115">
        <f>+(disponibilidad[[#This Row],[Fecha y hora fin]]-disponibilidad[[#This Row],[Fecha y hora inicio]])*1440</f>
        <v>0</v>
      </c>
    </row>
    <row r="5955" spans="6:6" ht="15">
      <c r="F5955" s="115">
        <f>+(disponibilidad[[#This Row],[Fecha y hora fin]]-disponibilidad[[#This Row],[Fecha y hora inicio]])*1440</f>
        <v>0</v>
      </c>
    </row>
    <row r="5956" spans="6:6" ht="15">
      <c r="F5956" s="115">
        <f>+(disponibilidad[[#This Row],[Fecha y hora fin]]-disponibilidad[[#This Row],[Fecha y hora inicio]])*1440</f>
        <v>0</v>
      </c>
    </row>
    <row r="5957" spans="6:6" ht="15">
      <c r="F5957" s="115">
        <f>+(disponibilidad[[#This Row],[Fecha y hora fin]]-disponibilidad[[#This Row],[Fecha y hora inicio]])*1440</f>
        <v>0</v>
      </c>
    </row>
    <row r="5958" spans="6:6" ht="15">
      <c r="F5958" s="115">
        <f>+(disponibilidad[[#This Row],[Fecha y hora fin]]-disponibilidad[[#This Row],[Fecha y hora inicio]])*1440</f>
        <v>0</v>
      </c>
    </row>
    <row r="5959" spans="6:6" ht="15">
      <c r="F5959" s="115">
        <f>+(disponibilidad[[#This Row],[Fecha y hora fin]]-disponibilidad[[#This Row],[Fecha y hora inicio]])*1440</f>
        <v>0</v>
      </c>
    </row>
    <row r="5960" spans="6:6" ht="15">
      <c r="F5960" s="115">
        <f>+(disponibilidad[[#This Row],[Fecha y hora fin]]-disponibilidad[[#This Row],[Fecha y hora inicio]])*1440</f>
        <v>0</v>
      </c>
    </row>
    <row r="5961" spans="6:6" ht="15">
      <c r="F5961" s="115">
        <f>+(disponibilidad[[#This Row],[Fecha y hora fin]]-disponibilidad[[#This Row],[Fecha y hora inicio]])*1440</f>
        <v>0</v>
      </c>
    </row>
    <row r="5962" spans="6:6" ht="15">
      <c r="F5962" s="115">
        <f>+(disponibilidad[[#This Row],[Fecha y hora fin]]-disponibilidad[[#This Row],[Fecha y hora inicio]])*1440</f>
        <v>0</v>
      </c>
    </row>
    <row r="5963" spans="6:6" ht="15">
      <c r="F5963" s="115">
        <f>+(disponibilidad[[#This Row],[Fecha y hora fin]]-disponibilidad[[#This Row],[Fecha y hora inicio]])*1440</f>
        <v>0</v>
      </c>
    </row>
    <row r="5964" spans="6:6" ht="15">
      <c r="F5964" s="115">
        <f>+(disponibilidad[[#This Row],[Fecha y hora fin]]-disponibilidad[[#This Row],[Fecha y hora inicio]])*1440</f>
        <v>0</v>
      </c>
    </row>
    <row r="5965" spans="6:6" ht="15">
      <c r="F5965" s="115">
        <f>+(disponibilidad[[#This Row],[Fecha y hora fin]]-disponibilidad[[#This Row],[Fecha y hora inicio]])*1440</f>
        <v>0</v>
      </c>
    </row>
    <row r="5966" spans="6:6" ht="15">
      <c r="F5966" s="115">
        <f>+(disponibilidad[[#This Row],[Fecha y hora fin]]-disponibilidad[[#This Row],[Fecha y hora inicio]])*1440</f>
        <v>0</v>
      </c>
    </row>
    <row r="5967" spans="6:6" ht="15">
      <c r="F5967" s="115">
        <f>+(disponibilidad[[#This Row],[Fecha y hora fin]]-disponibilidad[[#This Row],[Fecha y hora inicio]])*1440</f>
        <v>0</v>
      </c>
    </row>
    <row r="5968" spans="6:6" ht="15">
      <c r="F5968" s="115">
        <f>+(disponibilidad[[#This Row],[Fecha y hora fin]]-disponibilidad[[#This Row],[Fecha y hora inicio]])*1440</f>
        <v>0</v>
      </c>
    </row>
    <row r="5969" spans="6:6" ht="15">
      <c r="F5969" s="115">
        <f>+(disponibilidad[[#This Row],[Fecha y hora fin]]-disponibilidad[[#This Row],[Fecha y hora inicio]])*1440</f>
        <v>0</v>
      </c>
    </row>
    <row r="5970" spans="6:6" ht="15">
      <c r="F5970" s="115">
        <f>+(disponibilidad[[#This Row],[Fecha y hora fin]]-disponibilidad[[#This Row],[Fecha y hora inicio]])*1440</f>
        <v>0</v>
      </c>
    </row>
    <row r="5971" spans="6:6" ht="15">
      <c r="F5971" s="115">
        <f>+(disponibilidad[[#This Row],[Fecha y hora fin]]-disponibilidad[[#This Row],[Fecha y hora inicio]])*1440</f>
        <v>0</v>
      </c>
    </row>
    <row r="5972" spans="6:6" ht="15">
      <c r="F5972" s="115">
        <f>+(disponibilidad[[#This Row],[Fecha y hora fin]]-disponibilidad[[#This Row],[Fecha y hora inicio]])*1440</f>
        <v>0</v>
      </c>
    </row>
    <row r="5973" spans="6:6" ht="15">
      <c r="F5973" s="115">
        <f>+(disponibilidad[[#This Row],[Fecha y hora fin]]-disponibilidad[[#This Row],[Fecha y hora inicio]])*1440</f>
        <v>0</v>
      </c>
    </row>
    <row r="5974" spans="6:6" ht="15">
      <c r="F5974" s="115">
        <f>+(disponibilidad[[#This Row],[Fecha y hora fin]]-disponibilidad[[#This Row],[Fecha y hora inicio]])*1440</f>
        <v>0</v>
      </c>
    </row>
    <row r="5975" spans="6:6" ht="15">
      <c r="F5975" s="115">
        <f>+(disponibilidad[[#This Row],[Fecha y hora fin]]-disponibilidad[[#This Row],[Fecha y hora inicio]])*1440</f>
        <v>0</v>
      </c>
    </row>
    <row r="5976" spans="6:6" ht="15">
      <c r="F5976" s="115">
        <f>+(disponibilidad[[#This Row],[Fecha y hora fin]]-disponibilidad[[#This Row],[Fecha y hora inicio]])*1440</f>
        <v>0</v>
      </c>
    </row>
    <row r="5977" spans="6:6" ht="15">
      <c r="F5977" s="115">
        <f>+(disponibilidad[[#This Row],[Fecha y hora fin]]-disponibilidad[[#This Row],[Fecha y hora inicio]])*1440</f>
        <v>0</v>
      </c>
    </row>
    <row r="5978" spans="6:6" ht="15">
      <c r="F5978" s="115">
        <f>+(disponibilidad[[#This Row],[Fecha y hora fin]]-disponibilidad[[#This Row],[Fecha y hora inicio]])*1440</f>
        <v>0</v>
      </c>
    </row>
    <row r="5979" spans="6:6" ht="15">
      <c r="F5979" s="115">
        <f>+(disponibilidad[[#This Row],[Fecha y hora fin]]-disponibilidad[[#This Row],[Fecha y hora inicio]])*1440</f>
        <v>0</v>
      </c>
    </row>
    <row r="5980" spans="6:6" ht="15">
      <c r="F5980" s="115">
        <f>+(disponibilidad[[#This Row],[Fecha y hora fin]]-disponibilidad[[#This Row],[Fecha y hora inicio]])*1440</f>
        <v>0</v>
      </c>
    </row>
    <row r="5981" spans="6:6" ht="15">
      <c r="F5981" s="115">
        <f>+(disponibilidad[[#This Row],[Fecha y hora fin]]-disponibilidad[[#This Row],[Fecha y hora inicio]])*1440</f>
        <v>0</v>
      </c>
    </row>
    <row r="5982" spans="6:6" ht="15">
      <c r="F5982" s="115">
        <f>+(disponibilidad[[#This Row],[Fecha y hora fin]]-disponibilidad[[#This Row],[Fecha y hora inicio]])*1440</f>
        <v>0</v>
      </c>
    </row>
    <row r="5983" spans="6:6" ht="15">
      <c r="F5983" s="115">
        <f>+(disponibilidad[[#This Row],[Fecha y hora fin]]-disponibilidad[[#This Row],[Fecha y hora inicio]])*1440</f>
        <v>0</v>
      </c>
    </row>
    <row r="5984" spans="6:6" ht="15">
      <c r="F5984" s="115">
        <f>+(disponibilidad[[#This Row],[Fecha y hora fin]]-disponibilidad[[#This Row],[Fecha y hora inicio]])*1440</f>
        <v>0</v>
      </c>
    </row>
    <row r="5985" spans="6:6" ht="15">
      <c r="F5985" s="115">
        <f>+(disponibilidad[[#This Row],[Fecha y hora fin]]-disponibilidad[[#This Row],[Fecha y hora inicio]])*1440</f>
        <v>0</v>
      </c>
    </row>
    <row r="5986" spans="6:6" ht="15">
      <c r="F5986" s="115">
        <f>+(disponibilidad[[#This Row],[Fecha y hora fin]]-disponibilidad[[#This Row],[Fecha y hora inicio]])*1440</f>
        <v>0</v>
      </c>
    </row>
    <row r="5987" spans="6:6" ht="15">
      <c r="F5987" s="115">
        <f>+(disponibilidad[[#This Row],[Fecha y hora fin]]-disponibilidad[[#This Row],[Fecha y hora inicio]])*1440</f>
        <v>0</v>
      </c>
    </row>
    <row r="5988" spans="6:6" ht="15">
      <c r="F5988" s="115">
        <f>+(disponibilidad[[#This Row],[Fecha y hora fin]]-disponibilidad[[#This Row],[Fecha y hora inicio]])*1440</f>
        <v>0</v>
      </c>
    </row>
    <row r="5989" spans="6:6" ht="15">
      <c r="F5989" s="115">
        <f>+(disponibilidad[[#This Row],[Fecha y hora fin]]-disponibilidad[[#This Row],[Fecha y hora inicio]])*1440</f>
        <v>0</v>
      </c>
    </row>
    <row r="5990" spans="6:6" ht="15">
      <c r="F5990" s="115">
        <f>+(disponibilidad[[#This Row],[Fecha y hora fin]]-disponibilidad[[#This Row],[Fecha y hora inicio]])*1440</f>
        <v>0</v>
      </c>
    </row>
    <row r="5991" spans="6:6" ht="15">
      <c r="F5991" s="115">
        <f>+(disponibilidad[[#This Row],[Fecha y hora fin]]-disponibilidad[[#This Row],[Fecha y hora inicio]])*1440</f>
        <v>0</v>
      </c>
    </row>
    <row r="5992" spans="6:6" ht="15">
      <c r="F5992" s="115">
        <f>+(disponibilidad[[#This Row],[Fecha y hora fin]]-disponibilidad[[#This Row],[Fecha y hora inicio]])*1440</f>
        <v>0</v>
      </c>
    </row>
    <row r="5993" spans="6:6" ht="15">
      <c r="F5993" s="115">
        <f>+(disponibilidad[[#This Row],[Fecha y hora fin]]-disponibilidad[[#This Row],[Fecha y hora inicio]])*1440</f>
        <v>0</v>
      </c>
    </row>
    <row r="5994" spans="6:6" ht="15">
      <c r="F5994" s="115">
        <f>+(disponibilidad[[#This Row],[Fecha y hora fin]]-disponibilidad[[#This Row],[Fecha y hora inicio]])*1440</f>
        <v>0</v>
      </c>
    </row>
    <row r="5995" spans="6:6" ht="15">
      <c r="F5995" s="115">
        <f>+(disponibilidad[[#This Row],[Fecha y hora fin]]-disponibilidad[[#This Row],[Fecha y hora inicio]])*1440</f>
        <v>0</v>
      </c>
    </row>
    <row r="5996" spans="6:6" ht="15">
      <c r="F5996" s="115">
        <f>+(disponibilidad[[#This Row],[Fecha y hora fin]]-disponibilidad[[#This Row],[Fecha y hora inicio]])*1440</f>
        <v>0</v>
      </c>
    </row>
    <row r="5997" spans="6:6" ht="15">
      <c r="F5997" s="115">
        <f>+(disponibilidad[[#This Row],[Fecha y hora fin]]-disponibilidad[[#This Row],[Fecha y hora inicio]])*1440</f>
        <v>0</v>
      </c>
    </row>
    <row r="5998" spans="6:6" ht="15">
      <c r="F5998" s="115">
        <f>+(disponibilidad[[#This Row],[Fecha y hora fin]]-disponibilidad[[#This Row],[Fecha y hora inicio]])*1440</f>
        <v>0</v>
      </c>
    </row>
    <row r="5999" spans="6:6" ht="15">
      <c r="F5999" s="115">
        <f>+(disponibilidad[[#This Row],[Fecha y hora fin]]-disponibilidad[[#This Row],[Fecha y hora inicio]])*1440</f>
        <v>0</v>
      </c>
    </row>
    <row r="6000" spans="6:6" ht="15">
      <c r="F6000" s="115">
        <f>+(disponibilidad[[#This Row],[Fecha y hora fin]]-disponibilidad[[#This Row],[Fecha y hora inicio]])*1440</f>
        <v>0</v>
      </c>
    </row>
    <row r="6001" spans="6:6" ht="15">
      <c r="F6001" s="115">
        <f>+(disponibilidad[[#This Row],[Fecha y hora fin]]-disponibilidad[[#This Row],[Fecha y hora inicio]])*1440</f>
        <v>0</v>
      </c>
    </row>
    <row r="6002" spans="6:6" ht="15">
      <c r="F6002" s="115">
        <f>+(disponibilidad[[#This Row],[Fecha y hora fin]]-disponibilidad[[#This Row],[Fecha y hora inicio]])*1440</f>
        <v>0</v>
      </c>
    </row>
    <row r="6003" spans="6:6" ht="15">
      <c r="F6003" s="115">
        <f>+(disponibilidad[[#This Row],[Fecha y hora fin]]-disponibilidad[[#This Row],[Fecha y hora inicio]])*1440</f>
        <v>0</v>
      </c>
    </row>
    <row r="6004" spans="6:6" ht="15">
      <c r="F6004" s="115">
        <f>+(disponibilidad[[#This Row],[Fecha y hora fin]]-disponibilidad[[#This Row],[Fecha y hora inicio]])*1440</f>
        <v>0</v>
      </c>
    </row>
    <row r="6005" spans="6:6" ht="15">
      <c r="F6005" s="115">
        <f>+(disponibilidad[[#This Row],[Fecha y hora fin]]-disponibilidad[[#This Row],[Fecha y hora inicio]])*1440</f>
        <v>0</v>
      </c>
    </row>
    <row r="6006" spans="6:6" ht="15">
      <c r="F6006" s="115">
        <f>+(disponibilidad[[#This Row],[Fecha y hora fin]]-disponibilidad[[#This Row],[Fecha y hora inicio]])*1440</f>
        <v>0</v>
      </c>
    </row>
    <row r="6007" spans="6:6" ht="15">
      <c r="F6007" s="115">
        <f>+(disponibilidad[[#This Row],[Fecha y hora fin]]-disponibilidad[[#This Row],[Fecha y hora inicio]])*1440</f>
        <v>0</v>
      </c>
    </row>
    <row r="6008" spans="6:6" ht="15">
      <c r="F6008" s="115">
        <f>+(disponibilidad[[#This Row],[Fecha y hora fin]]-disponibilidad[[#This Row],[Fecha y hora inicio]])*1440</f>
        <v>0</v>
      </c>
    </row>
    <row r="6009" spans="6:6" ht="15">
      <c r="F6009" s="115">
        <f>+(disponibilidad[[#This Row],[Fecha y hora fin]]-disponibilidad[[#This Row],[Fecha y hora inicio]])*1440</f>
        <v>0</v>
      </c>
    </row>
    <row r="6010" spans="6:6" ht="15">
      <c r="F6010" s="115">
        <f>+(disponibilidad[[#This Row],[Fecha y hora fin]]-disponibilidad[[#This Row],[Fecha y hora inicio]])*1440</f>
        <v>0</v>
      </c>
    </row>
    <row r="6011" spans="6:6" ht="15">
      <c r="F6011" s="115">
        <f>+(disponibilidad[[#This Row],[Fecha y hora fin]]-disponibilidad[[#This Row],[Fecha y hora inicio]])*1440</f>
        <v>0</v>
      </c>
    </row>
    <row r="6012" spans="6:6" ht="15">
      <c r="F6012" s="115">
        <f>+(disponibilidad[[#This Row],[Fecha y hora fin]]-disponibilidad[[#This Row],[Fecha y hora inicio]])*1440</f>
        <v>0</v>
      </c>
    </row>
    <row r="6013" spans="6:6" ht="15">
      <c r="F6013" s="115">
        <f>+(disponibilidad[[#This Row],[Fecha y hora fin]]-disponibilidad[[#This Row],[Fecha y hora inicio]])*1440</f>
        <v>0</v>
      </c>
    </row>
    <row r="6014" spans="6:6" ht="15">
      <c r="F6014" s="115">
        <f>+(disponibilidad[[#This Row],[Fecha y hora fin]]-disponibilidad[[#This Row],[Fecha y hora inicio]])*1440</f>
        <v>0</v>
      </c>
    </row>
    <row r="6015" spans="6:6" ht="15">
      <c r="F6015" s="115">
        <f>+(disponibilidad[[#This Row],[Fecha y hora fin]]-disponibilidad[[#This Row],[Fecha y hora inicio]])*1440</f>
        <v>0</v>
      </c>
    </row>
    <row r="6016" spans="6:6" ht="15">
      <c r="F6016" s="115">
        <f>+(disponibilidad[[#This Row],[Fecha y hora fin]]-disponibilidad[[#This Row],[Fecha y hora inicio]])*1440</f>
        <v>0</v>
      </c>
    </row>
    <row r="6017" spans="6:6" ht="15">
      <c r="F6017" s="115">
        <f>+(disponibilidad[[#This Row],[Fecha y hora fin]]-disponibilidad[[#This Row],[Fecha y hora inicio]])*1440</f>
        <v>0</v>
      </c>
    </row>
    <row r="6018" spans="6:6" ht="15">
      <c r="F6018" s="115">
        <f>+(disponibilidad[[#This Row],[Fecha y hora fin]]-disponibilidad[[#This Row],[Fecha y hora inicio]])*1440</f>
        <v>0</v>
      </c>
    </row>
    <row r="6019" spans="6:6" ht="15">
      <c r="F6019" s="115">
        <f>+(disponibilidad[[#This Row],[Fecha y hora fin]]-disponibilidad[[#This Row],[Fecha y hora inicio]])*1440</f>
        <v>0</v>
      </c>
    </row>
    <row r="6020" spans="6:6" ht="15">
      <c r="F6020" s="115">
        <f>+(disponibilidad[[#This Row],[Fecha y hora fin]]-disponibilidad[[#This Row],[Fecha y hora inicio]])*1440</f>
        <v>0</v>
      </c>
    </row>
    <row r="6021" spans="6:6" ht="15">
      <c r="F6021" s="115">
        <f>+(disponibilidad[[#This Row],[Fecha y hora fin]]-disponibilidad[[#This Row],[Fecha y hora inicio]])*1440</f>
        <v>0</v>
      </c>
    </row>
    <row r="6022" spans="6:6" ht="15">
      <c r="F6022" s="115">
        <f>+(disponibilidad[[#This Row],[Fecha y hora fin]]-disponibilidad[[#This Row],[Fecha y hora inicio]])*1440</f>
        <v>0</v>
      </c>
    </row>
    <row r="6023" spans="6:6" ht="15">
      <c r="F6023" s="115">
        <f>+(disponibilidad[[#This Row],[Fecha y hora fin]]-disponibilidad[[#This Row],[Fecha y hora inicio]])*1440</f>
        <v>0</v>
      </c>
    </row>
    <row r="6024" spans="6:6" ht="15">
      <c r="F6024" s="115">
        <f>+(disponibilidad[[#This Row],[Fecha y hora fin]]-disponibilidad[[#This Row],[Fecha y hora inicio]])*1440</f>
        <v>0</v>
      </c>
    </row>
    <row r="6025" spans="6:6" ht="15">
      <c r="F6025" s="115">
        <f>+(disponibilidad[[#This Row],[Fecha y hora fin]]-disponibilidad[[#This Row],[Fecha y hora inicio]])*1440</f>
        <v>0</v>
      </c>
    </row>
    <row r="6026" spans="6:6" ht="15">
      <c r="F6026" s="115">
        <f>+(disponibilidad[[#This Row],[Fecha y hora fin]]-disponibilidad[[#This Row],[Fecha y hora inicio]])*1440</f>
        <v>0</v>
      </c>
    </row>
    <row r="6027" spans="6:6" ht="15">
      <c r="F6027" s="115">
        <f>+(disponibilidad[[#This Row],[Fecha y hora fin]]-disponibilidad[[#This Row],[Fecha y hora inicio]])*1440</f>
        <v>0</v>
      </c>
    </row>
    <row r="6028" spans="6:6" ht="15">
      <c r="F6028" s="115">
        <f>+(disponibilidad[[#This Row],[Fecha y hora fin]]-disponibilidad[[#This Row],[Fecha y hora inicio]])*1440</f>
        <v>0</v>
      </c>
    </row>
    <row r="6029" spans="6:6" ht="15">
      <c r="F6029" s="115">
        <f>+(disponibilidad[[#This Row],[Fecha y hora fin]]-disponibilidad[[#This Row],[Fecha y hora inicio]])*1440</f>
        <v>0</v>
      </c>
    </row>
    <row r="6030" spans="6:6" ht="15">
      <c r="F6030" s="115">
        <f>+(disponibilidad[[#This Row],[Fecha y hora fin]]-disponibilidad[[#This Row],[Fecha y hora inicio]])*1440</f>
        <v>0</v>
      </c>
    </row>
    <row r="6031" spans="6:6" ht="15">
      <c r="F6031" s="115">
        <f>+(disponibilidad[[#This Row],[Fecha y hora fin]]-disponibilidad[[#This Row],[Fecha y hora inicio]])*1440</f>
        <v>0</v>
      </c>
    </row>
    <row r="6032" spans="6:6" ht="15">
      <c r="F6032" s="115">
        <f>+(disponibilidad[[#This Row],[Fecha y hora fin]]-disponibilidad[[#This Row],[Fecha y hora inicio]])*1440</f>
        <v>0</v>
      </c>
    </row>
    <row r="6033" spans="6:6" ht="15">
      <c r="F6033" s="115">
        <f>+(disponibilidad[[#This Row],[Fecha y hora fin]]-disponibilidad[[#This Row],[Fecha y hora inicio]])*1440</f>
        <v>0</v>
      </c>
    </row>
    <row r="6034" spans="6:6" ht="15">
      <c r="F6034" s="115">
        <f>+(disponibilidad[[#This Row],[Fecha y hora fin]]-disponibilidad[[#This Row],[Fecha y hora inicio]])*1440</f>
        <v>0</v>
      </c>
    </row>
    <row r="6035" spans="6:6" ht="15">
      <c r="F6035" s="115">
        <f>+(disponibilidad[[#This Row],[Fecha y hora fin]]-disponibilidad[[#This Row],[Fecha y hora inicio]])*1440</f>
        <v>0</v>
      </c>
    </row>
    <row r="6036" spans="6:6" ht="15">
      <c r="F6036" s="115">
        <f>+(disponibilidad[[#This Row],[Fecha y hora fin]]-disponibilidad[[#This Row],[Fecha y hora inicio]])*1440</f>
        <v>0</v>
      </c>
    </row>
    <row r="6037" spans="6:6" ht="15">
      <c r="F6037" s="115">
        <f>+(disponibilidad[[#This Row],[Fecha y hora fin]]-disponibilidad[[#This Row],[Fecha y hora inicio]])*1440</f>
        <v>0</v>
      </c>
    </row>
    <row r="6038" spans="6:6" ht="15">
      <c r="F6038" s="115">
        <f>+(disponibilidad[[#This Row],[Fecha y hora fin]]-disponibilidad[[#This Row],[Fecha y hora inicio]])*1440</f>
        <v>0</v>
      </c>
    </row>
    <row r="6039" spans="6:6" ht="15">
      <c r="F6039" s="115">
        <f>+(disponibilidad[[#This Row],[Fecha y hora fin]]-disponibilidad[[#This Row],[Fecha y hora inicio]])*1440</f>
        <v>0</v>
      </c>
    </row>
    <row r="6040" spans="6:6" ht="15">
      <c r="F6040" s="115">
        <f>+(disponibilidad[[#This Row],[Fecha y hora fin]]-disponibilidad[[#This Row],[Fecha y hora inicio]])*1440</f>
        <v>0</v>
      </c>
    </row>
    <row r="6041" spans="6:6" ht="15">
      <c r="F6041" s="115">
        <f>+(disponibilidad[[#This Row],[Fecha y hora fin]]-disponibilidad[[#This Row],[Fecha y hora inicio]])*1440</f>
        <v>0</v>
      </c>
    </row>
    <row r="6042" spans="6:6" ht="15">
      <c r="F6042" s="115">
        <f>+(disponibilidad[[#This Row],[Fecha y hora fin]]-disponibilidad[[#This Row],[Fecha y hora inicio]])*1440</f>
        <v>0</v>
      </c>
    </row>
    <row r="6043" spans="6:6" ht="15">
      <c r="F6043" s="115">
        <f>+(disponibilidad[[#This Row],[Fecha y hora fin]]-disponibilidad[[#This Row],[Fecha y hora inicio]])*1440</f>
        <v>0</v>
      </c>
    </row>
    <row r="6044" spans="6:6" ht="15">
      <c r="F6044" s="115">
        <f>+(disponibilidad[[#This Row],[Fecha y hora fin]]-disponibilidad[[#This Row],[Fecha y hora inicio]])*1440</f>
        <v>0</v>
      </c>
    </row>
    <row r="6045" spans="6:6" ht="15">
      <c r="F6045" s="115">
        <f>+(disponibilidad[[#This Row],[Fecha y hora fin]]-disponibilidad[[#This Row],[Fecha y hora inicio]])*1440</f>
        <v>0</v>
      </c>
    </row>
    <row r="6046" spans="6:6" ht="15">
      <c r="F6046" s="115">
        <f>+(disponibilidad[[#This Row],[Fecha y hora fin]]-disponibilidad[[#This Row],[Fecha y hora inicio]])*1440</f>
        <v>0</v>
      </c>
    </row>
    <row r="6047" spans="6:6" ht="15">
      <c r="F6047" s="115">
        <f>+(disponibilidad[[#This Row],[Fecha y hora fin]]-disponibilidad[[#This Row],[Fecha y hora inicio]])*1440</f>
        <v>0</v>
      </c>
    </row>
    <row r="6048" spans="6:6" ht="15">
      <c r="F6048" s="115">
        <f>+(disponibilidad[[#This Row],[Fecha y hora fin]]-disponibilidad[[#This Row],[Fecha y hora inicio]])*1440</f>
        <v>0</v>
      </c>
    </row>
    <row r="6049" spans="6:6" ht="15">
      <c r="F6049" s="115">
        <f>+(disponibilidad[[#This Row],[Fecha y hora fin]]-disponibilidad[[#This Row],[Fecha y hora inicio]])*1440</f>
        <v>0</v>
      </c>
    </row>
    <row r="6050" spans="6:6" ht="15">
      <c r="F6050" s="115">
        <f>+(disponibilidad[[#This Row],[Fecha y hora fin]]-disponibilidad[[#This Row],[Fecha y hora inicio]])*1440</f>
        <v>0</v>
      </c>
    </row>
    <row r="6051" spans="6:6" ht="15">
      <c r="F6051" s="115">
        <f>+(disponibilidad[[#This Row],[Fecha y hora fin]]-disponibilidad[[#This Row],[Fecha y hora inicio]])*1440</f>
        <v>0</v>
      </c>
    </row>
    <row r="6052" spans="6:6" ht="15">
      <c r="F6052" s="115">
        <f>+(disponibilidad[[#This Row],[Fecha y hora fin]]-disponibilidad[[#This Row],[Fecha y hora inicio]])*1440</f>
        <v>0</v>
      </c>
    </row>
    <row r="6053" spans="6:6" ht="15">
      <c r="F6053" s="115">
        <f>+(disponibilidad[[#This Row],[Fecha y hora fin]]-disponibilidad[[#This Row],[Fecha y hora inicio]])*1440</f>
        <v>0</v>
      </c>
    </row>
    <row r="6054" spans="6:6" ht="15">
      <c r="F6054" s="115">
        <f>+(disponibilidad[[#This Row],[Fecha y hora fin]]-disponibilidad[[#This Row],[Fecha y hora inicio]])*1440</f>
        <v>0</v>
      </c>
    </row>
    <row r="6055" spans="6:6" ht="15">
      <c r="F6055" s="115">
        <f>+(disponibilidad[[#This Row],[Fecha y hora fin]]-disponibilidad[[#This Row],[Fecha y hora inicio]])*1440</f>
        <v>0</v>
      </c>
    </row>
    <row r="6056" spans="6:6" ht="15">
      <c r="F6056" s="115">
        <f>+(disponibilidad[[#This Row],[Fecha y hora fin]]-disponibilidad[[#This Row],[Fecha y hora inicio]])*1440</f>
        <v>0</v>
      </c>
    </row>
    <row r="6057" spans="6:6" ht="15">
      <c r="F6057" s="115">
        <f>+(disponibilidad[[#This Row],[Fecha y hora fin]]-disponibilidad[[#This Row],[Fecha y hora inicio]])*1440</f>
        <v>0</v>
      </c>
    </row>
    <row r="6058" spans="6:6" ht="15">
      <c r="F6058" s="115">
        <f>+(disponibilidad[[#This Row],[Fecha y hora fin]]-disponibilidad[[#This Row],[Fecha y hora inicio]])*1440</f>
        <v>0</v>
      </c>
    </row>
    <row r="6059" spans="6:6" ht="15">
      <c r="F6059" s="115">
        <f>+(disponibilidad[[#This Row],[Fecha y hora fin]]-disponibilidad[[#This Row],[Fecha y hora inicio]])*1440</f>
        <v>0</v>
      </c>
    </row>
    <row r="6060" spans="6:6" ht="15">
      <c r="F6060" s="115">
        <f>+(disponibilidad[[#This Row],[Fecha y hora fin]]-disponibilidad[[#This Row],[Fecha y hora inicio]])*1440</f>
        <v>0</v>
      </c>
    </row>
    <row r="6061" spans="6:6" ht="15">
      <c r="F6061" s="115">
        <f>+(disponibilidad[[#This Row],[Fecha y hora fin]]-disponibilidad[[#This Row],[Fecha y hora inicio]])*1440</f>
        <v>0</v>
      </c>
    </row>
    <row r="6062" spans="6:6" ht="15">
      <c r="F6062" s="115">
        <f>+(disponibilidad[[#This Row],[Fecha y hora fin]]-disponibilidad[[#This Row],[Fecha y hora inicio]])*1440</f>
        <v>0</v>
      </c>
    </row>
    <row r="6063" spans="6:6" ht="15">
      <c r="F6063" s="115">
        <f>+(disponibilidad[[#This Row],[Fecha y hora fin]]-disponibilidad[[#This Row],[Fecha y hora inicio]])*1440</f>
        <v>0</v>
      </c>
    </row>
    <row r="6064" spans="6:6" ht="15">
      <c r="F6064" s="115">
        <f>+(disponibilidad[[#This Row],[Fecha y hora fin]]-disponibilidad[[#This Row],[Fecha y hora inicio]])*1440</f>
        <v>0</v>
      </c>
    </row>
    <row r="6065" spans="6:6" ht="15">
      <c r="F6065" s="115">
        <f>+(disponibilidad[[#This Row],[Fecha y hora fin]]-disponibilidad[[#This Row],[Fecha y hora inicio]])*1440</f>
        <v>0</v>
      </c>
    </row>
    <row r="6066" spans="6:6" ht="15">
      <c r="F6066" s="115">
        <f>+(disponibilidad[[#This Row],[Fecha y hora fin]]-disponibilidad[[#This Row],[Fecha y hora inicio]])*1440</f>
        <v>0</v>
      </c>
    </row>
    <row r="6067" spans="6:6" ht="15">
      <c r="F6067" s="115">
        <f>+(disponibilidad[[#This Row],[Fecha y hora fin]]-disponibilidad[[#This Row],[Fecha y hora inicio]])*1440</f>
        <v>0</v>
      </c>
    </row>
    <row r="6068" spans="6:6" ht="15">
      <c r="F6068" s="115">
        <f>+(disponibilidad[[#This Row],[Fecha y hora fin]]-disponibilidad[[#This Row],[Fecha y hora inicio]])*1440</f>
        <v>0</v>
      </c>
    </row>
    <row r="6069" spans="6:6" ht="15">
      <c r="F6069" s="115">
        <f>+(disponibilidad[[#This Row],[Fecha y hora fin]]-disponibilidad[[#This Row],[Fecha y hora inicio]])*1440</f>
        <v>0</v>
      </c>
    </row>
    <row r="6070" spans="6:6" ht="15">
      <c r="F6070" s="115">
        <f>+(disponibilidad[[#This Row],[Fecha y hora fin]]-disponibilidad[[#This Row],[Fecha y hora inicio]])*1440</f>
        <v>0</v>
      </c>
    </row>
    <row r="6071" spans="6:6" ht="15">
      <c r="F6071" s="115">
        <f>+(disponibilidad[[#This Row],[Fecha y hora fin]]-disponibilidad[[#This Row],[Fecha y hora inicio]])*1440</f>
        <v>0</v>
      </c>
    </row>
    <row r="6072" spans="6:6" ht="15">
      <c r="F6072" s="115">
        <f>+(disponibilidad[[#This Row],[Fecha y hora fin]]-disponibilidad[[#This Row],[Fecha y hora inicio]])*1440</f>
        <v>0</v>
      </c>
    </row>
    <row r="6073" spans="6:6" ht="15">
      <c r="F6073" s="115">
        <f>+(disponibilidad[[#This Row],[Fecha y hora fin]]-disponibilidad[[#This Row],[Fecha y hora inicio]])*1440</f>
        <v>0</v>
      </c>
    </row>
    <row r="6074" spans="6:6" ht="15">
      <c r="F6074" s="115">
        <f>+(disponibilidad[[#This Row],[Fecha y hora fin]]-disponibilidad[[#This Row],[Fecha y hora inicio]])*1440</f>
        <v>0</v>
      </c>
    </row>
    <row r="6075" spans="6:6" ht="15">
      <c r="F6075" s="115">
        <f>+(disponibilidad[[#This Row],[Fecha y hora fin]]-disponibilidad[[#This Row],[Fecha y hora inicio]])*1440</f>
        <v>0</v>
      </c>
    </row>
    <row r="6076" spans="6:6" ht="15">
      <c r="F6076" s="115">
        <f>+(disponibilidad[[#This Row],[Fecha y hora fin]]-disponibilidad[[#This Row],[Fecha y hora inicio]])*1440</f>
        <v>0</v>
      </c>
    </row>
    <row r="6077" spans="6:6" ht="15">
      <c r="F6077" s="115">
        <f>+(disponibilidad[[#This Row],[Fecha y hora fin]]-disponibilidad[[#This Row],[Fecha y hora inicio]])*1440</f>
        <v>0</v>
      </c>
    </row>
    <row r="6078" spans="6:6" ht="15">
      <c r="F6078" s="115">
        <f>+(disponibilidad[[#This Row],[Fecha y hora fin]]-disponibilidad[[#This Row],[Fecha y hora inicio]])*1440</f>
        <v>0</v>
      </c>
    </row>
    <row r="6079" spans="6:6" ht="15">
      <c r="F6079" s="115">
        <f>+(disponibilidad[[#This Row],[Fecha y hora fin]]-disponibilidad[[#This Row],[Fecha y hora inicio]])*1440</f>
        <v>0</v>
      </c>
    </row>
    <row r="6080" spans="6:6" ht="15">
      <c r="F6080" s="115">
        <f>+(disponibilidad[[#This Row],[Fecha y hora fin]]-disponibilidad[[#This Row],[Fecha y hora inicio]])*1440</f>
        <v>0</v>
      </c>
    </row>
    <row r="6081" spans="6:6" ht="15">
      <c r="F6081" s="115">
        <f>+(disponibilidad[[#This Row],[Fecha y hora fin]]-disponibilidad[[#This Row],[Fecha y hora inicio]])*1440</f>
        <v>0</v>
      </c>
    </row>
    <row r="6082" spans="6:6" ht="15">
      <c r="F6082" s="115">
        <f>+(disponibilidad[[#This Row],[Fecha y hora fin]]-disponibilidad[[#This Row],[Fecha y hora inicio]])*1440</f>
        <v>0</v>
      </c>
    </row>
    <row r="6083" spans="6:6" ht="15">
      <c r="F6083" s="115">
        <f>+(disponibilidad[[#This Row],[Fecha y hora fin]]-disponibilidad[[#This Row],[Fecha y hora inicio]])*1440</f>
        <v>0</v>
      </c>
    </row>
    <row r="6084" spans="6:6" ht="15">
      <c r="F6084" s="115">
        <f>+(disponibilidad[[#This Row],[Fecha y hora fin]]-disponibilidad[[#This Row],[Fecha y hora inicio]])*1440</f>
        <v>0</v>
      </c>
    </row>
    <row r="6085" spans="6:6" ht="15">
      <c r="F6085" s="115">
        <f>+(disponibilidad[[#This Row],[Fecha y hora fin]]-disponibilidad[[#This Row],[Fecha y hora inicio]])*1440</f>
        <v>0</v>
      </c>
    </row>
    <row r="6086" spans="6:6" ht="15">
      <c r="F6086" s="115">
        <f>+(disponibilidad[[#This Row],[Fecha y hora fin]]-disponibilidad[[#This Row],[Fecha y hora inicio]])*1440</f>
        <v>0</v>
      </c>
    </row>
    <row r="6087" spans="6:6" ht="15">
      <c r="F6087" s="115">
        <f>+(disponibilidad[[#This Row],[Fecha y hora fin]]-disponibilidad[[#This Row],[Fecha y hora inicio]])*1440</f>
        <v>0</v>
      </c>
    </row>
    <row r="6088" spans="6:6" ht="15">
      <c r="F6088" s="115">
        <f>+(disponibilidad[[#This Row],[Fecha y hora fin]]-disponibilidad[[#This Row],[Fecha y hora inicio]])*1440</f>
        <v>0</v>
      </c>
    </row>
    <row r="6089" spans="6:6" ht="15">
      <c r="F6089" s="115">
        <f>+(disponibilidad[[#This Row],[Fecha y hora fin]]-disponibilidad[[#This Row],[Fecha y hora inicio]])*1440</f>
        <v>0</v>
      </c>
    </row>
    <row r="6090" spans="6:6" ht="15">
      <c r="F6090" s="115">
        <f>+(disponibilidad[[#This Row],[Fecha y hora fin]]-disponibilidad[[#This Row],[Fecha y hora inicio]])*1440</f>
        <v>0</v>
      </c>
    </row>
    <row r="6091" spans="6:6" ht="15">
      <c r="F6091" s="115">
        <f>+(disponibilidad[[#This Row],[Fecha y hora fin]]-disponibilidad[[#This Row],[Fecha y hora inicio]])*1440</f>
        <v>0</v>
      </c>
    </row>
    <row r="6092" spans="6:6" ht="15">
      <c r="F6092" s="115">
        <f>+(disponibilidad[[#This Row],[Fecha y hora fin]]-disponibilidad[[#This Row],[Fecha y hora inicio]])*1440</f>
        <v>0</v>
      </c>
    </row>
    <row r="6093" spans="6:6" ht="15">
      <c r="F6093" s="115">
        <f>+(disponibilidad[[#This Row],[Fecha y hora fin]]-disponibilidad[[#This Row],[Fecha y hora inicio]])*1440</f>
        <v>0</v>
      </c>
    </row>
    <row r="6094" spans="6:6" ht="15">
      <c r="F6094" s="115">
        <f>+(disponibilidad[[#This Row],[Fecha y hora fin]]-disponibilidad[[#This Row],[Fecha y hora inicio]])*1440</f>
        <v>0</v>
      </c>
    </row>
    <row r="6095" spans="6:6" ht="15">
      <c r="F6095" s="115">
        <f>+(disponibilidad[[#This Row],[Fecha y hora fin]]-disponibilidad[[#This Row],[Fecha y hora inicio]])*1440</f>
        <v>0</v>
      </c>
    </row>
    <row r="6096" spans="6:6" ht="15">
      <c r="F6096" s="115">
        <f>+(disponibilidad[[#This Row],[Fecha y hora fin]]-disponibilidad[[#This Row],[Fecha y hora inicio]])*1440</f>
        <v>0</v>
      </c>
    </row>
    <row r="6097" spans="6:6" ht="15">
      <c r="F6097" s="115">
        <f>+(disponibilidad[[#This Row],[Fecha y hora fin]]-disponibilidad[[#This Row],[Fecha y hora inicio]])*1440</f>
        <v>0</v>
      </c>
    </row>
    <row r="6098" spans="6:6" ht="15">
      <c r="F6098" s="115">
        <f>+(disponibilidad[[#This Row],[Fecha y hora fin]]-disponibilidad[[#This Row],[Fecha y hora inicio]])*1440</f>
        <v>0</v>
      </c>
    </row>
    <row r="6099" spans="6:6" ht="15">
      <c r="F6099" s="115">
        <f>+(disponibilidad[[#This Row],[Fecha y hora fin]]-disponibilidad[[#This Row],[Fecha y hora inicio]])*1440</f>
        <v>0</v>
      </c>
    </row>
    <row r="6100" spans="6:6" ht="15">
      <c r="F6100" s="115">
        <f>+(disponibilidad[[#This Row],[Fecha y hora fin]]-disponibilidad[[#This Row],[Fecha y hora inicio]])*1440</f>
        <v>0</v>
      </c>
    </row>
    <row r="6101" spans="6:6" ht="15">
      <c r="F6101" s="115">
        <f>+(disponibilidad[[#This Row],[Fecha y hora fin]]-disponibilidad[[#This Row],[Fecha y hora inicio]])*1440</f>
        <v>0</v>
      </c>
    </row>
    <row r="6102" spans="6:6" ht="15">
      <c r="F6102" s="115">
        <f>+(disponibilidad[[#This Row],[Fecha y hora fin]]-disponibilidad[[#This Row],[Fecha y hora inicio]])*1440</f>
        <v>0</v>
      </c>
    </row>
    <row r="6103" spans="6:6" ht="15">
      <c r="F6103" s="115">
        <f>+(disponibilidad[[#This Row],[Fecha y hora fin]]-disponibilidad[[#This Row],[Fecha y hora inicio]])*1440</f>
        <v>0</v>
      </c>
    </row>
    <row r="6104" spans="6:6" ht="15">
      <c r="F6104" s="115">
        <f>+(disponibilidad[[#This Row],[Fecha y hora fin]]-disponibilidad[[#This Row],[Fecha y hora inicio]])*1440</f>
        <v>0</v>
      </c>
    </row>
    <row r="6105" spans="6:6" ht="15">
      <c r="F6105" s="115">
        <f>+(disponibilidad[[#This Row],[Fecha y hora fin]]-disponibilidad[[#This Row],[Fecha y hora inicio]])*1440</f>
        <v>0</v>
      </c>
    </row>
    <row r="6106" spans="6:6" ht="15">
      <c r="F6106" s="115">
        <f>+(disponibilidad[[#This Row],[Fecha y hora fin]]-disponibilidad[[#This Row],[Fecha y hora inicio]])*1440</f>
        <v>0</v>
      </c>
    </row>
    <row r="6107" spans="6:6" ht="15">
      <c r="F6107" s="115">
        <f>+(disponibilidad[[#This Row],[Fecha y hora fin]]-disponibilidad[[#This Row],[Fecha y hora inicio]])*1440</f>
        <v>0</v>
      </c>
    </row>
    <row r="6108" spans="6:6" ht="15">
      <c r="F6108" s="115">
        <f>+(disponibilidad[[#This Row],[Fecha y hora fin]]-disponibilidad[[#This Row],[Fecha y hora inicio]])*1440</f>
        <v>0</v>
      </c>
    </row>
    <row r="6109" spans="6:6" ht="15">
      <c r="F6109" s="115">
        <f>+(disponibilidad[[#This Row],[Fecha y hora fin]]-disponibilidad[[#This Row],[Fecha y hora inicio]])*1440</f>
        <v>0</v>
      </c>
    </row>
    <row r="6110" spans="6:6" ht="15">
      <c r="F6110" s="115">
        <f>+(disponibilidad[[#This Row],[Fecha y hora fin]]-disponibilidad[[#This Row],[Fecha y hora inicio]])*1440</f>
        <v>0</v>
      </c>
    </row>
    <row r="6111" spans="6:6" ht="15">
      <c r="F6111" s="115">
        <f>+(disponibilidad[[#This Row],[Fecha y hora fin]]-disponibilidad[[#This Row],[Fecha y hora inicio]])*1440</f>
        <v>0</v>
      </c>
    </row>
    <row r="6112" spans="6:6" ht="15">
      <c r="F6112" s="115">
        <f>+(disponibilidad[[#This Row],[Fecha y hora fin]]-disponibilidad[[#This Row],[Fecha y hora inicio]])*1440</f>
        <v>0</v>
      </c>
    </row>
    <row r="6113" spans="6:6" ht="15">
      <c r="F6113" s="115">
        <f>+(disponibilidad[[#This Row],[Fecha y hora fin]]-disponibilidad[[#This Row],[Fecha y hora inicio]])*1440</f>
        <v>0</v>
      </c>
    </row>
    <row r="6114" spans="6:6" ht="15">
      <c r="F6114" s="115">
        <f>+(disponibilidad[[#This Row],[Fecha y hora fin]]-disponibilidad[[#This Row],[Fecha y hora inicio]])*1440</f>
        <v>0</v>
      </c>
    </row>
    <row r="6115" spans="6:6" ht="15">
      <c r="F6115" s="115">
        <f>+(disponibilidad[[#This Row],[Fecha y hora fin]]-disponibilidad[[#This Row],[Fecha y hora inicio]])*1440</f>
        <v>0</v>
      </c>
    </row>
    <row r="6116" spans="6:6" ht="15">
      <c r="F6116" s="115">
        <f>+(disponibilidad[[#This Row],[Fecha y hora fin]]-disponibilidad[[#This Row],[Fecha y hora inicio]])*1440</f>
        <v>0</v>
      </c>
    </row>
    <row r="6117" spans="6:6" ht="15">
      <c r="F6117" s="115">
        <f>+(disponibilidad[[#This Row],[Fecha y hora fin]]-disponibilidad[[#This Row],[Fecha y hora inicio]])*1440</f>
        <v>0</v>
      </c>
    </row>
    <row r="6118" spans="6:6" ht="15">
      <c r="F6118" s="115">
        <f>+(disponibilidad[[#This Row],[Fecha y hora fin]]-disponibilidad[[#This Row],[Fecha y hora inicio]])*1440</f>
        <v>0</v>
      </c>
    </row>
    <row r="6119" spans="6:6" ht="15">
      <c r="F6119" s="115">
        <f>+(disponibilidad[[#This Row],[Fecha y hora fin]]-disponibilidad[[#This Row],[Fecha y hora inicio]])*1440</f>
        <v>0</v>
      </c>
    </row>
    <row r="6120" spans="6:6" ht="15">
      <c r="F6120" s="115">
        <f>+(disponibilidad[[#This Row],[Fecha y hora fin]]-disponibilidad[[#This Row],[Fecha y hora inicio]])*1440</f>
        <v>0</v>
      </c>
    </row>
    <row r="6121" spans="6:6" ht="15">
      <c r="F6121" s="115">
        <f>+(disponibilidad[[#This Row],[Fecha y hora fin]]-disponibilidad[[#This Row],[Fecha y hora inicio]])*1440</f>
        <v>0</v>
      </c>
    </row>
    <row r="6122" spans="6:6" ht="15">
      <c r="F6122" s="115">
        <f>+(disponibilidad[[#This Row],[Fecha y hora fin]]-disponibilidad[[#This Row],[Fecha y hora inicio]])*1440</f>
        <v>0</v>
      </c>
    </row>
    <row r="6123" spans="6:6" ht="15">
      <c r="F6123" s="115">
        <f>+(disponibilidad[[#This Row],[Fecha y hora fin]]-disponibilidad[[#This Row],[Fecha y hora inicio]])*1440</f>
        <v>0</v>
      </c>
    </row>
    <row r="6124" spans="6:6" ht="15">
      <c r="F6124" s="115">
        <f>+(disponibilidad[[#This Row],[Fecha y hora fin]]-disponibilidad[[#This Row],[Fecha y hora inicio]])*1440</f>
        <v>0</v>
      </c>
    </row>
    <row r="6125" spans="6:6" ht="15">
      <c r="F6125" s="115">
        <f>+(disponibilidad[[#This Row],[Fecha y hora fin]]-disponibilidad[[#This Row],[Fecha y hora inicio]])*1440</f>
        <v>0</v>
      </c>
    </row>
    <row r="6126" spans="6:6" ht="15">
      <c r="F6126" s="115">
        <f>+(disponibilidad[[#This Row],[Fecha y hora fin]]-disponibilidad[[#This Row],[Fecha y hora inicio]])*1440</f>
        <v>0</v>
      </c>
    </row>
    <row r="6127" spans="6:6" ht="15">
      <c r="F6127" s="115">
        <f>+(disponibilidad[[#This Row],[Fecha y hora fin]]-disponibilidad[[#This Row],[Fecha y hora inicio]])*1440</f>
        <v>0</v>
      </c>
    </row>
    <row r="6128" spans="6:6" ht="15">
      <c r="F6128" s="115">
        <f>+(disponibilidad[[#This Row],[Fecha y hora fin]]-disponibilidad[[#This Row],[Fecha y hora inicio]])*1440</f>
        <v>0</v>
      </c>
    </row>
    <row r="6129" spans="6:6" ht="15">
      <c r="F6129" s="115">
        <f>+(disponibilidad[[#This Row],[Fecha y hora fin]]-disponibilidad[[#This Row],[Fecha y hora inicio]])*1440</f>
        <v>0</v>
      </c>
    </row>
    <row r="6130" spans="6:6" ht="15">
      <c r="F6130" s="115">
        <f>+(disponibilidad[[#This Row],[Fecha y hora fin]]-disponibilidad[[#This Row],[Fecha y hora inicio]])*1440</f>
        <v>0</v>
      </c>
    </row>
    <row r="6131" spans="6:6" ht="15">
      <c r="F6131" s="115">
        <f>+(disponibilidad[[#This Row],[Fecha y hora fin]]-disponibilidad[[#This Row],[Fecha y hora inicio]])*1440</f>
        <v>0</v>
      </c>
    </row>
    <row r="6132" spans="6:6" ht="15">
      <c r="F6132" s="115">
        <f>+(disponibilidad[[#This Row],[Fecha y hora fin]]-disponibilidad[[#This Row],[Fecha y hora inicio]])*1440</f>
        <v>0</v>
      </c>
    </row>
    <row r="6133" spans="6:6" ht="15">
      <c r="F6133" s="115">
        <f>+(disponibilidad[[#This Row],[Fecha y hora fin]]-disponibilidad[[#This Row],[Fecha y hora inicio]])*1440</f>
        <v>0</v>
      </c>
    </row>
    <row r="6134" spans="6:6" ht="15">
      <c r="F6134" s="115">
        <f>+(disponibilidad[[#This Row],[Fecha y hora fin]]-disponibilidad[[#This Row],[Fecha y hora inicio]])*1440</f>
        <v>0</v>
      </c>
    </row>
    <row r="6135" spans="6:6" ht="15">
      <c r="F6135" s="115">
        <f>+(disponibilidad[[#This Row],[Fecha y hora fin]]-disponibilidad[[#This Row],[Fecha y hora inicio]])*1440</f>
        <v>0</v>
      </c>
    </row>
    <row r="6136" spans="6:6" ht="15">
      <c r="F6136" s="115">
        <f>+(disponibilidad[[#This Row],[Fecha y hora fin]]-disponibilidad[[#This Row],[Fecha y hora inicio]])*1440</f>
        <v>0</v>
      </c>
    </row>
    <row r="6137" spans="6:6" ht="15">
      <c r="F6137" s="115">
        <f>+(disponibilidad[[#This Row],[Fecha y hora fin]]-disponibilidad[[#This Row],[Fecha y hora inicio]])*1440</f>
        <v>0</v>
      </c>
    </row>
    <row r="6138" spans="6:6" ht="15">
      <c r="F6138" s="115">
        <f>+(disponibilidad[[#This Row],[Fecha y hora fin]]-disponibilidad[[#This Row],[Fecha y hora inicio]])*1440</f>
        <v>0</v>
      </c>
    </row>
    <row r="6139" spans="6:6" ht="15">
      <c r="F6139" s="115">
        <f>+(disponibilidad[[#This Row],[Fecha y hora fin]]-disponibilidad[[#This Row],[Fecha y hora inicio]])*1440</f>
        <v>0</v>
      </c>
    </row>
    <row r="6140" spans="6:6" ht="15">
      <c r="F6140" s="115">
        <f>+(disponibilidad[[#This Row],[Fecha y hora fin]]-disponibilidad[[#This Row],[Fecha y hora inicio]])*1440</f>
        <v>0</v>
      </c>
    </row>
    <row r="6141" spans="6:6" ht="15">
      <c r="F6141" s="115">
        <f>+(disponibilidad[[#This Row],[Fecha y hora fin]]-disponibilidad[[#This Row],[Fecha y hora inicio]])*1440</f>
        <v>0</v>
      </c>
    </row>
    <row r="6142" spans="6:6" ht="15">
      <c r="F6142" s="115">
        <f>+(disponibilidad[[#This Row],[Fecha y hora fin]]-disponibilidad[[#This Row],[Fecha y hora inicio]])*1440</f>
        <v>0</v>
      </c>
    </row>
    <row r="6143" spans="6:6" ht="15">
      <c r="F6143" s="115">
        <f>+(disponibilidad[[#This Row],[Fecha y hora fin]]-disponibilidad[[#This Row],[Fecha y hora inicio]])*1440</f>
        <v>0</v>
      </c>
    </row>
    <row r="6144" spans="6:6" ht="15">
      <c r="F6144" s="115">
        <f>+(disponibilidad[[#This Row],[Fecha y hora fin]]-disponibilidad[[#This Row],[Fecha y hora inicio]])*1440</f>
        <v>0</v>
      </c>
    </row>
    <row r="6145" spans="6:6" ht="15">
      <c r="F6145" s="115">
        <f>+(disponibilidad[[#This Row],[Fecha y hora fin]]-disponibilidad[[#This Row],[Fecha y hora inicio]])*1440</f>
        <v>0</v>
      </c>
    </row>
    <row r="6146" spans="6:6" ht="15">
      <c r="F6146" s="115">
        <f>+(disponibilidad[[#This Row],[Fecha y hora fin]]-disponibilidad[[#This Row],[Fecha y hora inicio]])*1440</f>
        <v>0</v>
      </c>
    </row>
    <row r="6147" spans="6:6" ht="15">
      <c r="F6147" s="115">
        <f>+(disponibilidad[[#This Row],[Fecha y hora fin]]-disponibilidad[[#This Row],[Fecha y hora inicio]])*1440</f>
        <v>0</v>
      </c>
    </row>
    <row r="6148" spans="6:6" ht="15">
      <c r="F6148" s="115">
        <f>+(disponibilidad[[#This Row],[Fecha y hora fin]]-disponibilidad[[#This Row],[Fecha y hora inicio]])*1440</f>
        <v>0</v>
      </c>
    </row>
    <row r="6149" spans="6:6" ht="15">
      <c r="F6149" s="115">
        <f>+(disponibilidad[[#This Row],[Fecha y hora fin]]-disponibilidad[[#This Row],[Fecha y hora inicio]])*1440</f>
        <v>0</v>
      </c>
    </row>
    <row r="6150" spans="6:6" ht="15">
      <c r="F6150" s="115">
        <f>+(disponibilidad[[#This Row],[Fecha y hora fin]]-disponibilidad[[#This Row],[Fecha y hora inicio]])*1440</f>
        <v>0</v>
      </c>
    </row>
    <row r="6151" spans="6:6" ht="15">
      <c r="F6151" s="115">
        <f>+(disponibilidad[[#This Row],[Fecha y hora fin]]-disponibilidad[[#This Row],[Fecha y hora inicio]])*1440</f>
        <v>0</v>
      </c>
    </row>
    <row r="6152" spans="6:6" ht="15">
      <c r="F6152" s="115">
        <f>+(disponibilidad[[#This Row],[Fecha y hora fin]]-disponibilidad[[#This Row],[Fecha y hora inicio]])*1440</f>
        <v>0</v>
      </c>
    </row>
    <row r="6153" spans="6:6" ht="15">
      <c r="F6153" s="115">
        <f>+(disponibilidad[[#This Row],[Fecha y hora fin]]-disponibilidad[[#This Row],[Fecha y hora inicio]])*1440</f>
        <v>0</v>
      </c>
    </row>
    <row r="6154" spans="6:6" ht="15">
      <c r="F6154" s="115">
        <f>+(disponibilidad[[#This Row],[Fecha y hora fin]]-disponibilidad[[#This Row],[Fecha y hora inicio]])*1440</f>
        <v>0</v>
      </c>
    </row>
    <row r="6155" spans="6:6" ht="15">
      <c r="F6155" s="115">
        <f>+(disponibilidad[[#This Row],[Fecha y hora fin]]-disponibilidad[[#This Row],[Fecha y hora inicio]])*1440</f>
        <v>0</v>
      </c>
    </row>
    <row r="6156" spans="6:6" ht="15">
      <c r="F6156" s="115">
        <f>+(disponibilidad[[#This Row],[Fecha y hora fin]]-disponibilidad[[#This Row],[Fecha y hora inicio]])*1440</f>
        <v>0</v>
      </c>
    </row>
    <row r="6157" spans="6:6" ht="15">
      <c r="F6157" s="115">
        <f>+(disponibilidad[[#This Row],[Fecha y hora fin]]-disponibilidad[[#This Row],[Fecha y hora inicio]])*1440</f>
        <v>0</v>
      </c>
    </row>
    <row r="6158" spans="6:6" ht="15">
      <c r="F6158" s="115">
        <f>+(disponibilidad[[#This Row],[Fecha y hora fin]]-disponibilidad[[#This Row],[Fecha y hora inicio]])*1440</f>
        <v>0</v>
      </c>
    </row>
    <row r="6159" spans="6:6" ht="15">
      <c r="F6159" s="115">
        <f>+(disponibilidad[[#This Row],[Fecha y hora fin]]-disponibilidad[[#This Row],[Fecha y hora inicio]])*1440</f>
        <v>0</v>
      </c>
    </row>
    <row r="6160" spans="6:6" ht="15">
      <c r="F6160" s="115">
        <f>+(disponibilidad[[#This Row],[Fecha y hora fin]]-disponibilidad[[#This Row],[Fecha y hora inicio]])*1440</f>
        <v>0</v>
      </c>
    </row>
    <row r="6161" spans="6:6" ht="15">
      <c r="F6161" s="115">
        <f>+(disponibilidad[[#This Row],[Fecha y hora fin]]-disponibilidad[[#This Row],[Fecha y hora inicio]])*1440</f>
        <v>0</v>
      </c>
    </row>
    <row r="6162" spans="6:6" ht="15">
      <c r="F6162" s="115">
        <f>+(disponibilidad[[#This Row],[Fecha y hora fin]]-disponibilidad[[#This Row],[Fecha y hora inicio]])*1440</f>
        <v>0</v>
      </c>
    </row>
    <row r="6163" spans="6:6" ht="15">
      <c r="F6163" s="115">
        <f>+(disponibilidad[[#This Row],[Fecha y hora fin]]-disponibilidad[[#This Row],[Fecha y hora inicio]])*1440</f>
        <v>0</v>
      </c>
    </row>
    <row r="6164" spans="6:6" ht="15">
      <c r="F6164" s="115">
        <f>+(disponibilidad[[#This Row],[Fecha y hora fin]]-disponibilidad[[#This Row],[Fecha y hora inicio]])*1440</f>
        <v>0</v>
      </c>
    </row>
    <row r="6165" spans="6:6" ht="15">
      <c r="F6165" s="115">
        <f>+(disponibilidad[[#This Row],[Fecha y hora fin]]-disponibilidad[[#This Row],[Fecha y hora inicio]])*1440</f>
        <v>0</v>
      </c>
    </row>
    <row r="6166" spans="6:6" ht="15">
      <c r="F6166" s="115">
        <f>+(disponibilidad[[#This Row],[Fecha y hora fin]]-disponibilidad[[#This Row],[Fecha y hora inicio]])*1440</f>
        <v>0</v>
      </c>
    </row>
    <row r="6167" spans="6:6" ht="15">
      <c r="F6167" s="115">
        <f>+(disponibilidad[[#This Row],[Fecha y hora fin]]-disponibilidad[[#This Row],[Fecha y hora inicio]])*1440</f>
        <v>0</v>
      </c>
    </row>
    <row r="6168" spans="6:6" ht="15">
      <c r="F6168" s="115">
        <f>+(disponibilidad[[#This Row],[Fecha y hora fin]]-disponibilidad[[#This Row],[Fecha y hora inicio]])*1440</f>
        <v>0</v>
      </c>
    </row>
    <row r="6169" spans="6:6" ht="15">
      <c r="F6169" s="115">
        <f>+(disponibilidad[[#This Row],[Fecha y hora fin]]-disponibilidad[[#This Row],[Fecha y hora inicio]])*1440</f>
        <v>0</v>
      </c>
    </row>
    <row r="6170" spans="6:6" ht="15">
      <c r="F6170" s="115">
        <f>+(disponibilidad[[#This Row],[Fecha y hora fin]]-disponibilidad[[#This Row],[Fecha y hora inicio]])*1440</f>
        <v>0</v>
      </c>
    </row>
    <row r="6171" spans="6:6" ht="15">
      <c r="F6171" s="115">
        <f>+(disponibilidad[[#This Row],[Fecha y hora fin]]-disponibilidad[[#This Row],[Fecha y hora inicio]])*1440</f>
        <v>0</v>
      </c>
    </row>
    <row r="6172" spans="6:6" ht="15">
      <c r="F6172" s="115">
        <f>+(disponibilidad[[#This Row],[Fecha y hora fin]]-disponibilidad[[#This Row],[Fecha y hora inicio]])*1440</f>
        <v>0</v>
      </c>
    </row>
    <row r="6173" spans="6:6" ht="15">
      <c r="F6173" s="115">
        <f>+(disponibilidad[[#This Row],[Fecha y hora fin]]-disponibilidad[[#This Row],[Fecha y hora inicio]])*1440</f>
        <v>0</v>
      </c>
    </row>
    <row r="6174" spans="6:6" ht="15">
      <c r="F6174" s="115">
        <f>+(disponibilidad[[#This Row],[Fecha y hora fin]]-disponibilidad[[#This Row],[Fecha y hora inicio]])*1440</f>
        <v>0</v>
      </c>
    </row>
    <row r="6175" spans="6:6" ht="15">
      <c r="F6175" s="115">
        <f>+(disponibilidad[[#This Row],[Fecha y hora fin]]-disponibilidad[[#This Row],[Fecha y hora inicio]])*1440</f>
        <v>0</v>
      </c>
    </row>
    <row r="6176" spans="6:6" ht="15">
      <c r="F6176" s="115">
        <f>+(disponibilidad[[#This Row],[Fecha y hora fin]]-disponibilidad[[#This Row],[Fecha y hora inicio]])*1440</f>
        <v>0</v>
      </c>
    </row>
    <row r="6177" spans="6:6" ht="15">
      <c r="F6177" s="115">
        <f>+(disponibilidad[[#This Row],[Fecha y hora fin]]-disponibilidad[[#This Row],[Fecha y hora inicio]])*1440</f>
        <v>0</v>
      </c>
    </row>
    <row r="6178" spans="6:6" ht="15">
      <c r="F6178" s="115">
        <f>+(disponibilidad[[#This Row],[Fecha y hora fin]]-disponibilidad[[#This Row],[Fecha y hora inicio]])*1440</f>
        <v>0</v>
      </c>
    </row>
    <row r="6179" spans="6:6" ht="15">
      <c r="F6179" s="115">
        <f>+(disponibilidad[[#This Row],[Fecha y hora fin]]-disponibilidad[[#This Row],[Fecha y hora inicio]])*1440</f>
        <v>0</v>
      </c>
    </row>
    <row r="6180" spans="6:6" ht="15">
      <c r="F6180" s="115">
        <f>+(disponibilidad[[#This Row],[Fecha y hora fin]]-disponibilidad[[#This Row],[Fecha y hora inicio]])*1440</f>
        <v>0</v>
      </c>
    </row>
    <row r="6181" spans="6:6" ht="15">
      <c r="F6181" s="115">
        <f>+(disponibilidad[[#This Row],[Fecha y hora fin]]-disponibilidad[[#This Row],[Fecha y hora inicio]])*1440</f>
        <v>0</v>
      </c>
    </row>
    <row r="6182" spans="6:6" ht="15">
      <c r="F6182" s="115">
        <f>+(disponibilidad[[#This Row],[Fecha y hora fin]]-disponibilidad[[#This Row],[Fecha y hora inicio]])*1440</f>
        <v>0</v>
      </c>
    </row>
    <row r="6183" spans="6:6" ht="15">
      <c r="F6183" s="115">
        <f>+(disponibilidad[[#This Row],[Fecha y hora fin]]-disponibilidad[[#This Row],[Fecha y hora inicio]])*1440</f>
        <v>0</v>
      </c>
    </row>
    <row r="6184" spans="6:6" ht="15">
      <c r="F6184" s="115">
        <f>+(disponibilidad[[#This Row],[Fecha y hora fin]]-disponibilidad[[#This Row],[Fecha y hora inicio]])*1440</f>
        <v>0</v>
      </c>
    </row>
    <row r="6185" spans="6:6" ht="15">
      <c r="F6185" s="115">
        <f>+(disponibilidad[[#This Row],[Fecha y hora fin]]-disponibilidad[[#This Row],[Fecha y hora inicio]])*1440</f>
        <v>0</v>
      </c>
    </row>
    <row r="6186" spans="6:6" ht="15">
      <c r="F6186" s="115">
        <f>+(disponibilidad[[#This Row],[Fecha y hora fin]]-disponibilidad[[#This Row],[Fecha y hora inicio]])*1440</f>
        <v>0</v>
      </c>
    </row>
    <row r="6187" spans="6:6" ht="15">
      <c r="F6187" s="115">
        <f>+(disponibilidad[[#This Row],[Fecha y hora fin]]-disponibilidad[[#This Row],[Fecha y hora inicio]])*1440</f>
        <v>0</v>
      </c>
    </row>
    <row r="6188" spans="6:6" ht="15">
      <c r="F6188" s="115">
        <f>+(disponibilidad[[#This Row],[Fecha y hora fin]]-disponibilidad[[#This Row],[Fecha y hora inicio]])*1440</f>
        <v>0</v>
      </c>
    </row>
    <row r="6189" spans="6:6" ht="15">
      <c r="F6189" s="115">
        <f>+(disponibilidad[[#This Row],[Fecha y hora fin]]-disponibilidad[[#This Row],[Fecha y hora inicio]])*1440</f>
        <v>0</v>
      </c>
    </row>
    <row r="6190" spans="6:6" ht="15">
      <c r="F6190" s="115">
        <f>+(disponibilidad[[#This Row],[Fecha y hora fin]]-disponibilidad[[#This Row],[Fecha y hora inicio]])*1440</f>
        <v>0</v>
      </c>
    </row>
    <row r="6191" spans="6:6" ht="15">
      <c r="F6191" s="115">
        <f>+(disponibilidad[[#This Row],[Fecha y hora fin]]-disponibilidad[[#This Row],[Fecha y hora inicio]])*1440</f>
        <v>0</v>
      </c>
    </row>
    <row r="6192" spans="6:6" ht="15">
      <c r="F6192" s="115">
        <f>+(disponibilidad[[#This Row],[Fecha y hora fin]]-disponibilidad[[#This Row],[Fecha y hora inicio]])*1440</f>
        <v>0</v>
      </c>
    </row>
    <row r="6193" spans="6:6" ht="15">
      <c r="F6193" s="115">
        <f>+(disponibilidad[[#This Row],[Fecha y hora fin]]-disponibilidad[[#This Row],[Fecha y hora inicio]])*1440</f>
        <v>0</v>
      </c>
    </row>
    <row r="6194" spans="6:6" ht="15">
      <c r="F6194" s="115">
        <f>+(disponibilidad[[#This Row],[Fecha y hora fin]]-disponibilidad[[#This Row],[Fecha y hora inicio]])*1440</f>
        <v>0</v>
      </c>
    </row>
    <row r="6195" spans="6:6" ht="15">
      <c r="F6195" s="115">
        <f>+(disponibilidad[[#This Row],[Fecha y hora fin]]-disponibilidad[[#This Row],[Fecha y hora inicio]])*1440</f>
        <v>0</v>
      </c>
    </row>
    <row r="6196" spans="6:6" ht="15">
      <c r="F6196" s="115">
        <f>+(disponibilidad[[#This Row],[Fecha y hora fin]]-disponibilidad[[#This Row],[Fecha y hora inicio]])*1440</f>
        <v>0</v>
      </c>
    </row>
    <row r="6197" spans="6:6" ht="15">
      <c r="F6197" s="115">
        <f>+(disponibilidad[[#This Row],[Fecha y hora fin]]-disponibilidad[[#This Row],[Fecha y hora inicio]])*1440</f>
        <v>0</v>
      </c>
    </row>
    <row r="6198" spans="6:6" ht="15">
      <c r="F6198" s="115">
        <f>+(disponibilidad[[#This Row],[Fecha y hora fin]]-disponibilidad[[#This Row],[Fecha y hora inicio]])*1440</f>
        <v>0</v>
      </c>
    </row>
    <row r="6199" spans="6:6" ht="15">
      <c r="F6199" s="115">
        <f>+(disponibilidad[[#This Row],[Fecha y hora fin]]-disponibilidad[[#This Row],[Fecha y hora inicio]])*1440</f>
        <v>0</v>
      </c>
    </row>
    <row r="6200" spans="6:6" ht="15">
      <c r="F6200" s="115">
        <f>+(disponibilidad[[#This Row],[Fecha y hora fin]]-disponibilidad[[#This Row],[Fecha y hora inicio]])*1440</f>
        <v>0</v>
      </c>
    </row>
    <row r="6201" spans="6:6" ht="15">
      <c r="F6201" s="115">
        <f>+(disponibilidad[[#This Row],[Fecha y hora fin]]-disponibilidad[[#This Row],[Fecha y hora inicio]])*1440</f>
        <v>0</v>
      </c>
    </row>
    <row r="6202" spans="6:6" ht="15">
      <c r="F6202" s="115">
        <f>+(disponibilidad[[#This Row],[Fecha y hora fin]]-disponibilidad[[#This Row],[Fecha y hora inicio]])*1440</f>
        <v>0</v>
      </c>
    </row>
    <row r="6203" spans="6:6" ht="15">
      <c r="F6203" s="115">
        <f>+(disponibilidad[[#This Row],[Fecha y hora fin]]-disponibilidad[[#This Row],[Fecha y hora inicio]])*1440</f>
        <v>0</v>
      </c>
    </row>
    <row r="6204" spans="6:6" ht="15">
      <c r="F6204" s="115">
        <f>+(disponibilidad[[#This Row],[Fecha y hora fin]]-disponibilidad[[#This Row],[Fecha y hora inicio]])*1440</f>
        <v>0</v>
      </c>
    </row>
    <row r="6205" spans="6:6" ht="15">
      <c r="F6205" s="115">
        <f>+(disponibilidad[[#This Row],[Fecha y hora fin]]-disponibilidad[[#This Row],[Fecha y hora inicio]])*1440</f>
        <v>0</v>
      </c>
    </row>
    <row r="6206" spans="6:6" ht="15">
      <c r="F6206" s="115">
        <f>+(disponibilidad[[#This Row],[Fecha y hora fin]]-disponibilidad[[#This Row],[Fecha y hora inicio]])*1440</f>
        <v>0</v>
      </c>
    </row>
    <row r="6207" spans="6:6" ht="15">
      <c r="F6207" s="115">
        <f>+(disponibilidad[[#This Row],[Fecha y hora fin]]-disponibilidad[[#This Row],[Fecha y hora inicio]])*1440</f>
        <v>0</v>
      </c>
    </row>
    <row r="6208" spans="6:6" ht="15">
      <c r="F6208" s="115">
        <f>+(disponibilidad[[#This Row],[Fecha y hora fin]]-disponibilidad[[#This Row],[Fecha y hora inicio]])*1440</f>
        <v>0</v>
      </c>
    </row>
    <row r="6209" spans="6:6" ht="15">
      <c r="F6209" s="115">
        <f>+(disponibilidad[[#This Row],[Fecha y hora fin]]-disponibilidad[[#This Row],[Fecha y hora inicio]])*1440</f>
        <v>0</v>
      </c>
    </row>
    <row r="6210" spans="6:6" ht="15">
      <c r="F6210" s="115">
        <f>+(disponibilidad[[#This Row],[Fecha y hora fin]]-disponibilidad[[#This Row],[Fecha y hora inicio]])*1440</f>
        <v>0</v>
      </c>
    </row>
    <row r="6211" spans="6:6" ht="15">
      <c r="F6211" s="115">
        <f>+(disponibilidad[[#This Row],[Fecha y hora fin]]-disponibilidad[[#This Row],[Fecha y hora inicio]])*1440</f>
        <v>0</v>
      </c>
    </row>
    <row r="6212" spans="6:6" ht="15">
      <c r="F6212" s="115">
        <f>+(disponibilidad[[#This Row],[Fecha y hora fin]]-disponibilidad[[#This Row],[Fecha y hora inicio]])*1440</f>
        <v>0</v>
      </c>
    </row>
    <row r="6213" spans="6:6" ht="15">
      <c r="F6213" s="115">
        <f>+(disponibilidad[[#This Row],[Fecha y hora fin]]-disponibilidad[[#This Row],[Fecha y hora inicio]])*1440</f>
        <v>0</v>
      </c>
    </row>
    <row r="6214" spans="6:6" ht="15">
      <c r="F6214" s="115">
        <f>+(disponibilidad[[#This Row],[Fecha y hora fin]]-disponibilidad[[#This Row],[Fecha y hora inicio]])*1440</f>
        <v>0</v>
      </c>
    </row>
    <row r="6215" spans="6:6" ht="15">
      <c r="F6215" s="115">
        <f>+(disponibilidad[[#This Row],[Fecha y hora fin]]-disponibilidad[[#This Row],[Fecha y hora inicio]])*1440</f>
        <v>0</v>
      </c>
    </row>
    <row r="6216" spans="6:6" ht="15">
      <c r="F6216" s="115">
        <f>+(disponibilidad[[#This Row],[Fecha y hora fin]]-disponibilidad[[#This Row],[Fecha y hora inicio]])*1440</f>
        <v>0</v>
      </c>
    </row>
    <row r="6217" spans="6:6" ht="15">
      <c r="F6217" s="115">
        <f>+(disponibilidad[[#This Row],[Fecha y hora fin]]-disponibilidad[[#This Row],[Fecha y hora inicio]])*1440</f>
        <v>0</v>
      </c>
    </row>
    <row r="6218" spans="6:6" ht="15">
      <c r="F6218" s="115">
        <f>+(disponibilidad[[#This Row],[Fecha y hora fin]]-disponibilidad[[#This Row],[Fecha y hora inicio]])*1440</f>
        <v>0</v>
      </c>
    </row>
    <row r="6219" spans="6:6" ht="15">
      <c r="F6219" s="115">
        <f>+(disponibilidad[[#This Row],[Fecha y hora fin]]-disponibilidad[[#This Row],[Fecha y hora inicio]])*1440</f>
        <v>0</v>
      </c>
    </row>
    <row r="6220" spans="6:6" ht="15">
      <c r="F6220" s="115">
        <f>+(disponibilidad[[#This Row],[Fecha y hora fin]]-disponibilidad[[#This Row],[Fecha y hora inicio]])*1440</f>
        <v>0</v>
      </c>
    </row>
    <row r="6221" spans="6:6" ht="15">
      <c r="F6221" s="115">
        <f>+(disponibilidad[[#This Row],[Fecha y hora fin]]-disponibilidad[[#This Row],[Fecha y hora inicio]])*1440</f>
        <v>0</v>
      </c>
    </row>
    <row r="6222" spans="6:6" ht="15">
      <c r="F6222" s="115">
        <f>+(disponibilidad[[#This Row],[Fecha y hora fin]]-disponibilidad[[#This Row],[Fecha y hora inicio]])*1440</f>
        <v>0</v>
      </c>
    </row>
    <row r="6223" spans="6:6" ht="15">
      <c r="F6223" s="115">
        <f>+(disponibilidad[[#This Row],[Fecha y hora fin]]-disponibilidad[[#This Row],[Fecha y hora inicio]])*1440</f>
        <v>0</v>
      </c>
    </row>
    <row r="6224" spans="6:6" ht="15">
      <c r="F6224" s="115">
        <f>+(disponibilidad[[#This Row],[Fecha y hora fin]]-disponibilidad[[#This Row],[Fecha y hora inicio]])*1440</f>
        <v>0</v>
      </c>
    </row>
    <row r="6225" spans="6:6" ht="15">
      <c r="F6225" s="115">
        <f>+(disponibilidad[[#This Row],[Fecha y hora fin]]-disponibilidad[[#This Row],[Fecha y hora inicio]])*1440</f>
        <v>0</v>
      </c>
    </row>
    <row r="6226" spans="6:6" ht="15">
      <c r="F6226" s="115">
        <f>+(disponibilidad[[#This Row],[Fecha y hora fin]]-disponibilidad[[#This Row],[Fecha y hora inicio]])*1440</f>
        <v>0</v>
      </c>
    </row>
    <row r="6227" spans="6:6" ht="15">
      <c r="F6227" s="115">
        <f>+(disponibilidad[[#This Row],[Fecha y hora fin]]-disponibilidad[[#This Row],[Fecha y hora inicio]])*1440</f>
        <v>0</v>
      </c>
    </row>
    <row r="6228" spans="6:6" ht="15">
      <c r="F6228" s="115">
        <f>+(disponibilidad[[#This Row],[Fecha y hora fin]]-disponibilidad[[#This Row],[Fecha y hora inicio]])*1440</f>
        <v>0</v>
      </c>
    </row>
    <row r="6229" spans="6:6" ht="15">
      <c r="F6229" s="115">
        <f>+(disponibilidad[[#This Row],[Fecha y hora fin]]-disponibilidad[[#This Row],[Fecha y hora inicio]])*1440</f>
        <v>0</v>
      </c>
    </row>
    <row r="6230" spans="6:6" ht="15">
      <c r="F6230" s="115">
        <f>+(disponibilidad[[#This Row],[Fecha y hora fin]]-disponibilidad[[#This Row],[Fecha y hora inicio]])*1440</f>
        <v>0</v>
      </c>
    </row>
    <row r="6231" spans="6:6" ht="15">
      <c r="F6231" s="115">
        <f>+(disponibilidad[[#This Row],[Fecha y hora fin]]-disponibilidad[[#This Row],[Fecha y hora inicio]])*1440</f>
        <v>0</v>
      </c>
    </row>
    <row r="6232" spans="6:6" ht="15">
      <c r="F6232" s="115">
        <f>+(disponibilidad[[#This Row],[Fecha y hora fin]]-disponibilidad[[#This Row],[Fecha y hora inicio]])*1440</f>
        <v>0</v>
      </c>
    </row>
    <row r="6233" spans="6:6" ht="15">
      <c r="F6233" s="115">
        <f>+(disponibilidad[[#This Row],[Fecha y hora fin]]-disponibilidad[[#This Row],[Fecha y hora inicio]])*1440</f>
        <v>0</v>
      </c>
    </row>
    <row r="6234" spans="6:6" ht="15">
      <c r="F6234" s="115">
        <f>+(disponibilidad[[#This Row],[Fecha y hora fin]]-disponibilidad[[#This Row],[Fecha y hora inicio]])*1440</f>
        <v>0</v>
      </c>
    </row>
    <row r="6235" spans="6:6" ht="15">
      <c r="F6235" s="115">
        <f>+(disponibilidad[[#This Row],[Fecha y hora fin]]-disponibilidad[[#This Row],[Fecha y hora inicio]])*1440</f>
        <v>0</v>
      </c>
    </row>
    <row r="6236" spans="6:6" ht="15">
      <c r="F6236" s="115">
        <f>+(disponibilidad[[#This Row],[Fecha y hora fin]]-disponibilidad[[#This Row],[Fecha y hora inicio]])*1440</f>
        <v>0</v>
      </c>
    </row>
    <row r="6237" spans="6:6" ht="15">
      <c r="F6237" s="115">
        <f>+(disponibilidad[[#This Row],[Fecha y hora fin]]-disponibilidad[[#This Row],[Fecha y hora inicio]])*1440</f>
        <v>0</v>
      </c>
    </row>
    <row r="6238" spans="6:6" ht="15">
      <c r="F6238" s="115">
        <f>+(disponibilidad[[#This Row],[Fecha y hora fin]]-disponibilidad[[#This Row],[Fecha y hora inicio]])*1440</f>
        <v>0</v>
      </c>
    </row>
    <row r="6239" spans="6:6" ht="15">
      <c r="F6239" s="115">
        <f>+(disponibilidad[[#This Row],[Fecha y hora fin]]-disponibilidad[[#This Row],[Fecha y hora inicio]])*1440</f>
        <v>0</v>
      </c>
    </row>
    <row r="6240" spans="6:6" ht="15">
      <c r="F6240" s="115">
        <f>+(disponibilidad[[#This Row],[Fecha y hora fin]]-disponibilidad[[#This Row],[Fecha y hora inicio]])*1440</f>
        <v>0</v>
      </c>
    </row>
    <row r="6241" spans="6:6" ht="15">
      <c r="F6241" s="115">
        <f>+(disponibilidad[[#This Row],[Fecha y hora fin]]-disponibilidad[[#This Row],[Fecha y hora inicio]])*1440</f>
        <v>0</v>
      </c>
    </row>
    <row r="6242" spans="6:6" ht="15">
      <c r="F6242" s="115">
        <f>+(disponibilidad[[#This Row],[Fecha y hora fin]]-disponibilidad[[#This Row],[Fecha y hora inicio]])*1440</f>
        <v>0</v>
      </c>
    </row>
    <row r="6243" spans="6:6" ht="15">
      <c r="F6243" s="115">
        <f>+(disponibilidad[[#This Row],[Fecha y hora fin]]-disponibilidad[[#This Row],[Fecha y hora inicio]])*1440</f>
        <v>0</v>
      </c>
    </row>
    <row r="6244" spans="6:6" ht="15">
      <c r="F6244" s="115">
        <f>+(disponibilidad[[#This Row],[Fecha y hora fin]]-disponibilidad[[#This Row],[Fecha y hora inicio]])*1440</f>
        <v>0</v>
      </c>
    </row>
    <row r="6245" spans="6:6" ht="15">
      <c r="F6245" s="115">
        <f>+(disponibilidad[[#This Row],[Fecha y hora fin]]-disponibilidad[[#This Row],[Fecha y hora inicio]])*1440</f>
        <v>0</v>
      </c>
    </row>
    <row r="6246" spans="6:6" ht="15">
      <c r="F6246" s="115">
        <f>+(disponibilidad[[#This Row],[Fecha y hora fin]]-disponibilidad[[#This Row],[Fecha y hora inicio]])*1440</f>
        <v>0</v>
      </c>
    </row>
    <row r="6247" spans="6:6" ht="15">
      <c r="F6247" s="115">
        <f>+(disponibilidad[[#This Row],[Fecha y hora fin]]-disponibilidad[[#This Row],[Fecha y hora inicio]])*1440</f>
        <v>0</v>
      </c>
    </row>
    <row r="6248" spans="6:6" ht="15">
      <c r="F6248" s="115">
        <f>+(disponibilidad[[#This Row],[Fecha y hora fin]]-disponibilidad[[#This Row],[Fecha y hora inicio]])*1440</f>
        <v>0</v>
      </c>
    </row>
    <row r="6249" spans="6:6" ht="15">
      <c r="F6249" s="115">
        <f>+(disponibilidad[[#This Row],[Fecha y hora fin]]-disponibilidad[[#This Row],[Fecha y hora inicio]])*1440</f>
        <v>0</v>
      </c>
    </row>
    <row r="6250" spans="6:6" ht="15">
      <c r="F6250" s="115">
        <f>+(disponibilidad[[#This Row],[Fecha y hora fin]]-disponibilidad[[#This Row],[Fecha y hora inicio]])*1440</f>
        <v>0</v>
      </c>
    </row>
    <row r="6251" spans="6:6" ht="15">
      <c r="F6251" s="115">
        <f>+(disponibilidad[[#This Row],[Fecha y hora fin]]-disponibilidad[[#This Row],[Fecha y hora inicio]])*1440</f>
        <v>0</v>
      </c>
    </row>
    <row r="6252" spans="6:6" ht="15">
      <c r="F6252" s="115">
        <f>+(disponibilidad[[#This Row],[Fecha y hora fin]]-disponibilidad[[#This Row],[Fecha y hora inicio]])*1440</f>
        <v>0</v>
      </c>
    </row>
    <row r="6253" spans="6:6" ht="15">
      <c r="F6253" s="115">
        <f>+(disponibilidad[[#This Row],[Fecha y hora fin]]-disponibilidad[[#This Row],[Fecha y hora inicio]])*1440</f>
        <v>0</v>
      </c>
    </row>
    <row r="6254" spans="6:6" ht="15">
      <c r="F6254" s="115">
        <f>+(disponibilidad[[#This Row],[Fecha y hora fin]]-disponibilidad[[#This Row],[Fecha y hora inicio]])*1440</f>
        <v>0</v>
      </c>
    </row>
    <row r="6255" spans="6:6" ht="15">
      <c r="F6255" s="115">
        <f>+(disponibilidad[[#This Row],[Fecha y hora fin]]-disponibilidad[[#This Row],[Fecha y hora inicio]])*1440</f>
        <v>0</v>
      </c>
    </row>
    <row r="6256" spans="6:6" ht="15">
      <c r="F6256" s="115">
        <f>+(disponibilidad[[#This Row],[Fecha y hora fin]]-disponibilidad[[#This Row],[Fecha y hora inicio]])*1440</f>
        <v>0</v>
      </c>
    </row>
    <row r="6257" spans="6:6" ht="15">
      <c r="F6257" s="115">
        <f>+(disponibilidad[[#This Row],[Fecha y hora fin]]-disponibilidad[[#This Row],[Fecha y hora inicio]])*1440</f>
        <v>0</v>
      </c>
    </row>
    <row r="6258" spans="6:6" ht="15">
      <c r="F6258" s="115">
        <f>+(disponibilidad[[#This Row],[Fecha y hora fin]]-disponibilidad[[#This Row],[Fecha y hora inicio]])*1440</f>
        <v>0</v>
      </c>
    </row>
    <row r="6259" spans="6:6" ht="15">
      <c r="F6259" s="115">
        <f>+(disponibilidad[[#This Row],[Fecha y hora fin]]-disponibilidad[[#This Row],[Fecha y hora inicio]])*1440</f>
        <v>0</v>
      </c>
    </row>
    <row r="6260" spans="6:6" ht="15">
      <c r="F6260" s="115">
        <f>+(disponibilidad[[#This Row],[Fecha y hora fin]]-disponibilidad[[#This Row],[Fecha y hora inicio]])*1440</f>
        <v>0</v>
      </c>
    </row>
    <row r="6261" spans="6:6" ht="15">
      <c r="F6261" s="115">
        <f>+(disponibilidad[[#This Row],[Fecha y hora fin]]-disponibilidad[[#This Row],[Fecha y hora inicio]])*1440</f>
        <v>0</v>
      </c>
    </row>
    <row r="6262" spans="6:6" ht="15">
      <c r="F6262" s="115">
        <f>+(disponibilidad[[#This Row],[Fecha y hora fin]]-disponibilidad[[#This Row],[Fecha y hora inicio]])*1440</f>
        <v>0</v>
      </c>
    </row>
    <row r="6263" spans="6:6" ht="15">
      <c r="F6263" s="115">
        <f>+(disponibilidad[[#This Row],[Fecha y hora fin]]-disponibilidad[[#This Row],[Fecha y hora inicio]])*1440</f>
        <v>0</v>
      </c>
    </row>
    <row r="6264" spans="6:6" ht="15">
      <c r="F6264" s="115">
        <f>+(disponibilidad[[#This Row],[Fecha y hora fin]]-disponibilidad[[#This Row],[Fecha y hora inicio]])*1440</f>
        <v>0</v>
      </c>
    </row>
    <row r="6265" spans="6:6" ht="15">
      <c r="F6265" s="115">
        <f>+(disponibilidad[[#This Row],[Fecha y hora fin]]-disponibilidad[[#This Row],[Fecha y hora inicio]])*1440</f>
        <v>0</v>
      </c>
    </row>
    <row r="6266" spans="6:6" ht="15">
      <c r="F6266" s="115">
        <f>+(disponibilidad[[#This Row],[Fecha y hora fin]]-disponibilidad[[#This Row],[Fecha y hora inicio]])*1440</f>
        <v>0</v>
      </c>
    </row>
    <row r="6267" spans="6:6" ht="15">
      <c r="F6267" s="115">
        <f>+(disponibilidad[[#This Row],[Fecha y hora fin]]-disponibilidad[[#This Row],[Fecha y hora inicio]])*1440</f>
        <v>0</v>
      </c>
    </row>
    <row r="6268" spans="6:6" ht="15">
      <c r="F6268" s="115">
        <f>+(disponibilidad[[#This Row],[Fecha y hora fin]]-disponibilidad[[#This Row],[Fecha y hora inicio]])*1440</f>
        <v>0</v>
      </c>
    </row>
    <row r="6269" spans="6:6" ht="15">
      <c r="F6269" s="115">
        <f>+(disponibilidad[[#This Row],[Fecha y hora fin]]-disponibilidad[[#This Row],[Fecha y hora inicio]])*1440</f>
        <v>0</v>
      </c>
    </row>
    <row r="6270" spans="6:6" ht="15">
      <c r="F6270" s="115">
        <f>+(disponibilidad[[#This Row],[Fecha y hora fin]]-disponibilidad[[#This Row],[Fecha y hora inicio]])*1440</f>
        <v>0</v>
      </c>
    </row>
    <row r="6271" spans="6:6" ht="15">
      <c r="F6271" s="115">
        <f>+(disponibilidad[[#This Row],[Fecha y hora fin]]-disponibilidad[[#This Row],[Fecha y hora inicio]])*1440</f>
        <v>0</v>
      </c>
    </row>
    <row r="6272" spans="6:6" ht="15">
      <c r="F6272" s="115">
        <f>+(disponibilidad[[#This Row],[Fecha y hora fin]]-disponibilidad[[#This Row],[Fecha y hora inicio]])*1440</f>
        <v>0</v>
      </c>
    </row>
    <row r="6273" spans="6:6" ht="15">
      <c r="F6273" s="115">
        <f>+(disponibilidad[[#This Row],[Fecha y hora fin]]-disponibilidad[[#This Row],[Fecha y hora inicio]])*1440</f>
        <v>0</v>
      </c>
    </row>
    <row r="6274" spans="6:6" ht="15">
      <c r="F6274" s="115">
        <f>+(disponibilidad[[#This Row],[Fecha y hora fin]]-disponibilidad[[#This Row],[Fecha y hora inicio]])*1440</f>
        <v>0</v>
      </c>
    </row>
    <row r="6275" spans="6:6" ht="15">
      <c r="F6275" s="115">
        <f>+(disponibilidad[[#This Row],[Fecha y hora fin]]-disponibilidad[[#This Row],[Fecha y hora inicio]])*1440</f>
        <v>0</v>
      </c>
    </row>
    <row r="6276" spans="6:6" ht="15">
      <c r="F6276" s="115">
        <f>+(disponibilidad[[#This Row],[Fecha y hora fin]]-disponibilidad[[#This Row],[Fecha y hora inicio]])*1440</f>
        <v>0</v>
      </c>
    </row>
    <row r="6277" spans="6:6" ht="15">
      <c r="F6277" s="115">
        <f>+(disponibilidad[[#This Row],[Fecha y hora fin]]-disponibilidad[[#This Row],[Fecha y hora inicio]])*1440</f>
        <v>0</v>
      </c>
    </row>
    <row r="6278" spans="6:6" ht="15">
      <c r="F6278" s="115">
        <f>+(disponibilidad[[#This Row],[Fecha y hora fin]]-disponibilidad[[#This Row],[Fecha y hora inicio]])*1440</f>
        <v>0</v>
      </c>
    </row>
    <row r="6279" spans="6:6" ht="15">
      <c r="F6279" s="115">
        <f>+(disponibilidad[[#This Row],[Fecha y hora fin]]-disponibilidad[[#This Row],[Fecha y hora inicio]])*1440</f>
        <v>0</v>
      </c>
    </row>
    <row r="6280" spans="6:6" ht="15">
      <c r="F6280" s="115">
        <f>+(disponibilidad[[#This Row],[Fecha y hora fin]]-disponibilidad[[#This Row],[Fecha y hora inicio]])*1440</f>
        <v>0</v>
      </c>
    </row>
    <row r="6281" spans="6:6" ht="15">
      <c r="F6281" s="115">
        <f>+(disponibilidad[[#This Row],[Fecha y hora fin]]-disponibilidad[[#This Row],[Fecha y hora inicio]])*1440</f>
        <v>0</v>
      </c>
    </row>
    <row r="6282" spans="6:6" ht="15">
      <c r="F6282" s="115">
        <f>+(disponibilidad[[#This Row],[Fecha y hora fin]]-disponibilidad[[#This Row],[Fecha y hora inicio]])*1440</f>
        <v>0</v>
      </c>
    </row>
    <row r="6283" spans="6:6" ht="15">
      <c r="F6283" s="115">
        <f>+(disponibilidad[[#This Row],[Fecha y hora fin]]-disponibilidad[[#This Row],[Fecha y hora inicio]])*1440</f>
        <v>0</v>
      </c>
    </row>
    <row r="6284" spans="6:6" ht="15">
      <c r="F6284" s="115">
        <f>+(disponibilidad[[#This Row],[Fecha y hora fin]]-disponibilidad[[#This Row],[Fecha y hora inicio]])*1440</f>
        <v>0</v>
      </c>
    </row>
    <row r="6285" spans="6:6" ht="15">
      <c r="F6285" s="115">
        <f>+(disponibilidad[[#This Row],[Fecha y hora fin]]-disponibilidad[[#This Row],[Fecha y hora inicio]])*1440</f>
        <v>0</v>
      </c>
    </row>
    <row r="6286" spans="6:6" ht="15">
      <c r="F6286" s="115">
        <f>+(disponibilidad[[#This Row],[Fecha y hora fin]]-disponibilidad[[#This Row],[Fecha y hora inicio]])*1440</f>
        <v>0</v>
      </c>
    </row>
    <row r="6287" spans="6:6" ht="15">
      <c r="F6287" s="115">
        <f>+(disponibilidad[[#This Row],[Fecha y hora fin]]-disponibilidad[[#This Row],[Fecha y hora inicio]])*1440</f>
        <v>0</v>
      </c>
    </row>
    <row r="6288" spans="6:6" ht="15">
      <c r="F6288" s="115">
        <f>+(disponibilidad[[#This Row],[Fecha y hora fin]]-disponibilidad[[#This Row],[Fecha y hora inicio]])*1440</f>
        <v>0</v>
      </c>
    </row>
    <row r="6289" spans="6:6" ht="15">
      <c r="F6289" s="115">
        <f>+(disponibilidad[[#This Row],[Fecha y hora fin]]-disponibilidad[[#This Row],[Fecha y hora inicio]])*1440</f>
        <v>0</v>
      </c>
    </row>
    <row r="6290" spans="6:6" ht="15">
      <c r="F6290" s="115">
        <f>+(disponibilidad[[#This Row],[Fecha y hora fin]]-disponibilidad[[#This Row],[Fecha y hora inicio]])*1440</f>
        <v>0</v>
      </c>
    </row>
    <row r="6291" spans="6:6" ht="15">
      <c r="F6291" s="115">
        <f>+(disponibilidad[[#This Row],[Fecha y hora fin]]-disponibilidad[[#This Row],[Fecha y hora inicio]])*1440</f>
        <v>0</v>
      </c>
    </row>
    <row r="6292" spans="6:6" ht="15">
      <c r="F6292" s="115">
        <f>+(disponibilidad[[#This Row],[Fecha y hora fin]]-disponibilidad[[#This Row],[Fecha y hora inicio]])*1440</f>
        <v>0</v>
      </c>
    </row>
    <row r="6293" spans="6:6" ht="15">
      <c r="F6293" s="115">
        <f>+(disponibilidad[[#This Row],[Fecha y hora fin]]-disponibilidad[[#This Row],[Fecha y hora inicio]])*1440</f>
        <v>0</v>
      </c>
    </row>
    <row r="6294" spans="6:6" ht="15">
      <c r="F6294" s="115">
        <f>+(disponibilidad[[#This Row],[Fecha y hora fin]]-disponibilidad[[#This Row],[Fecha y hora inicio]])*1440</f>
        <v>0</v>
      </c>
    </row>
    <row r="6295" spans="6:6" ht="15">
      <c r="F6295" s="115">
        <f>+(disponibilidad[[#This Row],[Fecha y hora fin]]-disponibilidad[[#This Row],[Fecha y hora inicio]])*1440</f>
        <v>0</v>
      </c>
    </row>
    <row r="6296" spans="6:6" ht="15">
      <c r="F6296" s="115">
        <f>+(disponibilidad[[#This Row],[Fecha y hora fin]]-disponibilidad[[#This Row],[Fecha y hora inicio]])*1440</f>
        <v>0</v>
      </c>
    </row>
    <row r="6297" spans="6:6" ht="15">
      <c r="F6297" s="115">
        <f>+(disponibilidad[[#This Row],[Fecha y hora fin]]-disponibilidad[[#This Row],[Fecha y hora inicio]])*1440</f>
        <v>0</v>
      </c>
    </row>
    <row r="6298" spans="6:6" ht="15">
      <c r="F6298" s="115">
        <f>+(disponibilidad[[#This Row],[Fecha y hora fin]]-disponibilidad[[#This Row],[Fecha y hora inicio]])*1440</f>
        <v>0</v>
      </c>
    </row>
    <row r="6299" spans="6:6" ht="15">
      <c r="F6299" s="115">
        <f>+(disponibilidad[[#This Row],[Fecha y hora fin]]-disponibilidad[[#This Row],[Fecha y hora inicio]])*1440</f>
        <v>0</v>
      </c>
    </row>
    <row r="6300" spans="6:6" ht="15">
      <c r="F6300" s="115">
        <f>+(disponibilidad[[#This Row],[Fecha y hora fin]]-disponibilidad[[#This Row],[Fecha y hora inicio]])*1440</f>
        <v>0</v>
      </c>
    </row>
    <row r="6301" spans="6:6" ht="15">
      <c r="F6301" s="115">
        <f>+(disponibilidad[[#This Row],[Fecha y hora fin]]-disponibilidad[[#This Row],[Fecha y hora inicio]])*1440</f>
        <v>0</v>
      </c>
    </row>
    <row r="6302" spans="6:6" ht="15">
      <c r="F6302" s="115">
        <f>+(disponibilidad[[#This Row],[Fecha y hora fin]]-disponibilidad[[#This Row],[Fecha y hora inicio]])*1440</f>
        <v>0</v>
      </c>
    </row>
    <row r="6303" spans="6:6" ht="15">
      <c r="F6303" s="115">
        <f>+(disponibilidad[[#This Row],[Fecha y hora fin]]-disponibilidad[[#This Row],[Fecha y hora inicio]])*1440</f>
        <v>0</v>
      </c>
    </row>
    <row r="6304" spans="6:6" ht="15">
      <c r="F6304" s="115">
        <f>+(disponibilidad[[#This Row],[Fecha y hora fin]]-disponibilidad[[#This Row],[Fecha y hora inicio]])*1440</f>
        <v>0</v>
      </c>
    </row>
    <row r="6305" spans="6:6" ht="15">
      <c r="F6305" s="115">
        <f>+(disponibilidad[[#This Row],[Fecha y hora fin]]-disponibilidad[[#This Row],[Fecha y hora inicio]])*1440</f>
        <v>0</v>
      </c>
    </row>
    <row r="6306" spans="6:6" ht="15">
      <c r="F6306" s="115">
        <f>+(disponibilidad[[#This Row],[Fecha y hora fin]]-disponibilidad[[#This Row],[Fecha y hora inicio]])*1440</f>
        <v>0</v>
      </c>
    </row>
    <row r="6307" spans="6:6" ht="15">
      <c r="F6307" s="115">
        <f>+(disponibilidad[[#This Row],[Fecha y hora fin]]-disponibilidad[[#This Row],[Fecha y hora inicio]])*1440</f>
        <v>0</v>
      </c>
    </row>
    <row r="6308" spans="6:6" ht="15">
      <c r="F6308" s="115">
        <f>+(disponibilidad[[#This Row],[Fecha y hora fin]]-disponibilidad[[#This Row],[Fecha y hora inicio]])*1440</f>
        <v>0</v>
      </c>
    </row>
    <row r="6309" spans="6:6" ht="15">
      <c r="F6309" s="115">
        <f>+(disponibilidad[[#This Row],[Fecha y hora fin]]-disponibilidad[[#This Row],[Fecha y hora inicio]])*1440</f>
        <v>0</v>
      </c>
    </row>
    <row r="6310" spans="6:6" ht="15">
      <c r="F6310" s="115">
        <f>+(disponibilidad[[#This Row],[Fecha y hora fin]]-disponibilidad[[#This Row],[Fecha y hora inicio]])*1440</f>
        <v>0</v>
      </c>
    </row>
    <row r="6311" spans="6:6" ht="15">
      <c r="F6311" s="115">
        <f>+(disponibilidad[[#This Row],[Fecha y hora fin]]-disponibilidad[[#This Row],[Fecha y hora inicio]])*1440</f>
        <v>0</v>
      </c>
    </row>
    <row r="6312" spans="6:6" ht="15">
      <c r="F6312" s="115">
        <f>+(disponibilidad[[#This Row],[Fecha y hora fin]]-disponibilidad[[#This Row],[Fecha y hora inicio]])*1440</f>
        <v>0</v>
      </c>
    </row>
    <row r="6313" spans="6:6" ht="15">
      <c r="F6313" s="115">
        <f>+(disponibilidad[[#This Row],[Fecha y hora fin]]-disponibilidad[[#This Row],[Fecha y hora inicio]])*1440</f>
        <v>0</v>
      </c>
    </row>
    <row r="6314" spans="6:6" ht="15">
      <c r="F6314" s="115">
        <f>+(disponibilidad[[#This Row],[Fecha y hora fin]]-disponibilidad[[#This Row],[Fecha y hora inicio]])*1440</f>
        <v>0</v>
      </c>
    </row>
    <row r="6315" spans="6:6" ht="15">
      <c r="F6315" s="115">
        <f>+(disponibilidad[[#This Row],[Fecha y hora fin]]-disponibilidad[[#This Row],[Fecha y hora inicio]])*1440</f>
        <v>0</v>
      </c>
    </row>
    <row r="6316" spans="6:6" ht="15">
      <c r="F6316" s="115">
        <f>+(disponibilidad[[#This Row],[Fecha y hora fin]]-disponibilidad[[#This Row],[Fecha y hora inicio]])*1440</f>
        <v>0</v>
      </c>
    </row>
    <row r="6317" spans="6:6" ht="15">
      <c r="F6317" s="115">
        <f>+(disponibilidad[[#This Row],[Fecha y hora fin]]-disponibilidad[[#This Row],[Fecha y hora inicio]])*1440</f>
        <v>0</v>
      </c>
    </row>
    <row r="6318" spans="6:6" ht="15">
      <c r="F6318" s="115">
        <f>+(disponibilidad[[#This Row],[Fecha y hora fin]]-disponibilidad[[#This Row],[Fecha y hora inicio]])*1440</f>
        <v>0</v>
      </c>
    </row>
    <row r="6319" spans="6:6" ht="15">
      <c r="F6319" s="115">
        <f>+(disponibilidad[[#This Row],[Fecha y hora fin]]-disponibilidad[[#This Row],[Fecha y hora inicio]])*1440</f>
        <v>0</v>
      </c>
    </row>
    <row r="6320" spans="6:6" ht="15">
      <c r="F6320" s="115">
        <f>+(disponibilidad[[#This Row],[Fecha y hora fin]]-disponibilidad[[#This Row],[Fecha y hora inicio]])*1440</f>
        <v>0</v>
      </c>
    </row>
    <row r="6321" spans="6:6" ht="15">
      <c r="F6321" s="115">
        <f>+(disponibilidad[[#This Row],[Fecha y hora fin]]-disponibilidad[[#This Row],[Fecha y hora inicio]])*1440</f>
        <v>0</v>
      </c>
    </row>
    <row r="6322" spans="6:6" ht="15">
      <c r="F6322" s="115">
        <f>+(disponibilidad[[#This Row],[Fecha y hora fin]]-disponibilidad[[#This Row],[Fecha y hora inicio]])*1440</f>
        <v>0</v>
      </c>
    </row>
    <row r="6323" spans="6:6" ht="15">
      <c r="F6323" s="115">
        <f>+(disponibilidad[[#This Row],[Fecha y hora fin]]-disponibilidad[[#This Row],[Fecha y hora inicio]])*1440</f>
        <v>0</v>
      </c>
    </row>
    <row r="6324" spans="6:6" ht="15">
      <c r="F6324" s="115">
        <f>+(disponibilidad[[#This Row],[Fecha y hora fin]]-disponibilidad[[#This Row],[Fecha y hora inicio]])*1440</f>
        <v>0</v>
      </c>
    </row>
    <row r="6325" spans="6:6" ht="15">
      <c r="F6325" s="115">
        <f>+(disponibilidad[[#This Row],[Fecha y hora fin]]-disponibilidad[[#This Row],[Fecha y hora inicio]])*1440</f>
        <v>0</v>
      </c>
    </row>
    <row r="6326" spans="6:6" ht="15">
      <c r="F6326" s="115">
        <f>+(disponibilidad[[#This Row],[Fecha y hora fin]]-disponibilidad[[#This Row],[Fecha y hora inicio]])*1440</f>
        <v>0</v>
      </c>
    </row>
    <row r="6327" spans="6:6" ht="15">
      <c r="F6327" s="115">
        <f>+(disponibilidad[[#This Row],[Fecha y hora fin]]-disponibilidad[[#This Row],[Fecha y hora inicio]])*1440</f>
        <v>0</v>
      </c>
    </row>
    <row r="6328" spans="6:6" ht="15">
      <c r="F6328" s="115">
        <f>+(disponibilidad[[#This Row],[Fecha y hora fin]]-disponibilidad[[#This Row],[Fecha y hora inicio]])*1440</f>
        <v>0</v>
      </c>
    </row>
    <row r="6329" spans="6:6" ht="15">
      <c r="F6329" s="115">
        <f>+(disponibilidad[[#This Row],[Fecha y hora fin]]-disponibilidad[[#This Row],[Fecha y hora inicio]])*1440</f>
        <v>0</v>
      </c>
    </row>
    <row r="6330" spans="6:6" ht="15">
      <c r="F6330" s="115">
        <f>+(disponibilidad[[#This Row],[Fecha y hora fin]]-disponibilidad[[#This Row],[Fecha y hora inicio]])*1440</f>
        <v>0</v>
      </c>
    </row>
    <row r="6331" spans="6:6" ht="15">
      <c r="F6331" s="115">
        <f>+(disponibilidad[[#This Row],[Fecha y hora fin]]-disponibilidad[[#This Row],[Fecha y hora inicio]])*1440</f>
        <v>0</v>
      </c>
    </row>
    <row r="6332" spans="6:6" ht="15">
      <c r="F6332" s="115">
        <f>+(disponibilidad[[#This Row],[Fecha y hora fin]]-disponibilidad[[#This Row],[Fecha y hora inicio]])*1440</f>
        <v>0</v>
      </c>
    </row>
    <row r="6333" spans="6:6" ht="15">
      <c r="F6333" s="115">
        <f>+(disponibilidad[[#This Row],[Fecha y hora fin]]-disponibilidad[[#This Row],[Fecha y hora inicio]])*1440</f>
        <v>0</v>
      </c>
    </row>
    <row r="6334" spans="6:6" ht="15">
      <c r="F6334" s="115">
        <f>+(disponibilidad[[#This Row],[Fecha y hora fin]]-disponibilidad[[#This Row],[Fecha y hora inicio]])*1440</f>
        <v>0</v>
      </c>
    </row>
    <row r="6335" spans="6:6" ht="15">
      <c r="F6335" s="115">
        <f>+(disponibilidad[[#This Row],[Fecha y hora fin]]-disponibilidad[[#This Row],[Fecha y hora inicio]])*1440</f>
        <v>0</v>
      </c>
    </row>
    <row r="6336" spans="6:6" ht="15">
      <c r="F6336" s="115">
        <f>+(disponibilidad[[#This Row],[Fecha y hora fin]]-disponibilidad[[#This Row],[Fecha y hora inicio]])*1440</f>
        <v>0</v>
      </c>
    </row>
    <row r="6337" spans="6:6" ht="15">
      <c r="F6337" s="115">
        <f>+(disponibilidad[[#This Row],[Fecha y hora fin]]-disponibilidad[[#This Row],[Fecha y hora inicio]])*1440</f>
        <v>0</v>
      </c>
    </row>
    <row r="6338" spans="6:6" ht="15">
      <c r="F6338" s="115">
        <f>+(disponibilidad[[#This Row],[Fecha y hora fin]]-disponibilidad[[#This Row],[Fecha y hora inicio]])*1440</f>
        <v>0</v>
      </c>
    </row>
    <row r="6339" spans="6:6" ht="15">
      <c r="F6339" s="115">
        <f>+(disponibilidad[[#This Row],[Fecha y hora fin]]-disponibilidad[[#This Row],[Fecha y hora inicio]])*1440</f>
        <v>0</v>
      </c>
    </row>
    <row r="6340" spans="6:6" ht="15">
      <c r="F6340" s="115">
        <f>+(disponibilidad[[#This Row],[Fecha y hora fin]]-disponibilidad[[#This Row],[Fecha y hora inicio]])*1440</f>
        <v>0</v>
      </c>
    </row>
    <row r="6341" spans="6:6" ht="15">
      <c r="F6341" s="115">
        <f>+(disponibilidad[[#This Row],[Fecha y hora fin]]-disponibilidad[[#This Row],[Fecha y hora inicio]])*1440</f>
        <v>0</v>
      </c>
    </row>
    <row r="6342" spans="6:6" ht="15">
      <c r="F6342" s="115">
        <f>+(disponibilidad[[#This Row],[Fecha y hora fin]]-disponibilidad[[#This Row],[Fecha y hora inicio]])*1440</f>
        <v>0</v>
      </c>
    </row>
    <row r="6343" spans="6:6" ht="15">
      <c r="F6343" s="115">
        <f>+(disponibilidad[[#This Row],[Fecha y hora fin]]-disponibilidad[[#This Row],[Fecha y hora inicio]])*1440</f>
        <v>0</v>
      </c>
    </row>
    <row r="6344" spans="6:6" ht="15">
      <c r="F6344" s="115">
        <f>+(disponibilidad[[#This Row],[Fecha y hora fin]]-disponibilidad[[#This Row],[Fecha y hora inicio]])*1440</f>
        <v>0</v>
      </c>
    </row>
    <row r="6345" spans="6:6" ht="15">
      <c r="F6345" s="115">
        <f>+(disponibilidad[[#This Row],[Fecha y hora fin]]-disponibilidad[[#This Row],[Fecha y hora inicio]])*1440</f>
        <v>0</v>
      </c>
    </row>
    <row r="6346" spans="6:6" ht="15">
      <c r="F6346" s="115">
        <f>+(disponibilidad[[#This Row],[Fecha y hora fin]]-disponibilidad[[#This Row],[Fecha y hora inicio]])*1440</f>
        <v>0</v>
      </c>
    </row>
    <row r="6347" spans="6:6" ht="15">
      <c r="F6347" s="115">
        <f>+(disponibilidad[[#This Row],[Fecha y hora fin]]-disponibilidad[[#This Row],[Fecha y hora inicio]])*1440</f>
        <v>0</v>
      </c>
    </row>
    <row r="6348" spans="6:6" ht="15">
      <c r="F6348" s="115">
        <f>+(disponibilidad[[#This Row],[Fecha y hora fin]]-disponibilidad[[#This Row],[Fecha y hora inicio]])*1440</f>
        <v>0</v>
      </c>
    </row>
    <row r="6349" spans="6:6" ht="15">
      <c r="F6349" s="115">
        <f>+(disponibilidad[[#This Row],[Fecha y hora fin]]-disponibilidad[[#This Row],[Fecha y hora inicio]])*1440</f>
        <v>0</v>
      </c>
    </row>
    <row r="6350" spans="6:6" ht="15">
      <c r="F6350" s="115">
        <f>+(disponibilidad[[#This Row],[Fecha y hora fin]]-disponibilidad[[#This Row],[Fecha y hora inicio]])*1440</f>
        <v>0</v>
      </c>
    </row>
    <row r="6351" spans="6:6" ht="15">
      <c r="F6351" s="115">
        <f>+(disponibilidad[[#This Row],[Fecha y hora fin]]-disponibilidad[[#This Row],[Fecha y hora inicio]])*1440</f>
        <v>0</v>
      </c>
    </row>
    <row r="6352" spans="6:6" ht="15">
      <c r="F6352" s="115">
        <f>+(disponibilidad[[#This Row],[Fecha y hora fin]]-disponibilidad[[#This Row],[Fecha y hora inicio]])*1440</f>
        <v>0</v>
      </c>
    </row>
    <row r="6353" spans="6:6" ht="15">
      <c r="F6353" s="115">
        <f>+(disponibilidad[[#This Row],[Fecha y hora fin]]-disponibilidad[[#This Row],[Fecha y hora inicio]])*1440</f>
        <v>0</v>
      </c>
    </row>
    <row r="6354" spans="6:6" ht="15">
      <c r="F6354" s="115">
        <f>+(disponibilidad[[#This Row],[Fecha y hora fin]]-disponibilidad[[#This Row],[Fecha y hora inicio]])*1440</f>
        <v>0</v>
      </c>
    </row>
    <row r="6355" spans="6:6" ht="15">
      <c r="F6355" s="115">
        <f>+(disponibilidad[[#This Row],[Fecha y hora fin]]-disponibilidad[[#This Row],[Fecha y hora inicio]])*1440</f>
        <v>0</v>
      </c>
    </row>
    <row r="6356" spans="6:6" ht="15">
      <c r="F6356" s="115">
        <f>+(disponibilidad[[#This Row],[Fecha y hora fin]]-disponibilidad[[#This Row],[Fecha y hora inicio]])*1440</f>
        <v>0</v>
      </c>
    </row>
    <row r="6357" spans="6:6" ht="15">
      <c r="F6357" s="115">
        <f>+(disponibilidad[[#This Row],[Fecha y hora fin]]-disponibilidad[[#This Row],[Fecha y hora inicio]])*1440</f>
        <v>0</v>
      </c>
    </row>
    <row r="6358" spans="6:6" ht="15">
      <c r="F6358" s="115">
        <f>+(disponibilidad[[#This Row],[Fecha y hora fin]]-disponibilidad[[#This Row],[Fecha y hora inicio]])*1440</f>
        <v>0</v>
      </c>
    </row>
    <row r="6359" spans="6:6" ht="15">
      <c r="F6359" s="115">
        <f>+(disponibilidad[[#This Row],[Fecha y hora fin]]-disponibilidad[[#This Row],[Fecha y hora inicio]])*1440</f>
        <v>0</v>
      </c>
    </row>
    <row r="6360" spans="6:6" ht="15">
      <c r="F6360" s="115">
        <f>+(disponibilidad[[#This Row],[Fecha y hora fin]]-disponibilidad[[#This Row],[Fecha y hora inicio]])*1440</f>
        <v>0</v>
      </c>
    </row>
    <row r="6361" spans="6:6" ht="15">
      <c r="F6361" s="115">
        <f>+(disponibilidad[[#This Row],[Fecha y hora fin]]-disponibilidad[[#This Row],[Fecha y hora inicio]])*1440</f>
        <v>0</v>
      </c>
    </row>
    <row r="6362" spans="6:6" ht="15">
      <c r="F6362" s="115">
        <f>+(disponibilidad[[#This Row],[Fecha y hora fin]]-disponibilidad[[#This Row],[Fecha y hora inicio]])*1440</f>
        <v>0</v>
      </c>
    </row>
    <row r="6363" spans="6:6" ht="15">
      <c r="F6363" s="115">
        <f>+(disponibilidad[[#This Row],[Fecha y hora fin]]-disponibilidad[[#This Row],[Fecha y hora inicio]])*1440</f>
        <v>0</v>
      </c>
    </row>
    <row r="6364" spans="6:6" ht="15">
      <c r="F6364" s="115">
        <f>+(disponibilidad[[#This Row],[Fecha y hora fin]]-disponibilidad[[#This Row],[Fecha y hora inicio]])*1440</f>
        <v>0</v>
      </c>
    </row>
    <row r="6365" spans="6:6" ht="15">
      <c r="F6365" s="115">
        <f>+(disponibilidad[[#This Row],[Fecha y hora fin]]-disponibilidad[[#This Row],[Fecha y hora inicio]])*1440</f>
        <v>0</v>
      </c>
    </row>
    <row r="6366" spans="6:6" ht="15">
      <c r="F6366" s="115">
        <f>+(disponibilidad[[#This Row],[Fecha y hora fin]]-disponibilidad[[#This Row],[Fecha y hora inicio]])*1440</f>
        <v>0</v>
      </c>
    </row>
    <row r="6367" spans="6:6" ht="15">
      <c r="F6367" s="115">
        <f>+(disponibilidad[[#This Row],[Fecha y hora fin]]-disponibilidad[[#This Row],[Fecha y hora inicio]])*1440</f>
        <v>0</v>
      </c>
    </row>
    <row r="6368" spans="6:6" ht="15">
      <c r="F6368" s="115">
        <f>+(disponibilidad[[#This Row],[Fecha y hora fin]]-disponibilidad[[#This Row],[Fecha y hora inicio]])*1440</f>
        <v>0</v>
      </c>
    </row>
    <row r="6369" spans="6:6" ht="15">
      <c r="F6369" s="115">
        <f>+(disponibilidad[[#This Row],[Fecha y hora fin]]-disponibilidad[[#This Row],[Fecha y hora inicio]])*1440</f>
        <v>0</v>
      </c>
    </row>
    <row r="6370" spans="6:6" ht="15">
      <c r="F6370" s="115">
        <f>+(disponibilidad[[#This Row],[Fecha y hora fin]]-disponibilidad[[#This Row],[Fecha y hora inicio]])*1440</f>
        <v>0</v>
      </c>
    </row>
    <row r="6371" spans="6:6" ht="15">
      <c r="F6371" s="115">
        <f>+(disponibilidad[[#This Row],[Fecha y hora fin]]-disponibilidad[[#This Row],[Fecha y hora inicio]])*1440</f>
        <v>0</v>
      </c>
    </row>
    <row r="6372" spans="6:6" ht="15">
      <c r="F6372" s="115">
        <f>+(disponibilidad[[#This Row],[Fecha y hora fin]]-disponibilidad[[#This Row],[Fecha y hora inicio]])*1440</f>
        <v>0</v>
      </c>
    </row>
    <row r="6373" spans="6:6" ht="15">
      <c r="F6373" s="115">
        <f>+(disponibilidad[[#This Row],[Fecha y hora fin]]-disponibilidad[[#This Row],[Fecha y hora inicio]])*1440</f>
        <v>0</v>
      </c>
    </row>
    <row r="6374" spans="6:6" ht="15">
      <c r="F6374" s="115">
        <f>+(disponibilidad[[#This Row],[Fecha y hora fin]]-disponibilidad[[#This Row],[Fecha y hora inicio]])*1440</f>
        <v>0</v>
      </c>
    </row>
    <row r="6375" spans="6:6" ht="15">
      <c r="F6375" s="115">
        <f>+(disponibilidad[[#This Row],[Fecha y hora fin]]-disponibilidad[[#This Row],[Fecha y hora inicio]])*1440</f>
        <v>0</v>
      </c>
    </row>
    <row r="6376" spans="6:6" ht="15">
      <c r="F6376" s="115">
        <f>+(disponibilidad[[#This Row],[Fecha y hora fin]]-disponibilidad[[#This Row],[Fecha y hora inicio]])*1440</f>
        <v>0</v>
      </c>
    </row>
    <row r="6377" spans="6:6" ht="15">
      <c r="F6377" s="115">
        <f>+(disponibilidad[[#This Row],[Fecha y hora fin]]-disponibilidad[[#This Row],[Fecha y hora inicio]])*1440</f>
        <v>0</v>
      </c>
    </row>
    <row r="6378" spans="6:6" ht="15">
      <c r="F6378" s="115">
        <f>+(disponibilidad[[#This Row],[Fecha y hora fin]]-disponibilidad[[#This Row],[Fecha y hora inicio]])*1440</f>
        <v>0</v>
      </c>
    </row>
    <row r="6379" spans="6:6" ht="15">
      <c r="F6379" s="115">
        <f>+(disponibilidad[[#This Row],[Fecha y hora fin]]-disponibilidad[[#This Row],[Fecha y hora inicio]])*1440</f>
        <v>0</v>
      </c>
    </row>
    <row r="6380" spans="6:6" ht="15">
      <c r="F6380" s="115">
        <f>+(disponibilidad[[#This Row],[Fecha y hora fin]]-disponibilidad[[#This Row],[Fecha y hora inicio]])*1440</f>
        <v>0</v>
      </c>
    </row>
    <row r="6381" spans="6:6" ht="15">
      <c r="F6381" s="115">
        <f>+(disponibilidad[[#This Row],[Fecha y hora fin]]-disponibilidad[[#This Row],[Fecha y hora inicio]])*1440</f>
        <v>0</v>
      </c>
    </row>
    <row r="6382" spans="6:6" ht="15">
      <c r="F6382" s="115">
        <f>+(disponibilidad[[#This Row],[Fecha y hora fin]]-disponibilidad[[#This Row],[Fecha y hora inicio]])*1440</f>
        <v>0</v>
      </c>
    </row>
    <row r="6383" spans="6:6" ht="15">
      <c r="F6383" s="115">
        <f>+(disponibilidad[[#This Row],[Fecha y hora fin]]-disponibilidad[[#This Row],[Fecha y hora inicio]])*1440</f>
        <v>0</v>
      </c>
    </row>
    <row r="6384" spans="6:6" ht="15">
      <c r="F6384" s="115">
        <f>+(disponibilidad[[#This Row],[Fecha y hora fin]]-disponibilidad[[#This Row],[Fecha y hora inicio]])*1440</f>
        <v>0</v>
      </c>
    </row>
    <row r="6385" spans="6:6" ht="15">
      <c r="F6385" s="115">
        <f>+(disponibilidad[[#This Row],[Fecha y hora fin]]-disponibilidad[[#This Row],[Fecha y hora inicio]])*1440</f>
        <v>0</v>
      </c>
    </row>
    <row r="6386" spans="6:6" ht="15">
      <c r="F6386" s="115">
        <f>+(disponibilidad[[#This Row],[Fecha y hora fin]]-disponibilidad[[#This Row],[Fecha y hora inicio]])*1440</f>
        <v>0</v>
      </c>
    </row>
    <row r="6387" spans="6:6" ht="15">
      <c r="F6387" s="115">
        <f>+(disponibilidad[[#This Row],[Fecha y hora fin]]-disponibilidad[[#This Row],[Fecha y hora inicio]])*1440</f>
        <v>0</v>
      </c>
    </row>
    <row r="6388" spans="6:6" ht="15">
      <c r="F6388" s="115">
        <f>+(disponibilidad[[#This Row],[Fecha y hora fin]]-disponibilidad[[#This Row],[Fecha y hora inicio]])*1440</f>
        <v>0</v>
      </c>
    </row>
    <row r="6389" spans="6:6" ht="15">
      <c r="F6389" s="115">
        <f>+(disponibilidad[[#This Row],[Fecha y hora fin]]-disponibilidad[[#This Row],[Fecha y hora inicio]])*1440</f>
        <v>0</v>
      </c>
    </row>
    <row r="6390" spans="6:6" ht="15">
      <c r="F6390" s="115">
        <f>+(disponibilidad[[#This Row],[Fecha y hora fin]]-disponibilidad[[#This Row],[Fecha y hora inicio]])*1440</f>
        <v>0</v>
      </c>
    </row>
    <row r="6391" spans="6:6" ht="15">
      <c r="F6391" s="115">
        <f>+(disponibilidad[[#This Row],[Fecha y hora fin]]-disponibilidad[[#This Row],[Fecha y hora inicio]])*1440</f>
        <v>0</v>
      </c>
    </row>
    <row r="6392" spans="6:6" ht="15">
      <c r="F6392" s="115">
        <f>+(disponibilidad[[#This Row],[Fecha y hora fin]]-disponibilidad[[#This Row],[Fecha y hora inicio]])*1440</f>
        <v>0</v>
      </c>
    </row>
    <row r="6393" spans="6:6" ht="15">
      <c r="F6393" s="115">
        <f>+(disponibilidad[[#This Row],[Fecha y hora fin]]-disponibilidad[[#This Row],[Fecha y hora inicio]])*1440</f>
        <v>0</v>
      </c>
    </row>
    <row r="6394" spans="6:6" ht="15">
      <c r="F6394" s="115">
        <f>+(disponibilidad[[#This Row],[Fecha y hora fin]]-disponibilidad[[#This Row],[Fecha y hora inicio]])*1440</f>
        <v>0</v>
      </c>
    </row>
    <row r="6395" spans="6:6" ht="15">
      <c r="F6395" s="115">
        <f>+(disponibilidad[[#This Row],[Fecha y hora fin]]-disponibilidad[[#This Row],[Fecha y hora inicio]])*1440</f>
        <v>0</v>
      </c>
    </row>
    <row r="6396" spans="6:6" ht="15">
      <c r="F6396" s="115">
        <f>+(disponibilidad[[#This Row],[Fecha y hora fin]]-disponibilidad[[#This Row],[Fecha y hora inicio]])*1440</f>
        <v>0</v>
      </c>
    </row>
    <row r="6397" spans="6:6" ht="15">
      <c r="F6397" s="115">
        <f>+(disponibilidad[[#This Row],[Fecha y hora fin]]-disponibilidad[[#This Row],[Fecha y hora inicio]])*1440</f>
        <v>0</v>
      </c>
    </row>
    <row r="6398" spans="6:6" ht="15">
      <c r="F6398" s="115">
        <f>+(disponibilidad[[#This Row],[Fecha y hora fin]]-disponibilidad[[#This Row],[Fecha y hora inicio]])*1440</f>
        <v>0</v>
      </c>
    </row>
    <row r="6399" spans="6:6" ht="15">
      <c r="F6399" s="115">
        <f>+(disponibilidad[[#This Row],[Fecha y hora fin]]-disponibilidad[[#This Row],[Fecha y hora inicio]])*1440</f>
        <v>0</v>
      </c>
    </row>
    <row r="6400" spans="6:6" ht="15">
      <c r="F6400" s="115">
        <f>+(disponibilidad[[#This Row],[Fecha y hora fin]]-disponibilidad[[#This Row],[Fecha y hora inicio]])*1440</f>
        <v>0</v>
      </c>
    </row>
    <row r="6401" spans="6:6" ht="15">
      <c r="F6401" s="115">
        <f>+(disponibilidad[[#This Row],[Fecha y hora fin]]-disponibilidad[[#This Row],[Fecha y hora inicio]])*1440</f>
        <v>0</v>
      </c>
    </row>
    <row r="6402" spans="6:6" ht="15">
      <c r="F6402" s="115">
        <f>+(disponibilidad[[#This Row],[Fecha y hora fin]]-disponibilidad[[#This Row],[Fecha y hora inicio]])*1440</f>
        <v>0</v>
      </c>
    </row>
    <row r="6403" spans="6:6" ht="15">
      <c r="F6403" s="115">
        <f>+(disponibilidad[[#This Row],[Fecha y hora fin]]-disponibilidad[[#This Row],[Fecha y hora inicio]])*1440</f>
        <v>0</v>
      </c>
    </row>
    <row r="6404" spans="6:6" ht="15">
      <c r="F6404" s="115">
        <f>+(disponibilidad[[#This Row],[Fecha y hora fin]]-disponibilidad[[#This Row],[Fecha y hora inicio]])*1440</f>
        <v>0</v>
      </c>
    </row>
    <row r="6405" spans="6:6" ht="15">
      <c r="F6405" s="115">
        <f>+(disponibilidad[[#This Row],[Fecha y hora fin]]-disponibilidad[[#This Row],[Fecha y hora inicio]])*1440</f>
        <v>0</v>
      </c>
    </row>
    <row r="6406" spans="6:6" ht="15">
      <c r="F6406" s="115">
        <f>+(disponibilidad[[#This Row],[Fecha y hora fin]]-disponibilidad[[#This Row],[Fecha y hora inicio]])*1440</f>
        <v>0</v>
      </c>
    </row>
    <row r="6407" spans="6:6" ht="15">
      <c r="F6407" s="115">
        <f>+(disponibilidad[[#This Row],[Fecha y hora fin]]-disponibilidad[[#This Row],[Fecha y hora inicio]])*1440</f>
        <v>0</v>
      </c>
    </row>
    <row r="6408" spans="6:6" ht="15">
      <c r="F6408" s="115">
        <f>+(disponibilidad[[#This Row],[Fecha y hora fin]]-disponibilidad[[#This Row],[Fecha y hora inicio]])*1440</f>
        <v>0</v>
      </c>
    </row>
    <row r="6409" spans="6:6" ht="15">
      <c r="F6409" s="115">
        <f>+(disponibilidad[[#This Row],[Fecha y hora fin]]-disponibilidad[[#This Row],[Fecha y hora inicio]])*1440</f>
        <v>0</v>
      </c>
    </row>
    <row r="6410" spans="6:6" ht="15">
      <c r="F6410" s="115">
        <f>+(disponibilidad[[#This Row],[Fecha y hora fin]]-disponibilidad[[#This Row],[Fecha y hora inicio]])*1440</f>
        <v>0</v>
      </c>
    </row>
    <row r="6411" spans="6:6" ht="15">
      <c r="F6411" s="115">
        <f>+(disponibilidad[[#This Row],[Fecha y hora fin]]-disponibilidad[[#This Row],[Fecha y hora inicio]])*1440</f>
        <v>0</v>
      </c>
    </row>
    <row r="6412" spans="6:6" ht="15">
      <c r="F6412" s="115">
        <f>+(disponibilidad[[#This Row],[Fecha y hora fin]]-disponibilidad[[#This Row],[Fecha y hora inicio]])*1440</f>
        <v>0</v>
      </c>
    </row>
    <row r="6413" spans="6:6" ht="15">
      <c r="F6413" s="115">
        <f>+(disponibilidad[[#This Row],[Fecha y hora fin]]-disponibilidad[[#This Row],[Fecha y hora inicio]])*1440</f>
        <v>0</v>
      </c>
    </row>
    <row r="6414" spans="6:6" ht="15">
      <c r="F6414" s="115">
        <f>+(disponibilidad[[#This Row],[Fecha y hora fin]]-disponibilidad[[#This Row],[Fecha y hora inicio]])*1440</f>
        <v>0</v>
      </c>
    </row>
    <row r="6415" spans="6:6" ht="15">
      <c r="F6415" s="115">
        <f>+(disponibilidad[[#This Row],[Fecha y hora fin]]-disponibilidad[[#This Row],[Fecha y hora inicio]])*1440</f>
        <v>0</v>
      </c>
    </row>
    <row r="6416" spans="6:6" ht="15">
      <c r="F6416" s="115">
        <f>+(disponibilidad[[#This Row],[Fecha y hora fin]]-disponibilidad[[#This Row],[Fecha y hora inicio]])*1440</f>
        <v>0</v>
      </c>
    </row>
    <row r="6417" spans="6:6" ht="15">
      <c r="F6417" s="115">
        <f>+(disponibilidad[[#This Row],[Fecha y hora fin]]-disponibilidad[[#This Row],[Fecha y hora inicio]])*1440</f>
        <v>0</v>
      </c>
    </row>
    <row r="6418" spans="6:6" ht="15">
      <c r="F6418" s="115">
        <f>+(disponibilidad[[#This Row],[Fecha y hora fin]]-disponibilidad[[#This Row],[Fecha y hora inicio]])*1440</f>
        <v>0</v>
      </c>
    </row>
    <row r="6419" spans="6:6" ht="15">
      <c r="F6419" s="115">
        <f>+(disponibilidad[[#This Row],[Fecha y hora fin]]-disponibilidad[[#This Row],[Fecha y hora inicio]])*1440</f>
        <v>0</v>
      </c>
    </row>
    <row r="6420" spans="6:6" ht="15">
      <c r="F6420" s="115">
        <f>+(disponibilidad[[#This Row],[Fecha y hora fin]]-disponibilidad[[#This Row],[Fecha y hora inicio]])*1440</f>
        <v>0</v>
      </c>
    </row>
    <row r="6421" spans="6:6" ht="15">
      <c r="F6421" s="115">
        <f>+(disponibilidad[[#This Row],[Fecha y hora fin]]-disponibilidad[[#This Row],[Fecha y hora inicio]])*1440</f>
        <v>0</v>
      </c>
    </row>
    <row r="6422" spans="6:6" ht="15">
      <c r="F6422" s="115">
        <f>+(disponibilidad[[#This Row],[Fecha y hora fin]]-disponibilidad[[#This Row],[Fecha y hora inicio]])*1440</f>
        <v>0</v>
      </c>
    </row>
    <row r="6423" spans="6:6" ht="15">
      <c r="F6423" s="115">
        <f>+(disponibilidad[[#This Row],[Fecha y hora fin]]-disponibilidad[[#This Row],[Fecha y hora inicio]])*1440</f>
        <v>0</v>
      </c>
    </row>
    <row r="6424" spans="6:6" ht="15">
      <c r="F6424" s="115">
        <f>+(disponibilidad[[#This Row],[Fecha y hora fin]]-disponibilidad[[#This Row],[Fecha y hora inicio]])*1440</f>
        <v>0</v>
      </c>
    </row>
    <row r="6425" spans="6:6" ht="15">
      <c r="F6425" s="115">
        <f>+(disponibilidad[[#This Row],[Fecha y hora fin]]-disponibilidad[[#This Row],[Fecha y hora inicio]])*1440</f>
        <v>0</v>
      </c>
    </row>
    <row r="6426" spans="6:6" ht="15">
      <c r="F6426" s="115">
        <f>+(disponibilidad[[#This Row],[Fecha y hora fin]]-disponibilidad[[#This Row],[Fecha y hora inicio]])*1440</f>
        <v>0</v>
      </c>
    </row>
    <row r="6427" spans="6:6" ht="15">
      <c r="F6427" s="115">
        <f>+(disponibilidad[[#This Row],[Fecha y hora fin]]-disponibilidad[[#This Row],[Fecha y hora inicio]])*1440</f>
        <v>0</v>
      </c>
    </row>
    <row r="6428" spans="6:6" ht="15">
      <c r="F6428" s="115">
        <f>+(disponibilidad[[#This Row],[Fecha y hora fin]]-disponibilidad[[#This Row],[Fecha y hora inicio]])*1440</f>
        <v>0</v>
      </c>
    </row>
    <row r="6429" spans="6:6" ht="15">
      <c r="F6429" s="115">
        <f>+(disponibilidad[[#This Row],[Fecha y hora fin]]-disponibilidad[[#This Row],[Fecha y hora inicio]])*1440</f>
        <v>0</v>
      </c>
    </row>
    <row r="6430" spans="6:6" ht="15">
      <c r="F6430" s="115">
        <f>+(disponibilidad[[#This Row],[Fecha y hora fin]]-disponibilidad[[#This Row],[Fecha y hora inicio]])*1440</f>
        <v>0</v>
      </c>
    </row>
    <row r="6431" spans="6:6" ht="15">
      <c r="F6431" s="115">
        <f>+(disponibilidad[[#This Row],[Fecha y hora fin]]-disponibilidad[[#This Row],[Fecha y hora inicio]])*1440</f>
        <v>0</v>
      </c>
    </row>
    <row r="6432" spans="6:6" ht="15">
      <c r="F6432" s="115">
        <f>+(disponibilidad[[#This Row],[Fecha y hora fin]]-disponibilidad[[#This Row],[Fecha y hora inicio]])*1440</f>
        <v>0</v>
      </c>
    </row>
    <row r="6433" spans="6:6" ht="15">
      <c r="F6433" s="115">
        <f>+(disponibilidad[[#This Row],[Fecha y hora fin]]-disponibilidad[[#This Row],[Fecha y hora inicio]])*1440</f>
        <v>0</v>
      </c>
    </row>
    <row r="6434" spans="6:6" ht="15">
      <c r="F6434" s="115">
        <f>+(disponibilidad[[#This Row],[Fecha y hora fin]]-disponibilidad[[#This Row],[Fecha y hora inicio]])*1440</f>
        <v>0</v>
      </c>
    </row>
    <row r="6435" spans="6:6" ht="15">
      <c r="F6435" s="115">
        <f>+(disponibilidad[[#This Row],[Fecha y hora fin]]-disponibilidad[[#This Row],[Fecha y hora inicio]])*1440</f>
        <v>0</v>
      </c>
    </row>
    <row r="6436" spans="6:6" ht="15">
      <c r="F6436" s="115">
        <f>+(disponibilidad[[#This Row],[Fecha y hora fin]]-disponibilidad[[#This Row],[Fecha y hora inicio]])*1440</f>
        <v>0</v>
      </c>
    </row>
    <row r="6437" spans="6:6" ht="15">
      <c r="F6437" s="115">
        <f>+(disponibilidad[[#This Row],[Fecha y hora fin]]-disponibilidad[[#This Row],[Fecha y hora inicio]])*1440</f>
        <v>0</v>
      </c>
    </row>
    <row r="6438" spans="6:6" ht="15">
      <c r="F6438" s="115">
        <f>+(disponibilidad[[#This Row],[Fecha y hora fin]]-disponibilidad[[#This Row],[Fecha y hora inicio]])*1440</f>
        <v>0</v>
      </c>
    </row>
    <row r="6439" spans="6:6" ht="15">
      <c r="F6439" s="115">
        <f>+(disponibilidad[[#This Row],[Fecha y hora fin]]-disponibilidad[[#This Row],[Fecha y hora inicio]])*1440</f>
        <v>0</v>
      </c>
    </row>
    <row r="6440" spans="6:6" ht="15">
      <c r="F6440" s="115">
        <f>+(disponibilidad[[#This Row],[Fecha y hora fin]]-disponibilidad[[#This Row],[Fecha y hora inicio]])*1440</f>
        <v>0</v>
      </c>
    </row>
    <row r="6441" spans="6:6" ht="15">
      <c r="F6441" s="115">
        <f>+(disponibilidad[[#This Row],[Fecha y hora fin]]-disponibilidad[[#This Row],[Fecha y hora inicio]])*1440</f>
        <v>0</v>
      </c>
    </row>
    <row r="6442" spans="6:6" ht="15">
      <c r="F6442" s="115">
        <f>+(disponibilidad[[#This Row],[Fecha y hora fin]]-disponibilidad[[#This Row],[Fecha y hora inicio]])*1440</f>
        <v>0</v>
      </c>
    </row>
    <row r="6443" spans="6:6" ht="15">
      <c r="F6443" s="115">
        <f>+(disponibilidad[[#This Row],[Fecha y hora fin]]-disponibilidad[[#This Row],[Fecha y hora inicio]])*1440</f>
        <v>0</v>
      </c>
    </row>
    <row r="6444" spans="6:6" ht="15">
      <c r="F6444" s="115">
        <f>+(disponibilidad[[#This Row],[Fecha y hora fin]]-disponibilidad[[#This Row],[Fecha y hora inicio]])*1440</f>
        <v>0</v>
      </c>
    </row>
    <row r="6445" spans="6:6" ht="15">
      <c r="F6445" s="115">
        <f>+(disponibilidad[[#This Row],[Fecha y hora fin]]-disponibilidad[[#This Row],[Fecha y hora inicio]])*1440</f>
        <v>0</v>
      </c>
    </row>
    <row r="6446" spans="6:6" ht="15">
      <c r="F6446" s="115">
        <f>+(disponibilidad[[#This Row],[Fecha y hora fin]]-disponibilidad[[#This Row],[Fecha y hora inicio]])*1440</f>
        <v>0</v>
      </c>
    </row>
    <row r="6447" spans="6:6" ht="15">
      <c r="F6447" s="115">
        <f>+(disponibilidad[[#This Row],[Fecha y hora fin]]-disponibilidad[[#This Row],[Fecha y hora inicio]])*1440</f>
        <v>0</v>
      </c>
    </row>
    <row r="6448" spans="6:6" ht="15">
      <c r="F6448" s="115">
        <f>+(disponibilidad[[#This Row],[Fecha y hora fin]]-disponibilidad[[#This Row],[Fecha y hora inicio]])*1440</f>
        <v>0</v>
      </c>
    </row>
    <row r="6449" spans="6:6" ht="15">
      <c r="F6449" s="115">
        <f>+(disponibilidad[[#This Row],[Fecha y hora fin]]-disponibilidad[[#This Row],[Fecha y hora inicio]])*1440</f>
        <v>0</v>
      </c>
    </row>
    <row r="6450" spans="6:6" ht="15">
      <c r="F6450" s="115">
        <f>+(disponibilidad[[#This Row],[Fecha y hora fin]]-disponibilidad[[#This Row],[Fecha y hora inicio]])*1440</f>
        <v>0</v>
      </c>
    </row>
    <row r="6451" spans="6:6" ht="15">
      <c r="F6451" s="115">
        <f>+(disponibilidad[[#This Row],[Fecha y hora fin]]-disponibilidad[[#This Row],[Fecha y hora inicio]])*1440</f>
        <v>0</v>
      </c>
    </row>
    <row r="6452" spans="6:6" ht="15">
      <c r="F6452" s="115">
        <f>+(disponibilidad[[#This Row],[Fecha y hora fin]]-disponibilidad[[#This Row],[Fecha y hora inicio]])*1440</f>
        <v>0</v>
      </c>
    </row>
    <row r="6453" spans="6:6" ht="15">
      <c r="F6453" s="115">
        <f>+(disponibilidad[[#This Row],[Fecha y hora fin]]-disponibilidad[[#This Row],[Fecha y hora inicio]])*1440</f>
        <v>0</v>
      </c>
    </row>
    <row r="6454" spans="6:6" ht="15">
      <c r="F6454" s="115">
        <f>+(disponibilidad[[#This Row],[Fecha y hora fin]]-disponibilidad[[#This Row],[Fecha y hora inicio]])*1440</f>
        <v>0</v>
      </c>
    </row>
    <row r="6455" spans="6:6" ht="15">
      <c r="F6455" s="115">
        <f>+(disponibilidad[[#This Row],[Fecha y hora fin]]-disponibilidad[[#This Row],[Fecha y hora inicio]])*1440</f>
        <v>0</v>
      </c>
    </row>
    <row r="6456" spans="6:6" ht="15">
      <c r="F6456" s="115">
        <f>+(disponibilidad[[#This Row],[Fecha y hora fin]]-disponibilidad[[#This Row],[Fecha y hora inicio]])*1440</f>
        <v>0</v>
      </c>
    </row>
    <row r="6457" spans="6:6" ht="15">
      <c r="F6457" s="115">
        <f>+(disponibilidad[[#This Row],[Fecha y hora fin]]-disponibilidad[[#This Row],[Fecha y hora inicio]])*1440</f>
        <v>0</v>
      </c>
    </row>
    <row r="6458" spans="6:6" ht="15">
      <c r="F6458" s="115">
        <f>+(disponibilidad[[#This Row],[Fecha y hora fin]]-disponibilidad[[#This Row],[Fecha y hora inicio]])*1440</f>
        <v>0</v>
      </c>
    </row>
    <row r="6459" spans="6:6" ht="15">
      <c r="F6459" s="115">
        <f>+(disponibilidad[[#This Row],[Fecha y hora fin]]-disponibilidad[[#This Row],[Fecha y hora inicio]])*1440</f>
        <v>0</v>
      </c>
    </row>
    <row r="6460" spans="6:6" ht="15">
      <c r="F6460" s="115">
        <f>+(disponibilidad[[#This Row],[Fecha y hora fin]]-disponibilidad[[#This Row],[Fecha y hora inicio]])*1440</f>
        <v>0</v>
      </c>
    </row>
    <row r="6461" spans="6:6" ht="15">
      <c r="F6461" s="115">
        <f>+(disponibilidad[[#This Row],[Fecha y hora fin]]-disponibilidad[[#This Row],[Fecha y hora inicio]])*1440</f>
        <v>0</v>
      </c>
    </row>
    <row r="6462" spans="6:6" ht="15">
      <c r="F6462" s="115">
        <f>+(disponibilidad[[#This Row],[Fecha y hora fin]]-disponibilidad[[#This Row],[Fecha y hora inicio]])*1440</f>
        <v>0</v>
      </c>
    </row>
    <row r="6463" spans="6:6" ht="15">
      <c r="F6463" s="115">
        <f>+(disponibilidad[[#This Row],[Fecha y hora fin]]-disponibilidad[[#This Row],[Fecha y hora inicio]])*1440</f>
        <v>0</v>
      </c>
    </row>
    <row r="6464" spans="6:6" ht="15">
      <c r="F6464" s="115">
        <f>+(disponibilidad[[#This Row],[Fecha y hora fin]]-disponibilidad[[#This Row],[Fecha y hora inicio]])*1440</f>
        <v>0</v>
      </c>
    </row>
    <row r="6465" spans="6:6" ht="15">
      <c r="F6465" s="115">
        <f>+(disponibilidad[[#This Row],[Fecha y hora fin]]-disponibilidad[[#This Row],[Fecha y hora inicio]])*1440</f>
        <v>0</v>
      </c>
    </row>
    <row r="6466" spans="6:6" ht="15">
      <c r="F6466" s="115">
        <f>+(disponibilidad[[#This Row],[Fecha y hora fin]]-disponibilidad[[#This Row],[Fecha y hora inicio]])*1440</f>
        <v>0</v>
      </c>
    </row>
    <row r="6467" spans="6:6" ht="15">
      <c r="F6467" s="115">
        <f>+(disponibilidad[[#This Row],[Fecha y hora fin]]-disponibilidad[[#This Row],[Fecha y hora inicio]])*1440</f>
        <v>0</v>
      </c>
    </row>
    <row r="6468" spans="6:6" ht="15">
      <c r="F6468" s="115">
        <f>+(disponibilidad[[#This Row],[Fecha y hora fin]]-disponibilidad[[#This Row],[Fecha y hora inicio]])*1440</f>
        <v>0</v>
      </c>
    </row>
    <row r="6469" spans="6:6" ht="15">
      <c r="F6469" s="115">
        <f>+(disponibilidad[[#This Row],[Fecha y hora fin]]-disponibilidad[[#This Row],[Fecha y hora inicio]])*1440</f>
        <v>0</v>
      </c>
    </row>
    <row r="6470" spans="6:6" ht="15">
      <c r="F6470" s="115">
        <f>+(disponibilidad[[#This Row],[Fecha y hora fin]]-disponibilidad[[#This Row],[Fecha y hora inicio]])*1440</f>
        <v>0</v>
      </c>
    </row>
    <row r="6471" spans="6:6" ht="15">
      <c r="F6471" s="115">
        <f>+(disponibilidad[[#This Row],[Fecha y hora fin]]-disponibilidad[[#This Row],[Fecha y hora inicio]])*1440</f>
        <v>0</v>
      </c>
    </row>
    <row r="6472" spans="6:6" ht="15">
      <c r="F6472" s="115">
        <f>+(disponibilidad[[#This Row],[Fecha y hora fin]]-disponibilidad[[#This Row],[Fecha y hora inicio]])*1440</f>
        <v>0</v>
      </c>
    </row>
    <row r="6473" spans="6:6" ht="15">
      <c r="F6473" s="115">
        <f>+(disponibilidad[[#This Row],[Fecha y hora fin]]-disponibilidad[[#This Row],[Fecha y hora inicio]])*1440</f>
        <v>0</v>
      </c>
    </row>
    <row r="6474" spans="6:6" ht="15">
      <c r="F6474" s="115">
        <f>+(disponibilidad[[#This Row],[Fecha y hora fin]]-disponibilidad[[#This Row],[Fecha y hora inicio]])*1440</f>
        <v>0</v>
      </c>
    </row>
    <row r="6475" spans="6:6" ht="15">
      <c r="F6475" s="115">
        <f>+(disponibilidad[[#This Row],[Fecha y hora fin]]-disponibilidad[[#This Row],[Fecha y hora inicio]])*1440</f>
        <v>0</v>
      </c>
    </row>
    <row r="6476" spans="6:6" ht="15">
      <c r="F6476" s="115">
        <f>+(disponibilidad[[#This Row],[Fecha y hora fin]]-disponibilidad[[#This Row],[Fecha y hora inicio]])*1440</f>
        <v>0</v>
      </c>
    </row>
    <row r="6477" spans="6:6" ht="15">
      <c r="F6477" s="115">
        <f>+(disponibilidad[[#This Row],[Fecha y hora fin]]-disponibilidad[[#This Row],[Fecha y hora inicio]])*1440</f>
        <v>0</v>
      </c>
    </row>
    <row r="6478" spans="6:6" ht="15">
      <c r="F6478" s="115">
        <f>+(disponibilidad[[#This Row],[Fecha y hora fin]]-disponibilidad[[#This Row],[Fecha y hora inicio]])*1440</f>
        <v>0</v>
      </c>
    </row>
    <row r="6479" spans="6:6" ht="15">
      <c r="F6479" s="115">
        <f>+(disponibilidad[[#This Row],[Fecha y hora fin]]-disponibilidad[[#This Row],[Fecha y hora inicio]])*1440</f>
        <v>0</v>
      </c>
    </row>
    <row r="6480" spans="6:6" ht="15">
      <c r="F6480" s="115">
        <f>+(disponibilidad[[#This Row],[Fecha y hora fin]]-disponibilidad[[#This Row],[Fecha y hora inicio]])*1440</f>
        <v>0</v>
      </c>
    </row>
    <row r="6481" spans="6:6" ht="15">
      <c r="F6481" s="115">
        <f>+(disponibilidad[[#This Row],[Fecha y hora fin]]-disponibilidad[[#This Row],[Fecha y hora inicio]])*1440</f>
        <v>0</v>
      </c>
    </row>
    <row r="6482" spans="6:6" ht="15">
      <c r="F6482" s="115">
        <f>+(disponibilidad[[#This Row],[Fecha y hora fin]]-disponibilidad[[#This Row],[Fecha y hora inicio]])*1440</f>
        <v>0</v>
      </c>
    </row>
    <row r="6483" spans="6:6" ht="15">
      <c r="F6483" s="115">
        <f>+(disponibilidad[[#This Row],[Fecha y hora fin]]-disponibilidad[[#This Row],[Fecha y hora inicio]])*1440</f>
        <v>0</v>
      </c>
    </row>
    <row r="6484" spans="6:6" ht="15">
      <c r="F6484" s="115">
        <f>+(disponibilidad[[#This Row],[Fecha y hora fin]]-disponibilidad[[#This Row],[Fecha y hora inicio]])*1440</f>
        <v>0</v>
      </c>
    </row>
    <row r="6485" spans="6:6" ht="15">
      <c r="F6485" s="115">
        <f>+(disponibilidad[[#This Row],[Fecha y hora fin]]-disponibilidad[[#This Row],[Fecha y hora inicio]])*1440</f>
        <v>0</v>
      </c>
    </row>
    <row r="6486" spans="6:6" ht="15">
      <c r="F6486" s="115">
        <f>+(disponibilidad[[#This Row],[Fecha y hora fin]]-disponibilidad[[#This Row],[Fecha y hora inicio]])*1440</f>
        <v>0</v>
      </c>
    </row>
    <row r="6487" spans="6:6" ht="15">
      <c r="F6487" s="115">
        <f>+(disponibilidad[[#This Row],[Fecha y hora fin]]-disponibilidad[[#This Row],[Fecha y hora inicio]])*1440</f>
        <v>0</v>
      </c>
    </row>
    <row r="6488" spans="6:6" ht="15">
      <c r="F6488" s="115">
        <f>+(disponibilidad[[#This Row],[Fecha y hora fin]]-disponibilidad[[#This Row],[Fecha y hora inicio]])*1440</f>
        <v>0</v>
      </c>
    </row>
    <row r="6489" spans="6:6" ht="15">
      <c r="F6489" s="115">
        <f>+(disponibilidad[[#This Row],[Fecha y hora fin]]-disponibilidad[[#This Row],[Fecha y hora inicio]])*1440</f>
        <v>0</v>
      </c>
    </row>
    <row r="6490" spans="6:6" ht="15">
      <c r="F6490" s="115">
        <f>+(disponibilidad[[#This Row],[Fecha y hora fin]]-disponibilidad[[#This Row],[Fecha y hora inicio]])*1440</f>
        <v>0</v>
      </c>
    </row>
    <row r="6491" spans="6:6" ht="15">
      <c r="F6491" s="115">
        <f>+(disponibilidad[[#This Row],[Fecha y hora fin]]-disponibilidad[[#This Row],[Fecha y hora inicio]])*1440</f>
        <v>0</v>
      </c>
    </row>
    <row r="6492" spans="6:6" ht="15">
      <c r="F6492" s="115">
        <f>+(disponibilidad[[#This Row],[Fecha y hora fin]]-disponibilidad[[#This Row],[Fecha y hora inicio]])*1440</f>
        <v>0</v>
      </c>
    </row>
    <row r="6493" spans="6:6" ht="15">
      <c r="F6493" s="115">
        <f>+(disponibilidad[[#This Row],[Fecha y hora fin]]-disponibilidad[[#This Row],[Fecha y hora inicio]])*1440</f>
        <v>0</v>
      </c>
    </row>
    <row r="6494" spans="6:6" ht="15">
      <c r="F6494" s="115">
        <f>+(disponibilidad[[#This Row],[Fecha y hora fin]]-disponibilidad[[#This Row],[Fecha y hora inicio]])*1440</f>
        <v>0</v>
      </c>
    </row>
    <row r="6495" spans="6:6" ht="15">
      <c r="F6495" s="115">
        <f>+(disponibilidad[[#This Row],[Fecha y hora fin]]-disponibilidad[[#This Row],[Fecha y hora inicio]])*1440</f>
        <v>0</v>
      </c>
    </row>
    <row r="6496" spans="6:6" ht="15">
      <c r="F6496" s="115">
        <f>+(disponibilidad[[#This Row],[Fecha y hora fin]]-disponibilidad[[#This Row],[Fecha y hora inicio]])*1440</f>
        <v>0</v>
      </c>
    </row>
    <row r="6497" spans="6:6" ht="15">
      <c r="F6497" s="115">
        <f>+(disponibilidad[[#This Row],[Fecha y hora fin]]-disponibilidad[[#This Row],[Fecha y hora inicio]])*1440</f>
        <v>0</v>
      </c>
    </row>
    <row r="6498" spans="6:6" ht="15">
      <c r="F6498" s="115">
        <f>+(disponibilidad[[#This Row],[Fecha y hora fin]]-disponibilidad[[#This Row],[Fecha y hora inicio]])*1440</f>
        <v>0</v>
      </c>
    </row>
    <row r="6499" spans="6:6" ht="15">
      <c r="F6499" s="115">
        <f>+(disponibilidad[[#This Row],[Fecha y hora fin]]-disponibilidad[[#This Row],[Fecha y hora inicio]])*1440</f>
        <v>0</v>
      </c>
    </row>
    <row r="6500" spans="6:6" ht="15">
      <c r="F6500" s="115">
        <f>+(disponibilidad[[#This Row],[Fecha y hora fin]]-disponibilidad[[#This Row],[Fecha y hora inicio]])*1440</f>
        <v>0</v>
      </c>
    </row>
    <row r="6501" spans="6:6" ht="15">
      <c r="F6501" s="115">
        <f>+(disponibilidad[[#This Row],[Fecha y hora fin]]-disponibilidad[[#This Row],[Fecha y hora inicio]])*1440</f>
        <v>0</v>
      </c>
    </row>
    <row r="6502" spans="6:6" ht="15">
      <c r="F6502" s="115">
        <f>+(disponibilidad[[#This Row],[Fecha y hora fin]]-disponibilidad[[#This Row],[Fecha y hora inicio]])*1440</f>
        <v>0</v>
      </c>
    </row>
    <row r="6503" spans="6:6" ht="15">
      <c r="F6503" s="115">
        <f>+(disponibilidad[[#This Row],[Fecha y hora fin]]-disponibilidad[[#This Row],[Fecha y hora inicio]])*1440</f>
        <v>0</v>
      </c>
    </row>
    <row r="6504" spans="6:6" ht="15">
      <c r="F6504" s="115">
        <f>+(disponibilidad[[#This Row],[Fecha y hora fin]]-disponibilidad[[#This Row],[Fecha y hora inicio]])*1440</f>
        <v>0</v>
      </c>
    </row>
    <row r="6505" spans="6:6" ht="15">
      <c r="F6505" s="115">
        <f>+(disponibilidad[[#This Row],[Fecha y hora fin]]-disponibilidad[[#This Row],[Fecha y hora inicio]])*1440</f>
        <v>0</v>
      </c>
    </row>
    <row r="6506" spans="6:6" ht="15">
      <c r="F6506" s="115">
        <f>+(disponibilidad[[#This Row],[Fecha y hora fin]]-disponibilidad[[#This Row],[Fecha y hora inicio]])*1440</f>
        <v>0</v>
      </c>
    </row>
    <row r="6507" spans="6:6" ht="15">
      <c r="F6507" s="115">
        <f>+(disponibilidad[[#This Row],[Fecha y hora fin]]-disponibilidad[[#This Row],[Fecha y hora inicio]])*1440</f>
        <v>0</v>
      </c>
    </row>
    <row r="6508" spans="6:6" ht="15">
      <c r="F6508" s="115">
        <f>+(disponibilidad[[#This Row],[Fecha y hora fin]]-disponibilidad[[#This Row],[Fecha y hora inicio]])*1440</f>
        <v>0</v>
      </c>
    </row>
    <row r="6509" spans="6:6" ht="15">
      <c r="F6509" s="115">
        <f>+(disponibilidad[[#This Row],[Fecha y hora fin]]-disponibilidad[[#This Row],[Fecha y hora inicio]])*1440</f>
        <v>0</v>
      </c>
    </row>
    <row r="6510" spans="6:6" ht="15">
      <c r="F6510" s="115">
        <f>+(disponibilidad[[#This Row],[Fecha y hora fin]]-disponibilidad[[#This Row],[Fecha y hora inicio]])*1440</f>
        <v>0</v>
      </c>
    </row>
    <row r="6511" spans="6:6" ht="15">
      <c r="F6511" s="115">
        <f>+(disponibilidad[[#This Row],[Fecha y hora fin]]-disponibilidad[[#This Row],[Fecha y hora inicio]])*1440</f>
        <v>0</v>
      </c>
    </row>
    <row r="6512" spans="6:6" ht="15">
      <c r="F6512" s="115">
        <f>+(disponibilidad[[#This Row],[Fecha y hora fin]]-disponibilidad[[#This Row],[Fecha y hora inicio]])*1440</f>
        <v>0</v>
      </c>
    </row>
    <row r="6513" spans="6:6" ht="15">
      <c r="F6513" s="115">
        <f>+(disponibilidad[[#This Row],[Fecha y hora fin]]-disponibilidad[[#This Row],[Fecha y hora inicio]])*1440</f>
        <v>0</v>
      </c>
    </row>
    <row r="6514" spans="6:6" ht="15">
      <c r="F6514" s="115">
        <f>+(disponibilidad[[#This Row],[Fecha y hora fin]]-disponibilidad[[#This Row],[Fecha y hora inicio]])*1440</f>
        <v>0</v>
      </c>
    </row>
    <row r="6515" spans="6:6" ht="15">
      <c r="F6515" s="115">
        <f>+(disponibilidad[[#This Row],[Fecha y hora fin]]-disponibilidad[[#This Row],[Fecha y hora inicio]])*1440</f>
        <v>0</v>
      </c>
    </row>
    <row r="6516" spans="6:6" ht="15">
      <c r="F6516" s="115">
        <f>+(disponibilidad[[#This Row],[Fecha y hora fin]]-disponibilidad[[#This Row],[Fecha y hora inicio]])*1440</f>
        <v>0</v>
      </c>
    </row>
    <row r="6517" spans="6:6" ht="15">
      <c r="F6517" s="115">
        <f>+(disponibilidad[[#This Row],[Fecha y hora fin]]-disponibilidad[[#This Row],[Fecha y hora inicio]])*1440</f>
        <v>0</v>
      </c>
    </row>
    <row r="6518" spans="6:6" ht="15">
      <c r="F6518" s="115">
        <f>+(disponibilidad[[#This Row],[Fecha y hora fin]]-disponibilidad[[#This Row],[Fecha y hora inicio]])*1440</f>
        <v>0</v>
      </c>
    </row>
    <row r="6519" spans="6:6" ht="15">
      <c r="F6519" s="115">
        <f>+(disponibilidad[[#This Row],[Fecha y hora fin]]-disponibilidad[[#This Row],[Fecha y hora inicio]])*1440</f>
        <v>0</v>
      </c>
    </row>
    <row r="6520" spans="6:6" ht="15">
      <c r="F6520" s="115">
        <f>+(disponibilidad[[#This Row],[Fecha y hora fin]]-disponibilidad[[#This Row],[Fecha y hora inicio]])*1440</f>
        <v>0</v>
      </c>
    </row>
    <row r="6521" spans="6:6" ht="15">
      <c r="F6521" s="115">
        <f>+(disponibilidad[[#This Row],[Fecha y hora fin]]-disponibilidad[[#This Row],[Fecha y hora inicio]])*1440</f>
        <v>0</v>
      </c>
    </row>
    <row r="6522" spans="6:6" ht="15">
      <c r="F6522" s="115">
        <f>+(disponibilidad[[#This Row],[Fecha y hora fin]]-disponibilidad[[#This Row],[Fecha y hora inicio]])*1440</f>
        <v>0</v>
      </c>
    </row>
    <row r="6523" spans="6:6" ht="15">
      <c r="F6523" s="115">
        <f>+(disponibilidad[[#This Row],[Fecha y hora fin]]-disponibilidad[[#This Row],[Fecha y hora inicio]])*1440</f>
        <v>0</v>
      </c>
    </row>
    <row r="6524" spans="6:6" ht="15">
      <c r="F6524" s="115">
        <f>+(disponibilidad[[#This Row],[Fecha y hora fin]]-disponibilidad[[#This Row],[Fecha y hora inicio]])*1440</f>
        <v>0</v>
      </c>
    </row>
    <row r="6525" spans="6:6" ht="15">
      <c r="F6525" s="115">
        <f>+(disponibilidad[[#This Row],[Fecha y hora fin]]-disponibilidad[[#This Row],[Fecha y hora inicio]])*1440</f>
        <v>0</v>
      </c>
    </row>
    <row r="6526" spans="6:6" ht="15">
      <c r="F6526" s="115">
        <f>+(disponibilidad[[#This Row],[Fecha y hora fin]]-disponibilidad[[#This Row],[Fecha y hora inicio]])*1440</f>
        <v>0</v>
      </c>
    </row>
    <row r="6527" spans="6:6" ht="15">
      <c r="F6527" s="115">
        <f>+(disponibilidad[[#This Row],[Fecha y hora fin]]-disponibilidad[[#This Row],[Fecha y hora inicio]])*1440</f>
        <v>0</v>
      </c>
    </row>
    <row r="6528" spans="6:6" ht="15">
      <c r="F6528" s="115">
        <f>+(disponibilidad[[#This Row],[Fecha y hora fin]]-disponibilidad[[#This Row],[Fecha y hora inicio]])*1440</f>
        <v>0</v>
      </c>
    </row>
    <row r="6529" spans="6:6" ht="15">
      <c r="F6529" s="115">
        <f>+(disponibilidad[[#This Row],[Fecha y hora fin]]-disponibilidad[[#This Row],[Fecha y hora inicio]])*1440</f>
        <v>0</v>
      </c>
    </row>
    <row r="6530" spans="6:6" ht="15">
      <c r="F6530" s="115">
        <f>+(disponibilidad[[#This Row],[Fecha y hora fin]]-disponibilidad[[#This Row],[Fecha y hora inicio]])*1440</f>
        <v>0</v>
      </c>
    </row>
    <row r="6531" spans="6:6" ht="15">
      <c r="F6531" s="115">
        <f>+(disponibilidad[[#This Row],[Fecha y hora fin]]-disponibilidad[[#This Row],[Fecha y hora inicio]])*1440</f>
        <v>0</v>
      </c>
    </row>
    <row r="6532" spans="6:6" ht="15">
      <c r="F6532" s="115">
        <f>+(disponibilidad[[#This Row],[Fecha y hora fin]]-disponibilidad[[#This Row],[Fecha y hora inicio]])*1440</f>
        <v>0</v>
      </c>
    </row>
    <row r="6533" spans="6:6" ht="15">
      <c r="F6533" s="115">
        <f>+(disponibilidad[[#This Row],[Fecha y hora fin]]-disponibilidad[[#This Row],[Fecha y hora inicio]])*1440</f>
        <v>0</v>
      </c>
    </row>
    <row r="6534" spans="6:6" ht="15">
      <c r="F6534" s="115">
        <f>+(disponibilidad[[#This Row],[Fecha y hora fin]]-disponibilidad[[#This Row],[Fecha y hora inicio]])*1440</f>
        <v>0</v>
      </c>
    </row>
    <row r="6535" spans="6:6" ht="15">
      <c r="F6535" s="115">
        <f>+(disponibilidad[[#This Row],[Fecha y hora fin]]-disponibilidad[[#This Row],[Fecha y hora inicio]])*1440</f>
        <v>0</v>
      </c>
    </row>
    <row r="6536" spans="6:6" ht="15">
      <c r="F6536" s="115">
        <f>+(disponibilidad[[#This Row],[Fecha y hora fin]]-disponibilidad[[#This Row],[Fecha y hora inicio]])*1440</f>
        <v>0</v>
      </c>
    </row>
    <row r="6537" spans="6:6" ht="15">
      <c r="F6537" s="115">
        <f>+(disponibilidad[[#This Row],[Fecha y hora fin]]-disponibilidad[[#This Row],[Fecha y hora inicio]])*1440</f>
        <v>0</v>
      </c>
    </row>
    <row r="6538" spans="6:6" ht="15">
      <c r="F6538" s="115">
        <f>+(disponibilidad[[#This Row],[Fecha y hora fin]]-disponibilidad[[#This Row],[Fecha y hora inicio]])*1440</f>
        <v>0</v>
      </c>
    </row>
    <row r="6539" spans="6:6" ht="15">
      <c r="F6539" s="115">
        <f>+(disponibilidad[[#This Row],[Fecha y hora fin]]-disponibilidad[[#This Row],[Fecha y hora inicio]])*1440</f>
        <v>0</v>
      </c>
    </row>
    <row r="6540" spans="6:6" ht="15">
      <c r="F6540" s="115">
        <f>+(disponibilidad[[#This Row],[Fecha y hora fin]]-disponibilidad[[#This Row],[Fecha y hora inicio]])*1440</f>
        <v>0</v>
      </c>
    </row>
    <row r="6541" spans="6:6" ht="15">
      <c r="F6541" s="115">
        <f>+(disponibilidad[[#This Row],[Fecha y hora fin]]-disponibilidad[[#This Row],[Fecha y hora inicio]])*1440</f>
        <v>0</v>
      </c>
    </row>
    <row r="6542" spans="6:6" ht="15">
      <c r="F6542" s="115">
        <f>+(disponibilidad[[#This Row],[Fecha y hora fin]]-disponibilidad[[#This Row],[Fecha y hora inicio]])*1440</f>
        <v>0</v>
      </c>
    </row>
    <row r="6543" spans="6:6" ht="15">
      <c r="F6543" s="115">
        <f>+(disponibilidad[[#This Row],[Fecha y hora fin]]-disponibilidad[[#This Row],[Fecha y hora inicio]])*1440</f>
        <v>0</v>
      </c>
    </row>
    <row r="6544" spans="6:6" ht="15">
      <c r="F6544" s="115">
        <f>+(disponibilidad[[#This Row],[Fecha y hora fin]]-disponibilidad[[#This Row],[Fecha y hora inicio]])*1440</f>
        <v>0</v>
      </c>
    </row>
    <row r="6545" spans="6:6" ht="15">
      <c r="F6545" s="115">
        <f>+(disponibilidad[[#This Row],[Fecha y hora fin]]-disponibilidad[[#This Row],[Fecha y hora inicio]])*1440</f>
        <v>0</v>
      </c>
    </row>
    <row r="6546" spans="6:6" ht="15">
      <c r="F6546" s="115">
        <f>+(disponibilidad[[#This Row],[Fecha y hora fin]]-disponibilidad[[#This Row],[Fecha y hora inicio]])*1440</f>
        <v>0</v>
      </c>
    </row>
    <row r="6547" spans="6:6" ht="15">
      <c r="F6547" s="115">
        <f>+(disponibilidad[[#This Row],[Fecha y hora fin]]-disponibilidad[[#This Row],[Fecha y hora inicio]])*1440</f>
        <v>0</v>
      </c>
    </row>
    <row r="6548" spans="6:6" ht="15">
      <c r="F6548" s="115">
        <f>+(disponibilidad[[#This Row],[Fecha y hora fin]]-disponibilidad[[#This Row],[Fecha y hora inicio]])*1440</f>
        <v>0</v>
      </c>
    </row>
    <row r="6549" spans="6:6" ht="15">
      <c r="F6549" s="115">
        <f>+(disponibilidad[[#This Row],[Fecha y hora fin]]-disponibilidad[[#This Row],[Fecha y hora inicio]])*1440</f>
        <v>0</v>
      </c>
    </row>
    <row r="6550" spans="6:6" ht="15">
      <c r="F6550" s="115">
        <f>+(disponibilidad[[#This Row],[Fecha y hora fin]]-disponibilidad[[#This Row],[Fecha y hora inicio]])*1440</f>
        <v>0</v>
      </c>
    </row>
    <row r="6551" spans="6:6" ht="15">
      <c r="F6551" s="115">
        <f>+(disponibilidad[[#This Row],[Fecha y hora fin]]-disponibilidad[[#This Row],[Fecha y hora inicio]])*1440</f>
        <v>0</v>
      </c>
    </row>
    <row r="6552" spans="6:6" ht="15">
      <c r="F6552" s="115">
        <f>+(disponibilidad[[#This Row],[Fecha y hora fin]]-disponibilidad[[#This Row],[Fecha y hora inicio]])*1440</f>
        <v>0</v>
      </c>
    </row>
    <row r="6553" spans="6:6" ht="15">
      <c r="F6553" s="115">
        <f>+(disponibilidad[[#This Row],[Fecha y hora fin]]-disponibilidad[[#This Row],[Fecha y hora inicio]])*1440</f>
        <v>0</v>
      </c>
    </row>
    <row r="6554" spans="6:6" ht="15">
      <c r="F6554" s="115">
        <f>+(disponibilidad[[#This Row],[Fecha y hora fin]]-disponibilidad[[#This Row],[Fecha y hora inicio]])*1440</f>
        <v>0</v>
      </c>
    </row>
    <row r="6555" spans="6:6" ht="15">
      <c r="F6555" s="115">
        <f>+(disponibilidad[[#This Row],[Fecha y hora fin]]-disponibilidad[[#This Row],[Fecha y hora inicio]])*1440</f>
        <v>0</v>
      </c>
    </row>
    <row r="6556" spans="6:6" ht="15">
      <c r="F6556" s="115">
        <f>+(disponibilidad[[#This Row],[Fecha y hora fin]]-disponibilidad[[#This Row],[Fecha y hora inicio]])*1440</f>
        <v>0</v>
      </c>
    </row>
    <row r="6557" spans="6:6" ht="15">
      <c r="F6557" s="115">
        <f>+(disponibilidad[[#This Row],[Fecha y hora fin]]-disponibilidad[[#This Row],[Fecha y hora inicio]])*1440</f>
        <v>0</v>
      </c>
    </row>
    <row r="6558" spans="6:6" ht="15">
      <c r="F6558" s="115">
        <f>+(disponibilidad[[#This Row],[Fecha y hora fin]]-disponibilidad[[#This Row],[Fecha y hora inicio]])*1440</f>
        <v>0</v>
      </c>
    </row>
    <row r="6559" spans="6:6" ht="15">
      <c r="F6559" s="115">
        <f>+(disponibilidad[[#This Row],[Fecha y hora fin]]-disponibilidad[[#This Row],[Fecha y hora inicio]])*1440</f>
        <v>0</v>
      </c>
    </row>
    <row r="6560" spans="6:6" ht="15">
      <c r="F6560" s="115">
        <f>+(disponibilidad[[#This Row],[Fecha y hora fin]]-disponibilidad[[#This Row],[Fecha y hora inicio]])*1440</f>
        <v>0</v>
      </c>
    </row>
    <row r="6561" spans="6:6" ht="15">
      <c r="F6561" s="115">
        <f>+(disponibilidad[[#This Row],[Fecha y hora fin]]-disponibilidad[[#This Row],[Fecha y hora inicio]])*1440</f>
        <v>0</v>
      </c>
    </row>
    <row r="6562" spans="6:6" ht="15">
      <c r="F6562" s="115">
        <f>+(disponibilidad[[#This Row],[Fecha y hora fin]]-disponibilidad[[#This Row],[Fecha y hora inicio]])*1440</f>
        <v>0</v>
      </c>
    </row>
    <row r="6563" spans="6:6" ht="15">
      <c r="F6563" s="115">
        <f>+(disponibilidad[[#This Row],[Fecha y hora fin]]-disponibilidad[[#This Row],[Fecha y hora inicio]])*1440</f>
        <v>0</v>
      </c>
    </row>
    <row r="6564" spans="6:6" ht="15">
      <c r="F6564" s="115">
        <f>+(disponibilidad[[#This Row],[Fecha y hora fin]]-disponibilidad[[#This Row],[Fecha y hora inicio]])*1440</f>
        <v>0</v>
      </c>
    </row>
    <row r="6565" spans="6:6" ht="15">
      <c r="F6565" s="115">
        <f>+(disponibilidad[[#This Row],[Fecha y hora fin]]-disponibilidad[[#This Row],[Fecha y hora inicio]])*1440</f>
        <v>0</v>
      </c>
    </row>
    <row r="6566" spans="6:6" ht="15">
      <c r="F6566" s="115">
        <f>+(disponibilidad[[#This Row],[Fecha y hora fin]]-disponibilidad[[#This Row],[Fecha y hora inicio]])*1440</f>
        <v>0</v>
      </c>
    </row>
    <row r="6567" spans="6:6" ht="15">
      <c r="F6567" s="115">
        <f>+(disponibilidad[[#This Row],[Fecha y hora fin]]-disponibilidad[[#This Row],[Fecha y hora inicio]])*1440</f>
        <v>0</v>
      </c>
    </row>
    <row r="6568" spans="6:6" ht="15">
      <c r="F6568" s="115">
        <f>+(disponibilidad[[#This Row],[Fecha y hora fin]]-disponibilidad[[#This Row],[Fecha y hora inicio]])*1440</f>
        <v>0</v>
      </c>
    </row>
    <row r="6569" spans="6:6" ht="15">
      <c r="F6569" s="115">
        <f>+(disponibilidad[[#This Row],[Fecha y hora fin]]-disponibilidad[[#This Row],[Fecha y hora inicio]])*1440</f>
        <v>0</v>
      </c>
    </row>
    <row r="6570" spans="6:6" ht="15">
      <c r="F6570" s="115">
        <f>+(disponibilidad[[#This Row],[Fecha y hora fin]]-disponibilidad[[#This Row],[Fecha y hora inicio]])*1440</f>
        <v>0</v>
      </c>
    </row>
    <row r="6571" spans="6:6" ht="15">
      <c r="F6571" s="115">
        <f>+(disponibilidad[[#This Row],[Fecha y hora fin]]-disponibilidad[[#This Row],[Fecha y hora inicio]])*1440</f>
        <v>0</v>
      </c>
    </row>
    <row r="6572" spans="6:6" ht="15">
      <c r="F6572" s="115">
        <f>+(disponibilidad[[#This Row],[Fecha y hora fin]]-disponibilidad[[#This Row],[Fecha y hora inicio]])*1440</f>
        <v>0</v>
      </c>
    </row>
    <row r="6573" spans="6:6" ht="15">
      <c r="F6573" s="115">
        <f>+(disponibilidad[[#This Row],[Fecha y hora fin]]-disponibilidad[[#This Row],[Fecha y hora inicio]])*1440</f>
        <v>0</v>
      </c>
    </row>
    <row r="6574" spans="6:6" ht="15">
      <c r="F6574" s="115">
        <f>+(disponibilidad[[#This Row],[Fecha y hora fin]]-disponibilidad[[#This Row],[Fecha y hora inicio]])*1440</f>
        <v>0</v>
      </c>
    </row>
    <row r="6575" spans="6:6" ht="15">
      <c r="F6575" s="115">
        <f>+(disponibilidad[[#This Row],[Fecha y hora fin]]-disponibilidad[[#This Row],[Fecha y hora inicio]])*1440</f>
        <v>0</v>
      </c>
    </row>
    <row r="6576" spans="6:6" ht="15">
      <c r="F6576" s="115">
        <f>+(disponibilidad[[#This Row],[Fecha y hora fin]]-disponibilidad[[#This Row],[Fecha y hora inicio]])*1440</f>
        <v>0</v>
      </c>
    </row>
    <row r="6577" spans="6:6" ht="15">
      <c r="F6577" s="115">
        <f>+(disponibilidad[[#This Row],[Fecha y hora fin]]-disponibilidad[[#This Row],[Fecha y hora inicio]])*1440</f>
        <v>0</v>
      </c>
    </row>
    <row r="6578" spans="6:6" ht="15">
      <c r="F6578" s="115">
        <f>+(disponibilidad[[#This Row],[Fecha y hora fin]]-disponibilidad[[#This Row],[Fecha y hora inicio]])*1440</f>
        <v>0</v>
      </c>
    </row>
    <row r="6579" spans="6:6" ht="15">
      <c r="F6579" s="115">
        <f>+(disponibilidad[[#This Row],[Fecha y hora fin]]-disponibilidad[[#This Row],[Fecha y hora inicio]])*1440</f>
        <v>0</v>
      </c>
    </row>
    <row r="6580" spans="6:6" ht="15">
      <c r="F6580" s="115">
        <f>+(disponibilidad[[#This Row],[Fecha y hora fin]]-disponibilidad[[#This Row],[Fecha y hora inicio]])*1440</f>
        <v>0</v>
      </c>
    </row>
    <row r="6581" spans="6:6" ht="15">
      <c r="F6581" s="115">
        <f>+(disponibilidad[[#This Row],[Fecha y hora fin]]-disponibilidad[[#This Row],[Fecha y hora inicio]])*1440</f>
        <v>0</v>
      </c>
    </row>
    <row r="6582" spans="6:6" ht="15">
      <c r="F6582" s="115">
        <f>+(disponibilidad[[#This Row],[Fecha y hora fin]]-disponibilidad[[#This Row],[Fecha y hora inicio]])*1440</f>
        <v>0</v>
      </c>
    </row>
    <row r="6583" spans="6:6" ht="15">
      <c r="F6583" s="115">
        <f>+(disponibilidad[[#This Row],[Fecha y hora fin]]-disponibilidad[[#This Row],[Fecha y hora inicio]])*1440</f>
        <v>0</v>
      </c>
    </row>
    <row r="6584" spans="6:6" ht="15">
      <c r="F6584" s="115">
        <f>+(disponibilidad[[#This Row],[Fecha y hora fin]]-disponibilidad[[#This Row],[Fecha y hora inicio]])*1440</f>
        <v>0</v>
      </c>
    </row>
    <row r="6585" spans="6:6" ht="15">
      <c r="F6585" s="115">
        <f>+(disponibilidad[[#This Row],[Fecha y hora fin]]-disponibilidad[[#This Row],[Fecha y hora inicio]])*1440</f>
        <v>0</v>
      </c>
    </row>
    <row r="6586" spans="6:6" ht="15">
      <c r="F6586" s="115">
        <f>+(disponibilidad[[#This Row],[Fecha y hora fin]]-disponibilidad[[#This Row],[Fecha y hora inicio]])*1440</f>
        <v>0</v>
      </c>
    </row>
    <row r="6587" spans="6:6" ht="15">
      <c r="F6587" s="115">
        <f>+(disponibilidad[[#This Row],[Fecha y hora fin]]-disponibilidad[[#This Row],[Fecha y hora inicio]])*1440</f>
        <v>0</v>
      </c>
    </row>
    <row r="6588" spans="6:6" ht="15">
      <c r="F6588" s="115">
        <f>+(disponibilidad[[#This Row],[Fecha y hora fin]]-disponibilidad[[#This Row],[Fecha y hora inicio]])*1440</f>
        <v>0</v>
      </c>
    </row>
    <row r="6589" spans="6:6" ht="15">
      <c r="F6589" s="115">
        <f>+(disponibilidad[[#This Row],[Fecha y hora fin]]-disponibilidad[[#This Row],[Fecha y hora inicio]])*1440</f>
        <v>0</v>
      </c>
    </row>
    <row r="6590" spans="6:6" ht="15">
      <c r="F6590" s="115">
        <f>+(disponibilidad[[#This Row],[Fecha y hora fin]]-disponibilidad[[#This Row],[Fecha y hora inicio]])*1440</f>
        <v>0</v>
      </c>
    </row>
    <row r="6591" spans="6:6" ht="15">
      <c r="F6591" s="115">
        <f>+(disponibilidad[[#This Row],[Fecha y hora fin]]-disponibilidad[[#This Row],[Fecha y hora inicio]])*1440</f>
        <v>0</v>
      </c>
    </row>
    <row r="6592" spans="6:6" ht="15">
      <c r="F6592" s="115">
        <f>+(disponibilidad[[#This Row],[Fecha y hora fin]]-disponibilidad[[#This Row],[Fecha y hora inicio]])*1440</f>
        <v>0</v>
      </c>
    </row>
    <row r="6593" spans="6:6" ht="15">
      <c r="F6593" s="115">
        <f>+(disponibilidad[[#This Row],[Fecha y hora fin]]-disponibilidad[[#This Row],[Fecha y hora inicio]])*1440</f>
        <v>0</v>
      </c>
    </row>
    <row r="6594" spans="6:6" ht="15">
      <c r="F6594" s="115">
        <f>+(disponibilidad[[#This Row],[Fecha y hora fin]]-disponibilidad[[#This Row],[Fecha y hora inicio]])*1440</f>
        <v>0</v>
      </c>
    </row>
    <row r="6595" spans="6:6" ht="15">
      <c r="F6595" s="115">
        <f>+(disponibilidad[[#This Row],[Fecha y hora fin]]-disponibilidad[[#This Row],[Fecha y hora inicio]])*1440</f>
        <v>0</v>
      </c>
    </row>
    <row r="6596" spans="6:6" ht="15">
      <c r="F6596" s="115">
        <f>+(disponibilidad[[#This Row],[Fecha y hora fin]]-disponibilidad[[#This Row],[Fecha y hora inicio]])*1440</f>
        <v>0</v>
      </c>
    </row>
    <row r="6597" spans="6:6" ht="15">
      <c r="F6597" s="115">
        <f>+(disponibilidad[[#This Row],[Fecha y hora fin]]-disponibilidad[[#This Row],[Fecha y hora inicio]])*1440</f>
        <v>0</v>
      </c>
    </row>
    <row r="6598" spans="6:6" ht="15">
      <c r="F6598" s="115">
        <f>+(disponibilidad[[#This Row],[Fecha y hora fin]]-disponibilidad[[#This Row],[Fecha y hora inicio]])*1440</f>
        <v>0</v>
      </c>
    </row>
    <row r="6599" spans="6:6" ht="15">
      <c r="F6599" s="115">
        <f>+(disponibilidad[[#This Row],[Fecha y hora fin]]-disponibilidad[[#This Row],[Fecha y hora inicio]])*1440</f>
        <v>0</v>
      </c>
    </row>
    <row r="6600" spans="6:6" ht="15">
      <c r="F6600" s="115">
        <f>+(disponibilidad[[#This Row],[Fecha y hora fin]]-disponibilidad[[#This Row],[Fecha y hora inicio]])*1440</f>
        <v>0</v>
      </c>
    </row>
    <row r="6601" spans="6:6" ht="15">
      <c r="F6601" s="115">
        <f>+(disponibilidad[[#This Row],[Fecha y hora fin]]-disponibilidad[[#This Row],[Fecha y hora inicio]])*1440</f>
        <v>0</v>
      </c>
    </row>
    <row r="6602" spans="6:6" ht="15">
      <c r="F6602" s="115">
        <f>+(disponibilidad[[#This Row],[Fecha y hora fin]]-disponibilidad[[#This Row],[Fecha y hora inicio]])*1440</f>
        <v>0</v>
      </c>
    </row>
    <row r="6603" spans="6:6" ht="15">
      <c r="F6603" s="115">
        <f>+(disponibilidad[[#This Row],[Fecha y hora fin]]-disponibilidad[[#This Row],[Fecha y hora inicio]])*1440</f>
        <v>0</v>
      </c>
    </row>
    <row r="6604" spans="6:6" ht="15">
      <c r="F6604" s="115">
        <f>+(disponibilidad[[#This Row],[Fecha y hora fin]]-disponibilidad[[#This Row],[Fecha y hora inicio]])*1440</f>
        <v>0</v>
      </c>
    </row>
    <row r="6605" spans="6:6" ht="15">
      <c r="F6605" s="115">
        <f>+(disponibilidad[[#This Row],[Fecha y hora fin]]-disponibilidad[[#This Row],[Fecha y hora inicio]])*1440</f>
        <v>0</v>
      </c>
    </row>
    <row r="6606" spans="6:6" ht="15">
      <c r="F6606" s="115">
        <f>+(disponibilidad[[#This Row],[Fecha y hora fin]]-disponibilidad[[#This Row],[Fecha y hora inicio]])*1440</f>
        <v>0</v>
      </c>
    </row>
    <row r="6607" spans="6:6" ht="15">
      <c r="F6607" s="115">
        <f>+(disponibilidad[[#This Row],[Fecha y hora fin]]-disponibilidad[[#This Row],[Fecha y hora inicio]])*1440</f>
        <v>0</v>
      </c>
    </row>
    <row r="6608" spans="6:6" ht="15">
      <c r="F6608" s="115">
        <f>+(disponibilidad[[#This Row],[Fecha y hora fin]]-disponibilidad[[#This Row],[Fecha y hora inicio]])*1440</f>
        <v>0</v>
      </c>
    </row>
    <row r="6609" spans="6:6" ht="15">
      <c r="F6609" s="115">
        <f>+(disponibilidad[[#This Row],[Fecha y hora fin]]-disponibilidad[[#This Row],[Fecha y hora inicio]])*1440</f>
        <v>0</v>
      </c>
    </row>
    <row r="6610" spans="6:6" ht="15">
      <c r="F6610" s="115">
        <f>+(disponibilidad[[#This Row],[Fecha y hora fin]]-disponibilidad[[#This Row],[Fecha y hora inicio]])*1440</f>
        <v>0</v>
      </c>
    </row>
    <row r="6611" spans="6:6" ht="15">
      <c r="F6611" s="115">
        <f>+(disponibilidad[[#This Row],[Fecha y hora fin]]-disponibilidad[[#This Row],[Fecha y hora inicio]])*1440</f>
        <v>0</v>
      </c>
    </row>
    <row r="6612" spans="6:6" ht="15">
      <c r="F6612" s="115">
        <f>+(disponibilidad[[#This Row],[Fecha y hora fin]]-disponibilidad[[#This Row],[Fecha y hora inicio]])*1440</f>
        <v>0</v>
      </c>
    </row>
    <row r="6613" spans="6:6" ht="15">
      <c r="F6613" s="115">
        <f>+(disponibilidad[[#This Row],[Fecha y hora fin]]-disponibilidad[[#This Row],[Fecha y hora inicio]])*1440</f>
        <v>0</v>
      </c>
    </row>
    <row r="6614" spans="6:6" ht="15">
      <c r="F6614" s="115">
        <f>+(disponibilidad[[#This Row],[Fecha y hora fin]]-disponibilidad[[#This Row],[Fecha y hora inicio]])*1440</f>
        <v>0</v>
      </c>
    </row>
    <row r="6615" spans="6:6" ht="15">
      <c r="F6615" s="115">
        <f>+(disponibilidad[[#This Row],[Fecha y hora fin]]-disponibilidad[[#This Row],[Fecha y hora inicio]])*1440</f>
        <v>0</v>
      </c>
    </row>
    <row r="6616" spans="6:6" ht="15">
      <c r="F6616" s="115">
        <f>+(disponibilidad[[#This Row],[Fecha y hora fin]]-disponibilidad[[#This Row],[Fecha y hora inicio]])*1440</f>
        <v>0</v>
      </c>
    </row>
    <row r="6617" spans="6:6" ht="15">
      <c r="F6617" s="115">
        <f>+(disponibilidad[[#This Row],[Fecha y hora fin]]-disponibilidad[[#This Row],[Fecha y hora inicio]])*1440</f>
        <v>0</v>
      </c>
    </row>
    <row r="6618" spans="6:6" ht="15">
      <c r="F6618" s="115">
        <f>+(disponibilidad[[#This Row],[Fecha y hora fin]]-disponibilidad[[#This Row],[Fecha y hora inicio]])*1440</f>
        <v>0</v>
      </c>
    </row>
    <row r="6619" spans="6:6" ht="15">
      <c r="F6619" s="115">
        <f>+(disponibilidad[[#This Row],[Fecha y hora fin]]-disponibilidad[[#This Row],[Fecha y hora inicio]])*1440</f>
        <v>0</v>
      </c>
    </row>
    <row r="6620" spans="6:6" ht="15">
      <c r="F6620" s="115">
        <f>+(disponibilidad[[#This Row],[Fecha y hora fin]]-disponibilidad[[#This Row],[Fecha y hora inicio]])*1440</f>
        <v>0</v>
      </c>
    </row>
    <row r="6621" spans="6:6" ht="15">
      <c r="F6621" s="115">
        <f>+(disponibilidad[[#This Row],[Fecha y hora fin]]-disponibilidad[[#This Row],[Fecha y hora inicio]])*1440</f>
        <v>0</v>
      </c>
    </row>
    <row r="6622" spans="6:6" ht="15">
      <c r="F6622" s="115">
        <f>+(disponibilidad[[#This Row],[Fecha y hora fin]]-disponibilidad[[#This Row],[Fecha y hora inicio]])*1440</f>
        <v>0</v>
      </c>
    </row>
    <row r="6623" spans="6:6" ht="15">
      <c r="F6623" s="115">
        <f>+(disponibilidad[[#This Row],[Fecha y hora fin]]-disponibilidad[[#This Row],[Fecha y hora inicio]])*1440</f>
        <v>0</v>
      </c>
    </row>
    <row r="6624" spans="6:6" ht="15">
      <c r="F6624" s="115">
        <f>+(disponibilidad[[#This Row],[Fecha y hora fin]]-disponibilidad[[#This Row],[Fecha y hora inicio]])*1440</f>
        <v>0</v>
      </c>
    </row>
    <row r="6625" spans="6:6" ht="15">
      <c r="F6625" s="115">
        <f>+(disponibilidad[[#This Row],[Fecha y hora fin]]-disponibilidad[[#This Row],[Fecha y hora inicio]])*1440</f>
        <v>0</v>
      </c>
    </row>
    <row r="6626" spans="6:6" ht="15">
      <c r="F6626" s="115">
        <f>+(disponibilidad[[#This Row],[Fecha y hora fin]]-disponibilidad[[#This Row],[Fecha y hora inicio]])*1440</f>
        <v>0</v>
      </c>
    </row>
    <row r="6627" spans="6:6" ht="15">
      <c r="F6627" s="115">
        <f>+(disponibilidad[[#This Row],[Fecha y hora fin]]-disponibilidad[[#This Row],[Fecha y hora inicio]])*1440</f>
        <v>0</v>
      </c>
    </row>
    <row r="6628" spans="6:6" ht="15">
      <c r="F6628" s="115">
        <f>+(disponibilidad[[#This Row],[Fecha y hora fin]]-disponibilidad[[#This Row],[Fecha y hora inicio]])*1440</f>
        <v>0</v>
      </c>
    </row>
    <row r="6629" spans="6:6" ht="15">
      <c r="F6629" s="115">
        <f>+(disponibilidad[[#This Row],[Fecha y hora fin]]-disponibilidad[[#This Row],[Fecha y hora inicio]])*1440</f>
        <v>0</v>
      </c>
    </row>
    <row r="6630" spans="6:6" ht="15">
      <c r="F6630" s="115">
        <f>+(disponibilidad[[#This Row],[Fecha y hora fin]]-disponibilidad[[#This Row],[Fecha y hora inicio]])*1440</f>
        <v>0</v>
      </c>
    </row>
    <row r="6631" spans="6:6" ht="15">
      <c r="F6631" s="115">
        <f>+(disponibilidad[[#This Row],[Fecha y hora fin]]-disponibilidad[[#This Row],[Fecha y hora inicio]])*1440</f>
        <v>0</v>
      </c>
    </row>
    <row r="6632" spans="6:6" ht="15">
      <c r="F6632" s="115">
        <f>+(disponibilidad[[#This Row],[Fecha y hora fin]]-disponibilidad[[#This Row],[Fecha y hora inicio]])*1440</f>
        <v>0</v>
      </c>
    </row>
    <row r="6633" spans="6:6" ht="15">
      <c r="F6633" s="115">
        <f>+(disponibilidad[[#This Row],[Fecha y hora fin]]-disponibilidad[[#This Row],[Fecha y hora inicio]])*1440</f>
        <v>0</v>
      </c>
    </row>
    <row r="6634" spans="6:6" ht="15">
      <c r="F6634" s="115">
        <f>+(disponibilidad[[#This Row],[Fecha y hora fin]]-disponibilidad[[#This Row],[Fecha y hora inicio]])*1440</f>
        <v>0</v>
      </c>
    </row>
    <row r="6635" spans="6:6" ht="15">
      <c r="F6635" s="115">
        <f>+(disponibilidad[[#This Row],[Fecha y hora fin]]-disponibilidad[[#This Row],[Fecha y hora inicio]])*1440</f>
        <v>0</v>
      </c>
    </row>
    <row r="6636" spans="6:6" ht="15">
      <c r="F6636" s="115">
        <f>+(disponibilidad[[#This Row],[Fecha y hora fin]]-disponibilidad[[#This Row],[Fecha y hora inicio]])*1440</f>
        <v>0</v>
      </c>
    </row>
    <row r="6637" spans="6:6" ht="15">
      <c r="F6637" s="115">
        <f>+(disponibilidad[[#This Row],[Fecha y hora fin]]-disponibilidad[[#This Row],[Fecha y hora inicio]])*1440</f>
        <v>0</v>
      </c>
    </row>
    <row r="6638" spans="6:6" ht="15">
      <c r="F6638" s="115">
        <f>+(disponibilidad[[#This Row],[Fecha y hora fin]]-disponibilidad[[#This Row],[Fecha y hora inicio]])*1440</f>
        <v>0</v>
      </c>
    </row>
    <row r="6639" spans="6:6" ht="15">
      <c r="F6639" s="115">
        <f>+(disponibilidad[[#This Row],[Fecha y hora fin]]-disponibilidad[[#This Row],[Fecha y hora inicio]])*1440</f>
        <v>0</v>
      </c>
    </row>
    <row r="6640" spans="6:6" ht="15">
      <c r="F6640" s="115">
        <f>+(disponibilidad[[#This Row],[Fecha y hora fin]]-disponibilidad[[#This Row],[Fecha y hora inicio]])*1440</f>
        <v>0</v>
      </c>
    </row>
    <row r="6641" spans="6:6" ht="15">
      <c r="F6641" s="115">
        <f>+(disponibilidad[[#This Row],[Fecha y hora fin]]-disponibilidad[[#This Row],[Fecha y hora inicio]])*1440</f>
        <v>0</v>
      </c>
    </row>
    <row r="6642" spans="6:6" ht="15">
      <c r="F6642" s="115">
        <f>+(disponibilidad[[#This Row],[Fecha y hora fin]]-disponibilidad[[#This Row],[Fecha y hora inicio]])*1440</f>
        <v>0</v>
      </c>
    </row>
    <row r="6643" spans="6:6" ht="15">
      <c r="F6643" s="115">
        <f>+(disponibilidad[[#This Row],[Fecha y hora fin]]-disponibilidad[[#This Row],[Fecha y hora inicio]])*1440</f>
        <v>0</v>
      </c>
    </row>
    <row r="6644" spans="6:6" ht="15">
      <c r="F6644" s="115">
        <f>+(disponibilidad[[#This Row],[Fecha y hora fin]]-disponibilidad[[#This Row],[Fecha y hora inicio]])*1440</f>
        <v>0</v>
      </c>
    </row>
    <row r="6645" spans="6:6" ht="15">
      <c r="F6645" s="115">
        <f>+(disponibilidad[[#This Row],[Fecha y hora fin]]-disponibilidad[[#This Row],[Fecha y hora inicio]])*1440</f>
        <v>0</v>
      </c>
    </row>
    <row r="6646" spans="6:6" ht="15">
      <c r="F6646" s="115">
        <f>+(disponibilidad[[#This Row],[Fecha y hora fin]]-disponibilidad[[#This Row],[Fecha y hora inicio]])*1440</f>
        <v>0</v>
      </c>
    </row>
    <row r="6647" spans="6:6" ht="15">
      <c r="F6647" s="115">
        <f>+(disponibilidad[[#This Row],[Fecha y hora fin]]-disponibilidad[[#This Row],[Fecha y hora inicio]])*1440</f>
        <v>0</v>
      </c>
    </row>
    <row r="6648" spans="6:6" ht="15">
      <c r="F6648" s="115">
        <f>+(disponibilidad[[#This Row],[Fecha y hora fin]]-disponibilidad[[#This Row],[Fecha y hora inicio]])*1440</f>
        <v>0</v>
      </c>
    </row>
    <row r="6649" spans="6:6" ht="15">
      <c r="F6649" s="115">
        <f>+(disponibilidad[[#This Row],[Fecha y hora fin]]-disponibilidad[[#This Row],[Fecha y hora inicio]])*1440</f>
        <v>0</v>
      </c>
    </row>
    <row r="6650" spans="6:6" ht="15">
      <c r="F6650" s="115">
        <f>+(disponibilidad[[#This Row],[Fecha y hora fin]]-disponibilidad[[#This Row],[Fecha y hora inicio]])*1440</f>
        <v>0</v>
      </c>
    </row>
    <row r="6651" spans="6:6" ht="15">
      <c r="F6651" s="115">
        <f>+(disponibilidad[[#This Row],[Fecha y hora fin]]-disponibilidad[[#This Row],[Fecha y hora inicio]])*1440</f>
        <v>0</v>
      </c>
    </row>
    <row r="6652" spans="6:6" ht="15">
      <c r="F6652" s="115">
        <f>+(disponibilidad[[#This Row],[Fecha y hora fin]]-disponibilidad[[#This Row],[Fecha y hora inicio]])*1440</f>
        <v>0</v>
      </c>
    </row>
    <row r="6653" spans="6:6" ht="15">
      <c r="F6653" s="115">
        <f>+(disponibilidad[[#This Row],[Fecha y hora fin]]-disponibilidad[[#This Row],[Fecha y hora inicio]])*1440</f>
        <v>0</v>
      </c>
    </row>
    <row r="6654" spans="6:6" ht="15">
      <c r="F6654" s="115">
        <f>+(disponibilidad[[#This Row],[Fecha y hora fin]]-disponibilidad[[#This Row],[Fecha y hora inicio]])*1440</f>
        <v>0</v>
      </c>
    </row>
    <row r="6655" spans="6:6" ht="15">
      <c r="F6655" s="115">
        <f>+(disponibilidad[[#This Row],[Fecha y hora fin]]-disponibilidad[[#This Row],[Fecha y hora inicio]])*1440</f>
        <v>0</v>
      </c>
    </row>
    <row r="6656" spans="6:6" ht="15">
      <c r="F6656" s="115">
        <f>+(disponibilidad[[#This Row],[Fecha y hora fin]]-disponibilidad[[#This Row],[Fecha y hora inicio]])*1440</f>
        <v>0</v>
      </c>
    </row>
    <row r="6657" spans="6:6" ht="15">
      <c r="F6657" s="115">
        <f>+(disponibilidad[[#This Row],[Fecha y hora fin]]-disponibilidad[[#This Row],[Fecha y hora inicio]])*1440</f>
        <v>0</v>
      </c>
    </row>
    <row r="6658" spans="6:6" ht="15">
      <c r="F6658" s="115">
        <f>+(disponibilidad[[#This Row],[Fecha y hora fin]]-disponibilidad[[#This Row],[Fecha y hora inicio]])*1440</f>
        <v>0</v>
      </c>
    </row>
    <row r="6659" spans="6:6" ht="15">
      <c r="F6659" s="115">
        <f>+(disponibilidad[[#This Row],[Fecha y hora fin]]-disponibilidad[[#This Row],[Fecha y hora inicio]])*1440</f>
        <v>0</v>
      </c>
    </row>
    <row r="6660" spans="6:6" ht="15">
      <c r="F6660" s="115">
        <f>+(disponibilidad[[#This Row],[Fecha y hora fin]]-disponibilidad[[#This Row],[Fecha y hora inicio]])*1440</f>
        <v>0</v>
      </c>
    </row>
    <row r="6661" spans="6:6" ht="15">
      <c r="F6661" s="115">
        <f>+(disponibilidad[[#This Row],[Fecha y hora fin]]-disponibilidad[[#This Row],[Fecha y hora inicio]])*1440</f>
        <v>0</v>
      </c>
    </row>
    <row r="6662" spans="6:6" ht="15">
      <c r="F6662" s="115">
        <f>+(disponibilidad[[#This Row],[Fecha y hora fin]]-disponibilidad[[#This Row],[Fecha y hora inicio]])*1440</f>
        <v>0</v>
      </c>
    </row>
    <row r="6663" spans="6:6" ht="15">
      <c r="F6663" s="115">
        <f>+(disponibilidad[[#This Row],[Fecha y hora fin]]-disponibilidad[[#This Row],[Fecha y hora inicio]])*1440</f>
        <v>0</v>
      </c>
    </row>
    <row r="6664" spans="6:6" ht="15">
      <c r="F6664" s="115">
        <f>+(disponibilidad[[#This Row],[Fecha y hora fin]]-disponibilidad[[#This Row],[Fecha y hora inicio]])*1440</f>
        <v>0</v>
      </c>
    </row>
    <row r="6665" spans="6:6" ht="15">
      <c r="F6665" s="115">
        <f>+(disponibilidad[[#This Row],[Fecha y hora fin]]-disponibilidad[[#This Row],[Fecha y hora inicio]])*1440</f>
        <v>0</v>
      </c>
    </row>
    <row r="6666" spans="6:6" ht="15">
      <c r="F6666" s="115">
        <f>+(disponibilidad[[#This Row],[Fecha y hora fin]]-disponibilidad[[#This Row],[Fecha y hora inicio]])*1440</f>
        <v>0</v>
      </c>
    </row>
    <row r="6667" spans="6:6" ht="15">
      <c r="F6667" s="115">
        <f>+(disponibilidad[[#This Row],[Fecha y hora fin]]-disponibilidad[[#This Row],[Fecha y hora inicio]])*1440</f>
        <v>0</v>
      </c>
    </row>
    <row r="6668" spans="6:6" ht="15">
      <c r="F6668" s="115">
        <f>+(disponibilidad[[#This Row],[Fecha y hora fin]]-disponibilidad[[#This Row],[Fecha y hora inicio]])*1440</f>
        <v>0</v>
      </c>
    </row>
    <row r="6669" spans="6:6" ht="15">
      <c r="F6669" s="115">
        <f>+(disponibilidad[[#This Row],[Fecha y hora fin]]-disponibilidad[[#This Row],[Fecha y hora inicio]])*1440</f>
        <v>0</v>
      </c>
    </row>
    <row r="6670" spans="6:6" ht="15">
      <c r="F6670" s="115">
        <f>+(disponibilidad[[#This Row],[Fecha y hora fin]]-disponibilidad[[#This Row],[Fecha y hora inicio]])*1440</f>
        <v>0</v>
      </c>
    </row>
    <row r="6671" spans="6:6" ht="15">
      <c r="F6671" s="115">
        <f>+(disponibilidad[[#This Row],[Fecha y hora fin]]-disponibilidad[[#This Row],[Fecha y hora inicio]])*1440</f>
        <v>0</v>
      </c>
    </row>
    <row r="6672" spans="6:6" ht="15">
      <c r="F6672" s="115">
        <f>+(disponibilidad[[#This Row],[Fecha y hora fin]]-disponibilidad[[#This Row],[Fecha y hora inicio]])*1440</f>
        <v>0</v>
      </c>
    </row>
    <row r="6673" spans="6:6" ht="15">
      <c r="F6673" s="115">
        <f>+(disponibilidad[[#This Row],[Fecha y hora fin]]-disponibilidad[[#This Row],[Fecha y hora inicio]])*1440</f>
        <v>0</v>
      </c>
    </row>
    <row r="6674" spans="6:6" ht="15">
      <c r="F6674" s="115">
        <f>+(disponibilidad[[#This Row],[Fecha y hora fin]]-disponibilidad[[#This Row],[Fecha y hora inicio]])*1440</f>
        <v>0</v>
      </c>
    </row>
    <row r="6675" spans="6:6" ht="15">
      <c r="F6675" s="115">
        <f>+(disponibilidad[[#This Row],[Fecha y hora fin]]-disponibilidad[[#This Row],[Fecha y hora inicio]])*1440</f>
        <v>0</v>
      </c>
    </row>
    <row r="6676" spans="6:6" ht="15">
      <c r="F6676" s="115">
        <f>+(disponibilidad[[#This Row],[Fecha y hora fin]]-disponibilidad[[#This Row],[Fecha y hora inicio]])*1440</f>
        <v>0</v>
      </c>
    </row>
    <row r="6677" spans="6:6" ht="15">
      <c r="F6677" s="115">
        <f>+(disponibilidad[[#This Row],[Fecha y hora fin]]-disponibilidad[[#This Row],[Fecha y hora inicio]])*1440</f>
        <v>0</v>
      </c>
    </row>
    <row r="6678" spans="6:6" ht="15">
      <c r="F6678" s="115">
        <f>+(disponibilidad[[#This Row],[Fecha y hora fin]]-disponibilidad[[#This Row],[Fecha y hora inicio]])*1440</f>
        <v>0</v>
      </c>
    </row>
    <row r="6679" spans="6:6" ht="15">
      <c r="F6679" s="115">
        <f>+(disponibilidad[[#This Row],[Fecha y hora fin]]-disponibilidad[[#This Row],[Fecha y hora inicio]])*1440</f>
        <v>0</v>
      </c>
    </row>
    <row r="6680" spans="6:6" ht="15">
      <c r="F6680" s="115">
        <f>+(disponibilidad[[#This Row],[Fecha y hora fin]]-disponibilidad[[#This Row],[Fecha y hora inicio]])*1440</f>
        <v>0</v>
      </c>
    </row>
    <row r="6681" spans="6:6" ht="15">
      <c r="F6681" s="115">
        <f>+(disponibilidad[[#This Row],[Fecha y hora fin]]-disponibilidad[[#This Row],[Fecha y hora inicio]])*1440</f>
        <v>0</v>
      </c>
    </row>
    <row r="6682" spans="6:6" ht="15">
      <c r="F6682" s="115">
        <f>+(disponibilidad[[#This Row],[Fecha y hora fin]]-disponibilidad[[#This Row],[Fecha y hora inicio]])*1440</f>
        <v>0</v>
      </c>
    </row>
    <row r="6683" spans="6:6" ht="15">
      <c r="F6683" s="115">
        <f>+(disponibilidad[[#This Row],[Fecha y hora fin]]-disponibilidad[[#This Row],[Fecha y hora inicio]])*1440</f>
        <v>0</v>
      </c>
    </row>
    <row r="6684" spans="6:6" ht="15">
      <c r="F6684" s="115">
        <f>+(disponibilidad[[#This Row],[Fecha y hora fin]]-disponibilidad[[#This Row],[Fecha y hora inicio]])*1440</f>
        <v>0</v>
      </c>
    </row>
    <row r="6685" spans="6:6" ht="15">
      <c r="F6685" s="115">
        <f>+(disponibilidad[[#This Row],[Fecha y hora fin]]-disponibilidad[[#This Row],[Fecha y hora inicio]])*1440</f>
        <v>0</v>
      </c>
    </row>
    <row r="6686" spans="6:6" ht="15">
      <c r="F6686" s="115">
        <f>+(disponibilidad[[#This Row],[Fecha y hora fin]]-disponibilidad[[#This Row],[Fecha y hora inicio]])*1440</f>
        <v>0</v>
      </c>
    </row>
    <row r="6687" spans="6:6" ht="15">
      <c r="F6687" s="115">
        <f>+(disponibilidad[[#This Row],[Fecha y hora fin]]-disponibilidad[[#This Row],[Fecha y hora inicio]])*1440</f>
        <v>0</v>
      </c>
    </row>
    <row r="6688" spans="6:6" ht="15">
      <c r="F6688" s="115">
        <f>+(disponibilidad[[#This Row],[Fecha y hora fin]]-disponibilidad[[#This Row],[Fecha y hora inicio]])*1440</f>
        <v>0</v>
      </c>
    </row>
    <row r="6689" spans="6:6" ht="15">
      <c r="F6689" s="115">
        <f>+(disponibilidad[[#This Row],[Fecha y hora fin]]-disponibilidad[[#This Row],[Fecha y hora inicio]])*1440</f>
        <v>0</v>
      </c>
    </row>
    <row r="6690" spans="6:6" ht="15">
      <c r="F6690" s="115">
        <f>+(disponibilidad[[#This Row],[Fecha y hora fin]]-disponibilidad[[#This Row],[Fecha y hora inicio]])*1440</f>
        <v>0</v>
      </c>
    </row>
    <row r="6691" spans="6:6" ht="15">
      <c r="F6691" s="115">
        <f>+(disponibilidad[[#This Row],[Fecha y hora fin]]-disponibilidad[[#This Row],[Fecha y hora inicio]])*1440</f>
        <v>0</v>
      </c>
    </row>
    <row r="6692" spans="6:6" ht="15">
      <c r="F6692" s="115">
        <f>+(disponibilidad[[#This Row],[Fecha y hora fin]]-disponibilidad[[#This Row],[Fecha y hora inicio]])*1440</f>
        <v>0</v>
      </c>
    </row>
    <row r="6693" spans="6:6" ht="15">
      <c r="F6693" s="115">
        <f>+(disponibilidad[[#This Row],[Fecha y hora fin]]-disponibilidad[[#This Row],[Fecha y hora inicio]])*1440</f>
        <v>0</v>
      </c>
    </row>
    <row r="6694" spans="6:6" ht="15">
      <c r="F6694" s="115">
        <f>+(disponibilidad[[#This Row],[Fecha y hora fin]]-disponibilidad[[#This Row],[Fecha y hora inicio]])*1440</f>
        <v>0</v>
      </c>
    </row>
    <row r="6695" spans="6:6" ht="15">
      <c r="F6695" s="115">
        <f>+(disponibilidad[[#This Row],[Fecha y hora fin]]-disponibilidad[[#This Row],[Fecha y hora inicio]])*1440</f>
        <v>0</v>
      </c>
    </row>
    <row r="6696" spans="6:6" ht="15">
      <c r="F6696" s="115">
        <f>+(disponibilidad[[#This Row],[Fecha y hora fin]]-disponibilidad[[#This Row],[Fecha y hora inicio]])*1440</f>
        <v>0</v>
      </c>
    </row>
    <row r="6697" spans="6:6" ht="15">
      <c r="F6697" s="115">
        <f>+(disponibilidad[[#This Row],[Fecha y hora fin]]-disponibilidad[[#This Row],[Fecha y hora inicio]])*1440</f>
        <v>0</v>
      </c>
    </row>
    <row r="6698" spans="6:6" ht="15">
      <c r="F6698" s="115">
        <f>+(disponibilidad[[#This Row],[Fecha y hora fin]]-disponibilidad[[#This Row],[Fecha y hora inicio]])*1440</f>
        <v>0</v>
      </c>
    </row>
    <row r="6699" spans="6:6" ht="15">
      <c r="F6699" s="115">
        <f>+(disponibilidad[[#This Row],[Fecha y hora fin]]-disponibilidad[[#This Row],[Fecha y hora inicio]])*1440</f>
        <v>0</v>
      </c>
    </row>
    <row r="6700" spans="6:6" ht="15">
      <c r="F6700" s="115">
        <f>+(disponibilidad[[#This Row],[Fecha y hora fin]]-disponibilidad[[#This Row],[Fecha y hora inicio]])*1440</f>
        <v>0</v>
      </c>
    </row>
    <row r="6701" spans="6:6" ht="15">
      <c r="F6701" s="115">
        <f>+(disponibilidad[[#This Row],[Fecha y hora fin]]-disponibilidad[[#This Row],[Fecha y hora inicio]])*1440</f>
        <v>0</v>
      </c>
    </row>
    <row r="6702" spans="6:6" ht="15">
      <c r="F6702" s="115">
        <f>+(disponibilidad[[#This Row],[Fecha y hora fin]]-disponibilidad[[#This Row],[Fecha y hora inicio]])*1440</f>
        <v>0</v>
      </c>
    </row>
    <row r="6703" spans="6:6" ht="15">
      <c r="F6703" s="115">
        <f>+(disponibilidad[[#This Row],[Fecha y hora fin]]-disponibilidad[[#This Row],[Fecha y hora inicio]])*1440</f>
        <v>0</v>
      </c>
    </row>
    <row r="6704" spans="6:6" ht="15">
      <c r="F6704" s="115">
        <f>+(disponibilidad[[#This Row],[Fecha y hora fin]]-disponibilidad[[#This Row],[Fecha y hora inicio]])*1440</f>
        <v>0</v>
      </c>
    </row>
    <row r="6705" spans="6:6" ht="15">
      <c r="F6705" s="115">
        <f>+(disponibilidad[[#This Row],[Fecha y hora fin]]-disponibilidad[[#This Row],[Fecha y hora inicio]])*1440</f>
        <v>0</v>
      </c>
    </row>
    <row r="6706" spans="6:6" ht="15">
      <c r="F6706" s="115">
        <f>+(disponibilidad[[#This Row],[Fecha y hora fin]]-disponibilidad[[#This Row],[Fecha y hora inicio]])*1440</f>
        <v>0</v>
      </c>
    </row>
    <row r="6707" spans="6:6" ht="15">
      <c r="F6707" s="115">
        <f>+(disponibilidad[[#This Row],[Fecha y hora fin]]-disponibilidad[[#This Row],[Fecha y hora inicio]])*1440</f>
        <v>0</v>
      </c>
    </row>
    <row r="6708" spans="6:6" ht="15">
      <c r="F6708" s="115">
        <f>+(disponibilidad[[#This Row],[Fecha y hora fin]]-disponibilidad[[#This Row],[Fecha y hora inicio]])*1440</f>
        <v>0</v>
      </c>
    </row>
    <row r="6709" spans="6:6" ht="15">
      <c r="F6709" s="115">
        <f>+(disponibilidad[[#This Row],[Fecha y hora fin]]-disponibilidad[[#This Row],[Fecha y hora inicio]])*1440</f>
        <v>0</v>
      </c>
    </row>
    <row r="6710" spans="6:6" ht="15">
      <c r="F6710" s="115">
        <f>+(disponibilidad[[#This Row],[Fecha y hora fin]]-disponibilidad[[#This Row],[Fecha y hora inicio]])*1440</f>
        <v>0</v>
      </c>
    </row>
    <row r="6711" spans="6:6" ht="15">
      <c r="F6711" s="115">
        <f>+(disponibilidad[[#This Row],[Fecha y hora fin]]-disponibilidad[[#This Row],[Fecha y hora inicio]])*1440</f>
        <v>0</v>
      </c>
    </row>
    <row r="6712" spans="6:6" ht="15">
      <c r="F6712" s="115">
        <f>+(disponibilidad[[#This Row],[Fecha y hora fin]]-disponibilidad[[#This Row],[Fecha y hora inicio]])*1440</f>
        <v>0</v>
      </c>
    </row>
    <row r="6713" spans="6:6" ht="15">
      <c r="F6713" s="115">
        <f>+(disponibilidad[[#This Row],[Fecha y hora fin]]-disponibilidad[[#This Row],[Fecha y hora inicio]])*1440</f>
        <v>0</v>
      </c>
    </row>
    <row r="6714" spans="6:6" ht="15">
      <c r="F6714" s="115">
        <f>+(disponibilidad[[#This Row],[Fecha y hora fin]]-disponibilidad[[#This Row],[Fecha y hora inicio]])*1440</f>
        <v>0</v>
      </c>
    </row>
    <row r="6715" spans="6:6" ht="15">
      <c r="F6715" s="115">
        <f>+(disponibilidad[[#This Row],[Fecha y hora fin]]-disponibilidad[[#This Row],[Fecha y hora inicio]])*1440</f>
        <v>0</v>
      </c>
    </row>
    <row r="6716" spans="6:6" ht="15">
      <c r="F6716" s="115">
        <f>+(disponibilidad[[#This Row],[Fecha y hora fin]]-disponibilidad[[#This Row],[Fecha y hora inicio]])*1440</f>
        <v>0</v>
      </c>
    </row>
    <row r="6717" spans="6:6" ht="15">
      <c r="F6717" s="115">
        <f>+(disponibilidad[[#This Row],[Fecha y hora fin]]-disponibilidad[[#This Row],[Fecha y hora inicio]])*1440</f>
        <v>0</v>
      </c>
    </row>
    <row r="6718" spans="6:6" ht="15">
      <c r="F6718" s="115">
        <f>+(disponibilidad[[#This Row],[Fecha y hora fin]]-disponibilidad[[#This Row],[Fecha y hora inicio]])*1440</f>
        <v>0</v>
      </c>
    </row>
    <row r="6719" spans="6:6" ht="15">
      <c r="F6719" s="115">
        <f>+(disponibilidad[[#This Row],[Fecha y hora fin]]-disponibilidad[[#This Row],[Fecha y hora inicio]])*1440</f>
        <v>0</v>
      </c>
    </row>
    <row r="6720" spans="6:6" ht="15">
      <c r="F6720" s="115">
        <f>+(disponibilidad[[#This Row],[Fecha y hora fin]]-disponibilidad[[#This Row],[Fecha y hora inicio]])*1440</f>
        <v>0</v>
      </c>
    </row>
    <row r="6721" spans="6:6" ht="15">
      <c r="F6721" s="115">
        <f>+(disponibilidad[[#This Row],[Fecha y hora fin]]-disponibilidad[[#This Row],[Fecha y hora inicio]])*1440</f>
        <v>0</v>
      </c>
    </row>
    <row r="6722" spans="6:6" ht="15">
      <c r="F6722" s="115">
        <f>+(disponibilidad[[#This Row],[Fecha y hora fin]]-disponibilidad[[#This Row],[Fecha y hora inicio]])*1440</f>
        <v>0</v>
      </c>
    </row>
    <row r="6723" spans="6:6" ht="15">
      <c r="F6723" s="115">
        <f>+(disponibilidad[[#This Row],[Fecha y hora fin]]-disponibilidad[[#This Row],[Fecha y hora inicio]])*1440</f>
        <v>0</v>
      </c>
    </row>
    <row r="6724" spans="6:6" ht="15">
      <c r="F6724" s="115">
        <f>+(disponibilidad[[#This Row],[Fecha y hora fin]]-disponibilidad[[#This Row],[Fecha y hora inicio]])*1440</f>
        <v>0</v>
      </c>
    </row>
    <row r="6725" spans="6:6" ht="15">
      <c r="F6725" s="115">
        <f>+(disponibilidad[[#This Row],[Fecha y hora fin]]-disponibilidad[[#This Row],[Fecha y hora inicio]])*1440</f>
        <v>0</v>
      </c>
    </row>
    <row r="6726" spans="6:6" ht="15">
      <c r="F6726" s="115">
        <f>+(disponibilidad[[#This Row],[Fecha y hora fin]]-disponibilidad[[#This Row],[Fecha y hora inicio]])*1440</f>
        <v>0</v>
      </c>
    </row>
    <row r="6727" spans="6:6" ht="15">
      <c r="F6727" s="115">
        <f>+(disponibilidad[[#This Row],[Fecha y hora fin]]-disponibilidad[[#This Row],[Fecha y hora inicio]])*1440</f>
        <v>0</v>
      </c>
    </row>
    <row r="6728" spans="6:6" ht="15">
      <c r="F6728" s="115">
        <f>+(disponibilidad[[#This Row],[Fecha y hora fin]]-disponibilidad[[#This Row],[Fecha y hora inicio]])*1440</f>
        <v>0</v>
      </c>
    </row>
    <row r="6729" spans="6:6" ht="15">
      <c r="F6729" s="115">
        <f>+(disponibilidad[[#This Row],[Fecha y hora fin]]-disponibilidad[[#This Row],[Fecha y hora inicio]])*1440</f>
        <v>0</v>
      </c>
    </row>
    <row r="6730" spans="6:6" ht="15">
      <c r="F6730" s="115">
        <f>+(disponibilidad[[#This Row],[Fecha y hora fin]]-disponibilidad[[#This Row],[Fecha y hora inicio]])*1440</f>
        <v>0</v>
      </c>
    </row>
    <row r="6731" spans="6:6" ht="15">
      <c r="F6731" s="115">
        <f>+(disponibilidad[[#This Row],[Fecha y hora fin]]-disponibilidad[[#This Row],[Fecha y hora inicio]])*1440</f>
        <v>0</v>
      </c>
    </row>
    <row r="6732" spans="6:6" ht="15">
      <c r="F6732" s="115">
        <f>+(disponibilidad[[#This Row],[Fecha y hora fin]]-disponibilidad[[#This Row],[Fecha y hora inicio]])*1440</f>
        <v>0</v>
      </c>
    </row>
    <row r="6733" spans="6:6" ht="15">
      <c r="F6733" s="115">
        <f>+(disponibilidad[[#This Row],[Fecha y hora fin]]-disponibilidad[[#This Row],[Fecha y hora inicio]])*1440</f>
        <v>0</v>
      </c>
    </row>
    <row r="6734" spans="6:6" ht="15">
      <c r="F6734" s="115">
        <f>+(disponibilidad[[#This Row],[Fecha y hora fin]]-disponibilidad[[#This Row],[Fecha y hora inicio]])*1440</f>
        <v>0</v>
      </c>
    </row>
    <row r="6735" spans="6:6" ht="15">
      <c r="F6735" s="115">
        <f>+(disponibilidad[[#This Row],[Fecha y hora fin]]-disponibilidad[[#This Row],[Fecha y hora inicio]])*1440</f>
        <v>0</v>
      </c>
    </row>
    <row r="6736" spans="6:6" ht="15">
      <c r="F6736" s="115">
        <f>+(disponibilidad[[#This Row],[Fecha y hora fin]]-disponibilidad[[#This Row],[Fecha y hora inicio]])*1440</f>
        <v>0</v>
      </c>
    </row>
    <row r="6737" spans="6:6" ht="15">
      <c r="F6737" s="115">
        <f>+(disponibilidad[[#This Row],[Fecha y hora fin]]-disponibilidad[[#This Row],[Fecha y hora inicio]])*1440</f>
        <v>0</v>
      </c>
    </row>
    <row r="6738" spans="6:6" ht="15">
      <c r="F6738" s="115">
        <f>+(disponibilidad[[#This Row],[Fecha y hora fin]]-disponibilidad[[#This Row],[Fecha y hora inicio]])*1440</f>
        <v>0</v>
      </c>
    </row>
    <row r="6739" spans="6:6" ht="15">
      <c r="F6739" s="115">
        <f>+(disponibilidad[[#This Row],[Fecha y hora fin]]-disponibilidad[[#This Row],[Fecha y hora inicio]])*1440</f>
        <v>0</v>
      </c>
    </row>
    <row r="6740" spans="6:6" ht="15">
      <c r="F6740" s="115">
        <f>+(disponibilidad[[#This Row],[Fecha y hora fin]]-disponibilidad[[#This Row],[Fecha y hora inicio]])*1440</f>
        <v>0</v>
      </c>
    </row>
    <row r="6741" spans="6:6" ht="15">
      <c r="F6741" s="115">
        <f>+(disponibilidad[[#This Row],[Fecha y hora fin]]-disponibilidad[[#This Row],[Fecha y hora inicio]])*1440</f>
        <v>0</v>
      </c>
    </row>
    <row r="6742" spans="6:6" ht="15">
      <c r="F6742" s="115">
        <f>+(disponibilidad[[#This Row],[Fecha y hora fin]]-disponibilidad[[#This Row],[Fecha y hora inicio]])*1440</f>
        <v>0</v>
      </c>
    </row>
    <row r="6743" spans="6:6" ht="15">
      <c r="F6743" s="115">
        <f>+(disponibilidad[[#This Row],[Fecha y hora fin]]-disponibilidad[[#This Row],[Fecha y hora inicio]])*1440</f>
        <v>0</v>
      </c>
    </row>
    <row r="6744" spans="6:6" ht="15">
      <c r="F6744" s="115">
        <f>+(disponibilidad[[#This Row],[Fecha y hora fin]]-disponibilidad[[#This Row],[Fecha y hora inicio]])*1440</f>
        <v>0</v>
      </c>
    </row>
    <row r="6745" spans="6:6" ht="15">
      <c r="F6745" s="115">
        <f>+(disponibilidad[[#This Row],[Fecha y hora fin]]-disponibilidad[[#This Row],[Fecha y hora inicio]])*1440</f>
        <v>0</v>
      </c>
    </row>
    <row r="6746" spans="6:6" ht="15">
      <c r="F6746" s="115">
        <f>+(disponibilidad[[#This Row],[Fecha y hora fin]]-disponibilidad[[#This Row],[Fecha y hora inicio]])*1440</f>
        <v>0</v>
      </c>
    </row>
    <row r="6747" spans="6:6" ht="15">
      <c r="F6747" s="115">
        <f>+(disponibilidad[[#This Row],[Fecha y hora fin]]-disponibilidad[[#This Row],[Fecha y hora inicio]])*1440</f>
        <v>0</v>
      </c>
    </row>
    <row r="6748" spans="6:6" ht="15">
      <c r="F6748" s="115">
        <f>+(disponibilidad[[#This Row],[Fecha y hora fin]]-disponibilidad[[#This Row],[Fecha y hora inicio]])*1440</f>
        <v>0</v>
      </c>
    </row>
    <row r="6749" spans="6:6" ht="15">
      <c r="F6749" s="115">
        <f>+(disponibilidad[[#This Row],[Fecha y hora fin]]-disponibilidad[[#This Row],[Fecha y hora inicio]])*1440</f>
        <v>0</v>
      </c>
    </row>
    <row r="6750" spans="6:6" ht="15">
      <c r="F6750" s="115">
        <f>+(disponibilidad[[#This Row],[Fecha y hora fin]]-disponibilidad[[#This Row],[Fecha y hora inicio]])*1440</f>
        <v>0</v>
      </c>
    </row>
    <row r="6751" spans="6:6" ht="15">
      <c r="F6751" s="115">
        <f>+(disponibilidad[[#This Row],[Fecha y hora fin]]-disponibilidad[[#This Row],[Fecha y hora inicio]])*1440</f>
        <v>0</v>
      </c>
    </row>
    <row r="6752" spans="6:6" ht="15">
      <c r="F6752" s="115">
        <f>+(disponibilidad[[#This Row],[Fecha y hora fin]]-disponibilidad[[#This Row],[Fecha y hora inicio]])*1440</f>
        <v>0</v>
      </c>
    </row>
    <row r="6753" spans="6:6" ht="15">
      <c r="F6753" s="115">
        <f>+(disponibilidad[[#This Row],[Fecha y hora fin]]-disponibilidad[[#This Row],[Fecha y hora inicio]])*1440</f>
        <v>0</v>
      </c>
    </row>
    <row r="6754" spans="6:6" ht="15">
      <c r="F6754" s="115">
        <f>+(disponibilidad[[#This Row],[Fecha y hora fin]]-disponibilidad[[#This Row],[Fecha y hora inicio]])*1440</f>
        <v>0</v>
      </c>
    </row>
    <row r="6755" spans="6:6" ht="15">
      <c r="F6755" s="115">
        <f>+(disponibilidad[[#This Row],[Fecha y hora fin]]-disponibilidad[[#This Row],[Fecha y hora inicio]])*1440</f>
        <v>0</v>
      </c>
    </row>
    <row r="6756" spans="6:6" ht="15">
      <c r="F6756" s="115">
        <f>+(disponibilidad[[#This Row],[Fecha y hora fin]]-disponibilidad[[#This Row],[Fecha y hora inicio]])*1440</f>
        <v>0</v>
      </c>
    </row>
    <row r="6757" spans="6:6" ht="15">
      <c r="F6757" s="115">
        <f>+(disponibilidad[[#This Row],[Fecha y hora fin]]-disponibilidad[[#This Row],[Fecha y hora inicio]])*1440</f>
        <v>0</v>
      </c>
    </row>
    <row r="6758" spans="6:6" ht="15">
      <c r="F6758" s="115">
        <f>+(disponibilidad[[#This Row],[Fecha y hora fin]]-disponibilidad[[#This Row],[Fecha y hora inicio]])*1440</f>
        <v>0</v>
      </c>
    </row>
    <row r="6759" spans="6:6" ht="15">
      <c r="F6759" s="115">
        <f>+(disponibilidad[[#This Row],[Fecha y hora fin]]-disponibilidad[[#This Row],[Fecha y hora inicio]])*1440</f>
        <v>0</v>
      </c>
    </row>
    <row r="6760" spans="6:6" ht="15">
      <c r="F6760" s="115">
        <f>+(disponibilidad[[#This Row],[Fecha y hora fin]]-disponibilidad[[#This Row],[Fecha y hora inicio]])*1440</f>
        <v>0</v>
      </c>
    </row>
    <row r="6761" spans="6:6" ht="15">
      <c r="F6761" s="115">
        <f>+(disponibilidad[[#This Row],[Fecha y hora fin]]-disponibilidad[[#This Row],[Fecha y hora inicio]])*1440</f>
        <v>0</v>
      </c>
    </row>
    <row r="6762" spans="6:6" ht="15">
      <c r="F6762" s="115">
        <f>+(disponibilidad[[#This Row],[Fecha y hora fin]]-disponibilidad[[#This Row],[Fecha y hora inicio]])*1440</f>
        <v>0</v>
      </c>
    </row>
    <row r="6763" spans="6:6" ht="15">
      <c r="F6763" s="115">
        <f>+(disponibilidad[[#This Row],[Fecha y hora fin]]-disponibilidad[[#This Row],[Fecha y hora inicio]])*1440</f>
        <v>0</v>
      </c>
    </row>
    <row r="6764" spans="6:6" ht="15">
      <c r="F6764" s="115">
        <f>+(disponibilidad[[#This Row],[Fecha y hora fin]]-disponibilidad[[#This Row],[Fecha y hora inicio]])*1440</f>
        <v>0</v>
      </c>
    </row>
    <row r="6765" spans="6:6" ht="15">
      <c r="F6765" s="115">
        <f>+(disponibilidad[[#This Row],[Fecha y hora fin]]-disponibilidad[[#This Row],[Fecha y hora inicio]])*1440</f>
        <v>0</v>
      </c>
    </row>
    <row r="6766" spans="6:6" ht="15">
      <c r="F6766" s="115">
        <f>+(disponibilidad[[#This Row],[Fecha y hora fin]]-disponibilidad[[#This Row],[Fecha y hora inicio]])*1440</f>
        <v>0</v>
      </c>
    </row>
    <row r="6767" spans="6:6" ht="15">
      <c r="F6767" s="115">
        <f>+(disponibilidad[[#This Row],[Fecha y hora fin]]-disponibilidad[[#This Row],[Fecha y hora inicio]])*1440</f>
        <v>0</v>
      </c>
    </row>
    <row r="6768" spans="6:6" ht="15">
      <c r="F6768" s="115">
        <f>+(disponibilidad[[#This Row],[Fecha y hora fin]]-disponibilidad[[#This Row],[Fecha y hora inicio]])*1440</f>
        <v>0</v>
      </c>
    </row>
    <row r="6769" spans="6:6" ht="15">
      <c r="F6769" s="115">
        <f>+(disponibilidad[[#This Row],[Fecha y hora fin]]-disponibilidad[[#This Row],[Fecha y hora inicio]])*1440</f>
        <v>0</v>
      </c>
    </row>
    <row r="6770" spans="6:6" ht="15">
      <c r="F6770" s="115">
        <f>+(disponibilidad[[#This Row],[Fecha y hora fin]]-disponibilidad[[#This Row],[Fecha y hora inicio]])*1440</f>
        <v>0</v>
      </c>
    </row>
    <row r="6771" spans="6:6" ht="15">
      <c r="F6771" s="115">
        <f>+(disponibilidad[[#This Row],[Fecha y hora fin]]-disponibilidad[[#This Row],[Fecha y hora inicio]])*1440</f>
        <v>0</v>
      </c>
    </row>
    <row r="6772" spans="6:6" ht="15">
      <c r="F6772" s="115">
        <f>+(disponibilidad[[#This Row],[Fecha y hora fin]]-disponibilidad[[#This Row],[Fecha y hora inicio]])*1440</f>
        <v>0</v>
      </c>
    </row>
    <row r="6773" spans="6:6" ht="15">
      <c r="F6773" s="115">
        <f>+(disponibilidad[[#This Row],[Fecha y hora fin]]-disponibilidad[[#This Row],[Fecha y hora inicio]])*1440</f>
        <v>0</v>
      </c>
    </row>
    <row r="6774" spans="6:6" ht="15">
      <c r="F6774" s="115">
        <f>+(disponibilidad[[#This Row],[Fecha y hora fin]]-disponibilidad[[#This Row],[Fecha y hora inicio]])*1440</f>
        <v>0</v>
      </c>
    </row>
    <row r="6775" spans="6:6" ht="15">
      <c r="F6775" s="115">
        <f>+(disponibilidad[[#This Row],[Fecha y hora fin]]-disponibilidad[[#This Row],[Fecha y hora inicio]])*1440</f>
        <v>0</v>
      </c>
    </row>
    <row r="6776" spans="6:6" ht="15">
      <c r="F6776" s="115">
        <f>+(disponibilidad[[#This Row],[Fecha y hora fin]]-disponibilidad[[#This Row],[Fecha y hora inicio]])*1440</f>
        <v>0</v>
      </c>
    </row>
    <row r="6777" spans="6:6" ht="15">
      <c r="F6777" s="115">
        <f>+(disponibilidad[[#This Row],[Fecha y hora fin]]-disponibilidad[[#This Row],[Fecha y hora inicio]])*1440</f>
        <v>0</v>
      </c>
    </row>
    <row r="6778" spans="6:6" ht="15">
      <c r="F6778" s="115">
        <f>+(disponibilidad[[#This Row],[Fecha y hora fin]]-disponibilidad[[#This Row],[Fecha y hora inicio]])*1440</f>
        <v>0</v>
      </c>
    </row>
    <row r="6779" spans="6:6" ht="15">
      <c r="F6779" s="115">
        <f>+(disponibilidad[[#This Row],[Fecha y hora fin]]-disponibilidad[[#This Row],[Fecha y hora inicio]])*1440</f>
        <v>0</v>
      </c>
    </row>
    <row r="6780" spans="6:6" ht="15">
      <c r="F6780" s="115">
        <f>+(disponibilidad[[#This Row],[Fecha y hora fin]]-disponibilidad[[#This Row],[Fecha y hora inicio]])*1440</f>
        <v>0</v>
      </c>
    </row>
    <row r="6781" spans="6:6" ht="15">
      <c r="F6781" s="115">
        <f>+(disponibilidad[[#This Row],[Fecha y hora fin]]-disponibilidad[[#This Row],[Fecha y hora inicio]])*1440</f>
        <v>0</v>
      </c>
    </row>
    <row r="6782" spans="6:6" ht="15">
      <c r="F6782" s="115">
        <f>+(disponibilidad[[#This Row],[Fecha y hora fin]]-disponibilidad[[#This Row],[Fecha y hora inicio]])*1440</f>
        <v>0</v>
      </c>
    </row>
    <row r="6783" spans="6:6" ht="15">
      <c r="F6783" s="115">
        <f>+(disponibilidad[[#This Row],[Fecha y hora fin]]-disponibilidad[[#This Row],[Fecha y hora inicio]])*1440</f>
        <v>0</v>
      </c>
    </row>
    <row r="6784" spans="6:6" ht="15">
      <c r="F6784" s="115">
        <f>+(disponibilidad[[#This Row],[Fecha y hora fin]]-disponibilidad[[#This Row],[Fecha y hora inicio]])*1440</f>
        <v>0</v>
      </c>
    </row>
    <row r="6785" spans="6:6" ht="15">
      <c r="F6785" s="115">
        <f>+(disponibilidad[[#This Row],[Fecha y hora fin]]-disponibilidad[[#This Row],[Fecha y hora inicio]])*1440</f>
        <v>0</v>
      </c>
    </row>
    <row r="6786" spans="6:6" ht="15">
      <c r="F6786" s="115">
        <f>+(disponibilidad[[#This Row],[Fecha y hora fin]]-disponibilidad[[#This Row],[Fecha y hora inicio]])*1440</f>
        <v>0</v>
      </c>
    </row>
    <row r="6787" spans="6:6" ht="15">
      <c r="F6787" s="115">
        <f>+(disponibilidad[[#This Row],[Fecha y hora fin]]-disponibilidad[[#This Row],[Fecha y hora inicio]])*1440</f>
        <v>0</v>
      </c>
    </row>
    <row r="6788" spans="6:6" ht="15">
      <c r="F6788" s="115">
        <f>+(disponibilidad[[#This Row],[Fecha y hora fin]]-disponibilidad[[#This Row],[Fecha y hora inicio]])*1440</f>
        <v>0</v>
      </c>
    </row>
    <row r="6789" spans="6:6" ht="15">
      <c r="F6789" s="115">
        <f>+(disponibilidad[[#This Row],[Fecha y hora fin]]-disponibilidad[[#This Row],[Fecha y hora inicio]])*1440</f>
        <v>0</v>
      </c>
    </row>
    <row r="6790" spans="6:6" ht="15">
      <c r="F6790" s="115">
        <f>+(disponibilidad[[#This Row],[Fecha y hora fin]]-disponibilidad[[#This Row],[Fecha y hora inicio]])*1440</f>
        <v>0</v>
      </c>
    </row>
    <row r="6791" spans="6:6" ht="15">
      <c r="F6791" s="115">
        <f>+(disponibilidad[[#This Row],[Fecha y hora fin]]-disponibilidad[[#This Row],[Fecha y hora inicio]])*1440</f>
        <v>0</v>
      </c>
    </row>
    <row r="6792" spans="6:6" ht="15">
      <c r="F6792" s="115">
        <f>+(disponibilidad[[#This Row],[Fecha y hora fin]]-disponibilidad[[#This Row],[Fecha y hora inicio]])*1440</f>
        <v>0</v>
      </c>
    </row>
    <row r="6793" spans="6:6" ht="15">
      <c r="F6793" s="115">
        <f>+(disponibilidad[[#This Row],[Fecha y hora fin]]-disponibilidad[[#This Row],[Fecha y hora inicio]])*1440</f>
        <v>0</v>
      </c>
    </row>
    <row r="6794" spans="6:6" ht="15">
      <c r="F6794" s="115">
        <f>+(disponibilidad[[#This Row],[Fecha y hora fin]]-disponibilidad[[#This Row],[Fecha y hora inicio]])*1440</f>
        <v>0</v>
      </c>
    </row>
    <row r="6795" spans="6:6" ht="15">
      <c r="F6795" s="115">
        <f>+(disponibilidad[[#This Row],[Fecha y hora fin]]-disponibilidad[[#This Row],[Fecha y hora inicio]])*1440</f>
        <v>0</v>
      </c>
    </row>
    <row r="6796" spans="6:6" ht="15">
      <c r="F6796" s="115">
        <f>+(disponibilidad[[#This Row],[Fecha y hora fin]]-disponibilidad[[#This Row],[Fecha y hora inicio]])*1440</f>
        <v>0</v>
      </c>
    </row>
    <row r="6797" spans="6:6" ht="15">
      <c r="F6797" s="115">
        <f>+(disponibilidad[[#This Row],[Fecha y hora fin]]-disponibilidad[[#This Row],[Fecha y hora inicio]])*1440</f>
        <v>0</v>
      </c>
    </row>
    <row r="6798" spans="6:6" ht="15">
      <c r="F6798" s="115">
        <f>+(disponibilidad[[#This Row],[Fecha y hora fin]]-disponibilidad[[#This Row],[Fecha y hora inicio]])*1440</f>
        <v>0</v>
      </c>
    </row>
    <row r="6799" spans="6:6" ht="15">
      <c r="F6799" s="115">
        <f>+(disponibilidad[[#This Row],[Fecha y hora fin]]-disponibilidad[[#This Row],[Fecha y hora inicio]])*1440</f>
        <v>0</v>
      </c>
    </row>
    <row r="6800" spans="6:6" ht="15">
      <c r="F6800" s="115">
        <f>+(disponibilidad[[#This Row],[Fecha y hora fin]]-disponibilidad[[#This Row],[Fecha y hora inicio]])*1440</f>
        <v>0</v>
      </c>
    </row>
    <row r="6801" spans="6:6" ht="15">
      <c r="F6801" s="115">
        <f>+(disponibilidad[[#This Row],[Fecha y hora fin]]-disponibilidad[[#This Row],[Fecha y hora inicio]])*1440</f>
        <v>0</v>
      </c>
    </row>
    <row r="6802" spans="6:6" ht="15">
      <c r="F6802" s="115">
        <f>+(disponibilidad[[#This Row],[Fecha y hora fin]]-disponibilidad[[#This Row],[Fecha y hora inicio]])*1440</f>
        <v>0</v>
      </c>
    </row>
    <row r="6803" spans="6:6" ht="15">
      <c r="F6803" s="115">
        <f>+(disponibilidad[[#This Row],[Fecha y hora fin]]-disponibilidad[[#This Row],[Fecha y hora inicio]])*1440</f>
        <v>0</v>
      </c>
    </row>
    <row r="6804" spans="6:6" ht="15">
      <c r="F6804" s="115">
        <f>+(disponibilidad[[#This Row],[Fecha y hora fin]]-disponibilidad[[#This Row],[Fecha y hora inicio]])*1440</f>
        <v>0</v>
      </c>
    </row>
    <row r="6805" spans="6:6" ht="15">
      <c r="F6805" s="115">
        <f>+(disponibilidad[[#This Row],[Fecha y hora fin]]-disponibilidad[[#This Row],[Fecha y hora inicio]])*1440</f>
        <v>0</v>
      </c>
    </row>
    <row r="6806" spans="6:6" ht="15">
      <c r="F6806" s="115">
        <f>+(disponibilidad[[#This Row],[Fecha y hora fin]]-disponibilidad[[#This Row],[Fecha y hora inicio]])*1440</f>
        <v>0</v>
      </c>
    </row>
    <row r="6807" spans="6:6" ht="15">
      <c r="F6807" s="115">
        <f>+(disponibilidad[[#This Row],[Fecha y hora fin]]-disponibilidad[[#This Row],[Fecha y hora inicio]])*1440</f>
        <v>0</v>
      </c>
    </row>
    <row r="6808" spans="6:6" ht="15">
      <c r="F6808" s="115">
        <f>+(disponibilidad[[#This Row],[Fecha y hora fin]]-disponibilidad[[#This Row],[Fecha y hora inicio]])*1440</f>
        <v>0</v>
      </c>
    </row>
    <row r="6809" spans="6:6" ht="15">
      <c r="F6809" s="115">
        <f>+(disponibilidad[[#This Row],[Fecha y hora fin]]-disponibilidad[[#This Row],[Fecha y hora inicio]])*1440</f>
        <v>0</v>
      </c>
    </row>
    <row r="6810" spans="6:6" ht="15">
      <c r="F6810" s="115">
        <f>+(disponibilidad[[#This Row],[Fecha y hora fin]]-disponibilidad[[#This Row],[Fecha y hora inicio]])*1440</f>
        <v>0</v>
      </c>
    </row>
    <row r="6811" spans="6:6" ht="15">
      <c r="F6811" s="115">
        <f>+(disponibilidad[[#This Row],[Fecha y hora fin]]-disponibilidad[[#This Row],[Fecha y hora inicio]])*1440</f>
        <v>0</v>
      </c>
    </row>
    <row r="6812" spans="6:6" ht="15">
      <c r="F6812" s="115">
        <f>+(disponibilidad[[#This Row],[Fecha y hora fin]]-disponibilidad[[#This Row],[Fecha y hora inicio]])*1440</f>
        <v>0</v>
      </c>
    </row>
    <row r="6813" spans="6:6" ht="15">
      <c r="F6813" s="115">
        <f>+(disponibilidad[[#This Row],[Fecha y hora fin]]-disponibilidad[[#This Row],[Fecha y hora inicio]])*1440</f>
        <v>0</v>
      </c>
    </row>
    <row r="6814" spans="6:6" ht="15">
      <c r="F6814" s="115">
        <f>+(disponibilidad[[#This Row],[Fecha y hora fin]]-disponibilidad[[#This Row],[Fecha y hora inicio]])*1440</f>
        <v>0</v>
      </c>
    </row>
    <row r="6815" spans="6:6" ht="15">
      <c r="F6815" s="115">
        <f>+(disponibilidad[[#This Row],[Fecha y hora fin]]-disponibilidad[[#This Row],[Fecha y hora inicio]])*1440</f>
        <v>0</v>
      </c>
    </row>
    <row r="6816" spans="6:6" ht="15">
      <c r="F6816" s="115">
        <f>+(disponibilidad[[#This Row],[Fecha y hora fin]]-disponibilidad[[#This Row],[Fecha y hora inicio]])*1440</f>
        <v>0</v>
      </c>
    </row>
    <row r="6817" spans="6:6" ht="15">
      <c r="F6817" s="115">
        <f>+(disponibilidad[[#This Row],[Fecha y hora fin]]-disponibilidad[[#This Row],[Fecha y hora inicio]])*1440</f>
        <v>0</v>
      </c>
    </row>
    <row r="6818" spans="6:6" ht="15">
      <c r="F6818" s="115">
        <f>+(disponibilidad[[#This Row],[Fecha y hora fin]]-disponibilidad[[#This Row],[Fecha y hora inicio]])*1440</f>
        <v>0</v>
      </c>
    </row>
    <row r="6819" spans="6:6" ht="15">
      <c r="F6819" s="115">
        <f>+(disponibilidad[[#This Row],[Fecha y hora fin]]-disponibilidad[[#This Row],[Fecha y hora inicio]])*1440</f>
        <v>0</v>
      </c>
    </row>
    <row r="6820" spans="6:6" ht="15">
      <c r="F6820" s="115">
        <f>+(disponibilidad[[#This Row],[Fecha y hora fin]]-disponibilidad[[#This Row],[Fecha y hora inicio]])*1440</f>
        <v>0</v>
      </c>
    </row>
    <row r="6821" spans="6:6" ht="15">
      <c r="F6821" s="115">
        <f>+(disponibilidad[[#This Row],[Fecha y hora fin]]-disponibilidad[[#This Row],[Fecha y hora inicio]])*1440</f>
        <v>0</v>
      </c>
    </row>
    <row r="6822" spans="6:6" ht="15">
      <c r="F6822" s="115">
        <f>+(disponibilidad[[#This Row],[Fecha y hora fin]]-disponibilidad[[#This Row],[Fecha y hora inicio]])*1440</f>
        <v>0</v>
      </c>
    </row>
    <row r="6823" spans="6:6" ht="15">
      <c r="F6823" s="115">
        <f>+(disponibilidad[[#This Row],[Fecha y hora fin]]-disponibilidad[[#This Row],[Fecha y hora inicio]])*1440</f>
        <v>0</v>
      </c>
    </row>
    <row r="6824" spans="6:6" ht="15">
      <c r="F6824" s="115">
        <f>+(disponibilidad[[#This Row],[Fecha y hora fin]]-disponibilidad[[#This Row],[Fecha y hora inicio]])*1440</f>
        <v>0</v>
      </c>
    </row>
    <row r="6825" spans="6:6" ht="15">
      <c r="F6825" s="115">
        <f>+(disponibilidad[[#This Row],[Fecha y hora fin]]-disponibilidad[[#This Row],[Fecha y hora inicio]])*1440</f>
        <v>0</v>
      </c>
    </row>
    <row r="6826" spans="6:6" ht="15">
      <c r="F6826" s="115">
        <f>+(disponibilidad[[#This Row],[Fecha y hora fin]]-disponibilidad[[#This Row],[Fecha y hora inicio]])*1440</f>
        <v>0</v>
      </c>
    </row>
    <row r="6827" spans="6:6" ht="15">
      <c r="F6827" s="115">
        <f>+(disponibilidad[[#This Row],[Fecha y hora fin]]-disponibilidad[[#This Row],[Fecha y hora inicio]])*1440</f>
        <v>0</v>
      </c>
    </row>
    <row r="6828" spans="6:6" ht="15">
      <c r="F6828" s="115">
        <f>+(disponibilidad[[#This Row],[Fecha y hora fin]]-disponibilidad[[#This Row],[Fecha y hora inicio]])*1440</f>
        <v>0</v>
      </c>
    </row>
    <row r="6829" spans="6:6" ht="15">
      <c r="F6829" s="115">
        <f>+(disponibilidad[[#This Row],[Fecha y hora fin]]-disponibilidad[[#This Row],[Fecha y hora inicio]])*1440</f>
        <v>0</v>
      </c>
    </row>
    <row r="6830" spans="6:6" ht="15">
      <c r="F6830" s="115">
        <f>+(disponibilidad[[#This Row],[Fecha y hora fin]]-disponibilidad[[#This Row],[Fecha y hora inicio]])*1440</f>
        <v>0</v>
      </c>
    </row>
    <row r="6831" spans="6:6" ht="15">
      <c r="F6831" s="115">
        <f>+(disponibilidad[[#This Row],[Fecha y hora fin]]-disponibilidad[[#This Row],[Fecha y hora inicio]])*1440</f>
        <v>0</v>
      </c>
    </row>
    <row r="6832" spans="6:6" ht="15">
      <c r="F6832" s="115">
        <f>+(disponibilidad[[#This Row],[Fecha y hora fin]]-disponibilidad[[#This Row],[Fecha y hora inicio]])*1440</f>
        <v>0</v>
      </c>
    </row>
    <row r="6833" spans="6:6" ht="15">
      <c r="F6833" s="115">
        <f>+(disponibilidad[[#This Row],[Fecha y hora fin]]-disponibilidad[[#This Row],[Fecha y hora inicio]])*1440</f>
        <v>0</v>
      </c>
    </row>
    <row r="6834" spans="6:6" ht="15">
      <c r="F6834" s="115">
        <f>+(disponibilidad[[#This Row],[Fecha y hora fin]]-disponibilidad[[#This Row],[Fecha y hora inicio]])*1440</f>
        <v>0</v>
      </c>
    </row>
    <row r="6835" spans="6:6" ht="15">
      <c r="F6835" s="115">
        <f>+(disponibilidad[[#This Row],[Fecha y hora fin]]-disponibilidad[[#This Row],[Fecha y hora inicio]])*1440</f>
        <v>0</v>
      </c>
    </row>
    <row r="6836" spans="6:6" ht="15">
      <c r="F6836" s="115">
        <f>+(disponibilidad[[#This Row],[Fecha y hora fin]]-disponibilidad[[#This Row],[Fecha y hora inicio]])*1440</f>
        <v>0</v>
      </c>
    </row>
    <row r="6837" spans="6:6" ht="15">
      <c r="F6837" s="115">
        <f>+(disponibilidad[[#This Row],[Fecha y hora fin]]-disponibilidad[[#This Row],[Fecha y hora inicio]])*1440</f>
        <v>0</v>
      </c>
    </row>
    <row r="6838" spans="6:6" ht="15">
      <c r="F6838" s="115">
        <f>+(disponibilidad[[#This Row],[Fecha y hora fin]]-disponibilidad[[#This Row],[Fecha y hora inicio]])*1440</f>
        <v>0</v>
      </c>
    </row>
    <row r="6839" spans="6:6" ht="15">
      <c r="F6839" s="115">
        <f>+(disponibilidad[[#This Row],[Fecha y hora fin]]-disponibilidad[[#This Row],[Fecha y hora inicio]])*1440</f>
        <v>0</v>
      </c>
    </row>
    <row r="6840" spans="6:6" ht="15">
      <c r="F6840" s="115">
        <f>+(disponibilidad[[#This Row],[Fecha y hora fin]]-disponibilidad[[#This Row],[Fecha y hora inicio]])*1440</f>
        <v>0</v>
      </c>
    </row>
    <row r="6841" spans="6:6" ht="15">
      <c r="F6841" s="115">
        <f>+(disponibilidad[[#This Row],[Fecha y hora fin]]-disponibilidad[[#This Row],[Fecha y hora inicio]])*1440</f>
        <v>0</v>
      </c>
    </row>
    <row r="6842" spans="6:6" ht="15">
      <c r="F6842" s="115">
        <f>+(disponibilidad[[#This Row],[Fecha y hora fin]]-disponibilidad[[#This Row],[Fecha y hora inicio]])*1440</f>
        <v>0</v>
      </c>
    </row>
    <row r="6843" spans="6:6" ht="15">
      <c r="F6843" s="115">
        <f>+(disponibilidad[[#This Row],[Fecha y hora fin]]-disponibilidad[[#This Row],[Fecha y hora inicio]])*1440</f>
        <v>0</v>
      </c>
    </row>
    <row r="6844" spans="6:6" ht="15">
      <c r="F6844" s="115">
        <f>+(disponibilidad[[#This Row],[Fecha y hora fin]]-disponibilidad[[#This Row],[Fecha y hora inicio]])*1440</f>
        <v>0</v>
      </c>
    </row>
    <row r="6845" spans="6:6" ht="15">
      <c r="F6845" s="115">
        <f>+(disponibilidad[[#This Row],[Fecha y hora fin]]-disponibilidad[[#This Row],[Fecha y hora inicio]])*1440</f>
        <v>0</v>
      </c>
    </row>
    <row r="6846" spans="6:6" ht="15">
      <c r="F6846" s="115">
        <f>+(disponibilidad[[#This Row],[Fecha y hora fin]]-disponibilidad[[#This Row],[Fecha y hora inicio]])*1440</f>
        <v>0</v>
      </c>
    </row>
    <row r="6847" spans="6:6" ht="15">
      <c r="F6847" s="115">
        <f>+(disponibilidad[[#This Row],[Fecha y hora fin]]-disponibilidad[[#This Row],[Fecha y hora inicio]])*1440</f>
        <v>0</v>
      </c>
    </row>
    <row r="6848" spans="6:6" ht="15">
      <c r="F6848" s="115">
        <f>+(disponibilidad[[#This Row],[Fecha y hora fin]]-disponibilidad[[#This Row],[Fecha y hora inicio]])*1440</f>
        <v>0</v>
      </c>
    </row>
    <row r="6849" spans="6:6" ht="15">
      <c r="F6849" s="115">
        <f>+(disponibilidad[[#This Row],[Fecha y hora fin]]-disponibilidad[[#This Row],[Fecha y hora inicio]])*1440</f>
        <v>0</v>
      </c>
    </row>
    <row r="6850" spans="6:6" ht="15">
      <c r="F6850" s="115">
        <f>+(disponibilidad[[#This Row],[Fecha y hora fin]]-disponibilidad[[#This Row],[Fecha y hora inicio]])*1440</f>
        <v>0</v>
      </c>
    </row>
    <row r="6851" spans="6:6" ht="15">
      <c r="F6851" s="115">
        <f>+(disponibilidad[[#This Row],[Fecha y hora fin]]-disponibilidad[[#This Row],[Fecha y hora inicio]])*1440</f>
        <v>0</v>
      </c>
    </row>
    <row r="6852" spans="6:6" ht="15">
      <c r="F6852" s="115">
        <f>+(disponibilidad[[#This Row],[Fecha y hora fin]]-disponibilidad[[#This Row],[Fecha y hora inicio]])*1440</f>
        <v>0</v>
      </c>
    </row>
    <row r="6853" spans="6:6" ht="15">
      <c r="F6853" s="115">
        <f>+(disponibilidad[[#This Row],[Fecha y hora fin]]-disponibilidad[[#This Row],[Fecha y hora inicio]])*1440</f>
        <v>0</v>
      </c>
    </row>
    <row r="6854" spans="6:6" ht="15">
      <c r="F6854" s="115">
        <f>+(disponibilidad[[#This Row],[Fecha y hora fin]]-disponibilidad[[#This Row],[Fecha y hora inicio]])*1440</f>
        <v>0</v>
      </c>
    </row>
    <row r="6855" spans="6:6" ht="15">
      <c r="F6855" s="115">
        <f>+(disponibilidad[[#This Row],[Fecha y hora fin]]-disponibilidad[[#This Row],[Fecha y hora inicio]])*1440</f>
        <v>0</v>
      </c>
    </row>
    <row r="6856" spans="6:6" ht="15">
      <c r="F6856" s="115">
        <f>+(disponibilidad[[#This Row],[Fecha y hora fin]]-disponibilidad[[#This Row],[Fecha y hora inicio]])*1440</f>
        <v>0</v>
      </c>
    </row>
    <row r="6857" spans="6:6" ht="15">
      <c r="F6857" s="115">
        <f>+(disponibilidad[[#This Row],[Fecha y hora fin]]-disponibilidad[[#This Row],[Fecha y hora inicio]])*1440</f>
        <v>0</v>
      </c>
    </row>
    <row r="6858" spans="6:6" ht="15">
      <c r="F6858" s="115">
        <f>+(disponibilidad[[#This Row],[Fecha y hora fin]]-disponibilidad[[#This Row],[Fecha y hora inicio]])*1440</f>
        <v>0</v>
      </c>
    </row>
    <row r="6859" spans="6:6" ht="15">
      <c r="F6859" s="115">
        <f>+(disponibilidad[[#This Row],[Fecha y hora fin]]-disponibilidad[[#This Row],[Fecha y hora inicio]])*1440</f>
        <v>0</v>
      </c>
    </row>
    <row r="6860" spans="6:6" ht="15">
      <c r="F6860" s="115">
        <f>+(disponibilidad[[#This Row],[Fecha y hora fin]]-disponibilidad[[#This Row],[Fecha y hora inicio]])*1440</f>
        <v>0</v>
      </c>
    </row>
    <row r="6861" spans="6:6" ht="15">
      <c r="F6861" s="115">
        <f>+(disponibilidad[[#This Row],[Fecha y hora fin]]-disponibilidad[[#This Row],[Fecha y hora inicio]])*1440</f>
        <v>0</v>
      </c>
    </row>
    <row r="6862" spans="6:6" ht="15">
      <c r="F6862" s="115">
        <f>+(disponibilidad[[#This Row],[Fecha y hora fin]]-disponibilidad[[#This Row],[Fecha y hora inicio]])*1440</f>
        <v>0</v>
      </c>
    </row>
    <row r="6863" spans="6:6" ht="15">
      <c r="F6863" s="115">
        <f>+(disponibilidad[[#This Row],[Fecha y hora fin]]-disponibilidad[[#This Row],[Fecha y hora inicio]])*1440</f>
        <v>0</v>
      </c>
    </row>
    <row r="6864" spans="6:6" ht="15">
      <c r="F6864" s="115">
        <f>+(disponibilidad[[#This Row],[Fecha y hora fin]]-disponibilidad[[#This Row],[Fecha y hora inicio]])*1440</f>
        <v>0</v>
      </c>
    </row>
    <row r="6865" spans="6:6" ht="15">
      <c r="F6865" s="115">
        <f>+(disponibilidad[[#This Row],[Fecha y hora fin]]-disponibilidad[[#This Row],[Fecha y hora inicio]])*1440</f>
        <v>0</v>
      </c>
    </row>
    <row r="6866" spans="6:6" ht="15">
      <c r="F6866" s="115">
        <f>+(disponibilidad[[#This Row],[Fecha y hora fin]]-disponibilidad[[#This Row],[Fecha y hora inicio]])*1440</f>
        <v>0</v>
      </c>
    </row>
    <row r="6867" spans="6:6" ht="15">
      <c r="F6867" s="115">
        <f>+(disponibilidad[[#This Row],[Fecha y hora fin]]-disponibilidad[[#This Row],[Fecha y hora inicio]])*1440</f>
        <v>0</v>
      </c>
    </row>
    <row r="6868" spans="6:6" ht="15">
      <c r="F6868" s="115">
        <f>+(disponibilidad[[#This Row],[Fecha y hora fin]]-disponibilidad[[#This Row],[Fecha y hora inicio]])*1440</f>
        <v>0</v>
      </c>
    </row>
    <row r="6869" spans="6:6" ht="15">
      <c r="F6869" s="115">
        <f>+(disponibilidad[[#This Row],[Fecha y hora fin]]-disponibilidad[[#This Row],[Fecha y hora inicio]])*1440</f>
        <v>0</v>
      </c>
    </row>
    <row r="6870" spans="6:6" ht="15">
      <c r="F6870" s="115">
        <f>+(disponibilidad[[#This Row],[Fecha y hora fin]]-disponibilidad[[#This Row],[Fecha y hora inicio]])*1440</f>
        <v>0</v>
      </c>
    </row>
    <row r="6871" spans="6:6" ht="15">
      <c r="F6871" s="115">
        <f>+(disponibilidad[[#This Row],[Fecha y hora fin]]-disponibilidad[[#This Row],[Fecha y hora inicio]])*1440</f>
        <v>0</v>
      </c>
    </row>
    <row r="6872" spans="6:6" ht="15">
      <c r="F6872" s="115">
        <f>+(disponibilidad[[#This Row],[Fecha y hora fin]]-disponibilidad[[#This Row],[Fecha y hora inicio]])*1440</f>
        <v>0</v>
      </c>
    </row>
    <row r="6873" spans="6:6" ht="15">
      <c r="F6873" s="115">
        <f>+(disponibilidad[[#This Row],[Fecha y hora fin]]-disponibilidad[[#This Row],[Fecha y hora inicio]])*1440</f>
        <v>0</v>
      </c>
    </row>
    <row r="6874" spans="6:6" ht="15">
      <c r="F6874" s="115">
        <f>+(disponibilidad[[#This Row],[Fecha y hora fin]]-disponibilidad[[#This Row],[Fecha y hora inicio]])*1440</f>
        <v>0</v>
      </c>
    </row>
    <row r="6875" spans="6:6" ht="15">
      <c r="F6875" s="115">
        <f>+(disponibilidad[[#This Row],[Fecha y hora fin]]-disponibilidad[[#This Row],[Fecha y hora inicio]])*1440</f>
        <v>0</v>
      </c>
    </row>
    <row r="6876" spans="6:6" ht="15">
      <c r="F6876" s="115">
        <f>+(disponibilidad[[#This Row],[Fecha y hora fin]]-disponibilidad[[#This Row],[Fecha y hora inicio]])*1440</f>
        <v>0</v>
      </c>
    </row>
    <row r="6877" spans="6:6" ht="15">
      <c r="F6877" s="115">
        <f>+(disponibilidad[[#This Row],[Fecha y hora fin]]-disponibilidad[[#This Row],[Fecha y hora inicio]])*1440</f>
        <v>0</v>
      </c>
    </row>
    <row r="6878" spans="6:6" ht="15">
      <c r="F6878" s="115">
        <f>+(disponibilidad[[#This Row],[Fecha y hora fin]]-disponibilidad[[#This Row],[Fecha y hora inicio]])*1440</f>
        <v>0</v>
      </c>
    </row>
    <row r="6879" spans="6:6" ht="15">
      <c r="F6879" s="115">
        <f>+(disponibilidad[[#This Row],[Fecha y hora fin]]-disponibilidad[[#This Row],[Fecha y hora inicio]])*1440</f>
        <v>0</v>
      </c>
    </row>
    <row r="6880" spans="6:6" ht="15">
      <c r="F6880" s="115">
        <f>+(disponibilidad[[#This Row],[Fecha y hora fin]]-disponibilidad[[#This Row],[Fecha y hora inicio]])*1440</f>
        <v>0</v>
      </c>
    </row>
    <row r="6881" spans="6:6" ht="15">
      <c r="F6881" s="115">
        <f>+(disponibilidad[[#This Row],[Fecha y hora fin]]-disponibilidad[[#This Row],[Fecha y hora inicio]])*1440</f>
        <v>0</v>
      </c>
    </row>
    <row r="6882" spans="6:6" ht="15">
      <c r="F6882" s="115">
        <f>+(disponibilidad[[#This Row],[Fecha y hora fin]]-disponibilidad[[#This Row],[Fecha y hora inicio]])*1440</f>
        <v>0</v>
      </c>
    </row>
    <row r="6883" spans="6:6" ht="15">
      <c r="F6883" s="115">
        <f>+(disponibilidad[[#This Row],[Fecha y hora fin]]-disponibilidad[[#This Row],[Fecha y hora inicio]])*1440</f>
        <v>0</v>
      </c>
    </row>
    <row r="6884" spans="6:6" ht="15">
      <c r="F6884" s="115">
        <f>+(disponibilidad[[#This Row],[Fecha y hora fin]]-disponibilidad[[#This Row],[Fecha y hora inicio]])*1440</f>
        <v>0</v>
      </c>
    </row>
    <row r="6885" spans="6:6" ht="15">
      <c r="F6885" s="115">
        <f>+(disponibilidad[[#This Row],[Fecha y hora fin]]-disponibilidad[[#This Row],[Fecha y hora inicio]])*1440</f>
        <v>0</v>
      </c>
    </row>
    <row r="6886" spans="6:6" ht="15">
      <c r="F6886" s="115">
        <f>+(disponibilidad[[#This Row],[Fecha y hora fin]]-disponibilidad[[#This Row],[Fecha y hora inicio]])*1440</f>
        <v>0</v>
      </c>
    </row>
    <row r="6887" spans="6:6" ht="15">
      <c r="F6887" s="115">
        <f>+(disponibilidad[[#This Row],[Fecha y hora fin]]-disponibilidad[[#This Row],[Fecha y hora inicio]])*1440</f>
        <v>0</v>
      </c>
    </row>
    <row r="6888" spans="6:6" ht="15">
      <c r="F6888" s="115">
        <f>+(disponibilidad[[#This Row],[Fecha y hora fin]]-disponibilidad[[#This Row],[Fecha y hora inicio]])*1440</f>
        <v>0</v>
      </c>
    </row>
    <row r="6889" spans="6:6" ht="15">
      <c r="F6889" s="115">
        <f>+(disponibilidad[[#This Row],[Fecha y hora fin]]-disponibilidad[[#This Row],[Fecha y hora inicio]])*1440</f>
        <v>0</v>
      </c>
    </row>
    <row r="6890" spans="6:6" ht="15">
      <c r="F6890" s="115">
        <f>+(disponibilidad[[#This Row],[Fecha y hora fin]]-disponibilidad[[#This Row],[Fecha y hora inicio]])*1440</f>
        <v>0</v>
      </c>
    </row>
    <row r="6891" spans="6:6" ht="15">
      <c r="F6891" s="115">
        <f>+(disponibilidad[[#This Row],[Fecha y hora fin]]-disponibilidad[[#This Row],[Fecha y hora inicio]])*1440</f>
        <v>0</v>
      </c>
    </row>
    <row r="6892" spans="6:6" ht="15">
      <c r="F6892" s="115">
        <f>+(disponibilidad[[#This Row],[Fecha y hora fin]]-disponibilidad[[#This Row],[Fecha y hora inicio]])*1440</f>
        <v>0</v>
      </c>
    </row>
    <row r="6893" spans="6:6" ht="15">
      <c r="F6893" s="115">
        <f>+(disponibilidad[[#This Row],[Fecha y hora fin]]-disponibilidad[[#This Row],[Fecha y hora inicio]])*1440</f>
        <v>0</v>
      </c>
    </row>
    <row r="6894" spans="6:6" ht="15">
      <c r="F6894" s="115">
        <f>+(disponibilidad[[#This Row],[Fecha y hora fin]]-disponibilidad[[#This Row],[Fecha y hora inicio]])*1440</f>
        <v>0</v>
      </c>
    </row>
    <row r="6895" spans="6:6" ht="15">
      <c r="F6895" s="115">
        <f>+(disponibilidad[[#This Row],[Fecha y hora fin]]-disponibilidad[[#This Row],[Fecha y hora inicio]])*1440</f>
        <v>0</v>
      </c>
    </row>
    <row r="6896" spans="6:6" ht="15">
      <c r="F6896" s="115">
        <f>+(disponibilidad[[#This Row],[Fecha y hora fin]]-disponibilidad[[#This Row],[Fecha y hora inicio]])*1440</f>
        <v>0</v>
      </c>
    </row>
    <row r="6897" spans="6:6" ht="15">
      <c r="F6897" s="115">
        <f>+(disponibilidad[[#This Row],[Fecha y hora fin]]-disponibilidad[[#This Row],[Fecha y hora inicio]])*1440</f>
        <v>0</v>
      </c>
    </row>
    <row r="6898" spans="6:6" ht="15">
      <c r="F6898" s="115">
        <f>+(disponibilidad[[#This Row],[Fecha y hora fin]]-disponibilidad[[#This Row],[Fecha y hora inicio]])*1440</f>
        <v>0</v>
      </c>
    </row>
    <row r="6899" spans="6:6" ht="15">
      <c r="F6899" s="115">
        <f>+(disponibilidad[[#This Row],[Fecha y hora fin]]-disponibilidad[[#This Row],[Fecha y hora inicio]])*1440</f>
        <v>0</v>
      </c>
    </row>
    <row r="6900" spans="6:6" ht="15">
      <c r="F6900" s="115">
        <f>+(disponibilidad[[#This Row],[Fecha y hora fin]]-disponibilidad[[#This Row],[Fecha y hora inicio]])*1440</f>
        <v>0</v>
      </c>
    </row>
    <row r="6901" spans="6:6" ht="15">
      <c r="F6901" s="115">
        <f>+(disponibilidad[[#This Row],[Fecha y hora fin]]-disponibilidad[[#This Row],[Fecha y hora inicio]])*1440</f>
        <v>0</v>
      </c>
    </row>
    <row r="6902" spans="6:6" ht="15">
      <c r="F6902" s="115">
        <f>+(disponibilidad[[#This Row],[Fecha y hora fin]]-disponibilidad[[#This Row],[Fecha y hora inicio]])*1440</f>
        <v>0</v>
      </c>
    </row>
    <row r="6903" spans="6:6" ht="15">
      <c r="F6903" s="115">
        <f>+(disponibilidad[[#This Row],[Fecha y hora fin]]-disponibilidad[[#This Row],[Fecha y hora inicio]])*1440</f>
        <v>0</v>
      </c>
    </row>
    <row r="6904" spans="6:6" ht="15">
      <c r="F6904" s="115">
        <f>+(disponibilidad[[#This Row],[Fecha y hora fin]]-disponibilidad[[#This Row],[Fecha y hora inicio]])*1440</f>
        <v>0</v>
      </c>
    </row>
    <row r="6905" spans="6:6" ht="15">
      <c r="F6905" s="115">
        <f>+(disponibilidad[[#This Row],[Fecha y hora fin]]-disponibilidad[[#This Row],[Fecha y hora inicio]])*1440</f>
        <v>0</v>
      </c>
    </row>
    <row r="6906" spans="6:6" ht="15">
      <c r="F6906" s="115">
        <f>+(disponibilidad[[#This Row],[Fecha y hora fin]]-disponibilidad[[#This Row],[Fecha y hora inicio]])*1440</f>
        <v>0</v>
      </c>
    </row>
    <row r="6907" spans="6:6" ht="15">
      <c r="F6907" s="115">
        <f>+(disponibilidad[[#This Row],[Fecha y hora fin]]-disponibilidad[[#This Row],[Fecha y hora inicio]])*1440</f>
        <v>0</v>
      </c>
    </row>
    <row r="6908" spans="6:6" ht="15">
      <c r="F6908" s="115">
        <f>+(disponibilidad[[#This Row],[Fecha y hora fin]]-disponibilidad[[#This Row],[Fecha y hora inicio]])*1440</f>
        <v>0</v>
      </c>
    </row>
    <row r="6909" spans="6:6" ht="15">
      <c r="F6909" s="115">
        <f>+(disponibilidad[[#This Row],[Fecha y hora fin]]-disponibilidad[[#This Row],[Fecha y hora inicio]])*1440</f>
        <v>0</v>
      </c>
    </row>
    <row r="6910" spans="6:6" ht="15">
      <c r="F6910" s="115">
        <f>+(disponibilidad[[#This Row],[Fecha y hora fin]]-disponibilidad[[#This Row],[Fecha y hora inicio]])*1440</f>
        <v>0</v>
      </c>
    </row>
    <row r="6911" spans="6:6" ht="15">
      <c r="F6911" s="115">
        <f>+(disponibilidad[[#This Row],[Fecha y hora fin]]-disponibilidad[[#This Row],[Fecha y hora inicio]])*1440</f>
        <v>0</v>
      </c>
    </row>
    <row r="6912" spans="6:6" ht="15">
      <c r="F6912" s="115">
        <f>+(disponibilidad[[#This Row],[Fecha y hora fin]]-disponibilidad[[#This Row],[Fecha y hora inicio]])*1440</f>
        <v>0</v>
      </c>
    </row>
    <row r="6913" spans="6:6" ht="15">
      <c r="F6913" s="115">
        <f>+(disponibilidad[[#This Row],[Fecha y hora fin]]-disponibilidad[[#This Row],[Fecha y hora inicio]])*1440</f>
        <v>0</v>
      </c>
    </row>
    <row r="6914" spans="6:6" ht="15">
      <c r="F6914" s="115">
        <f>+(disponibilidad[[#This Row],[Fecha y hora fin]]-disponibilidad[[#This Row],[Fecha y hora inicio]])*1440</f>
        <v>0</v>
      </c>
    </row>
    <row r="6915" spans="6:6" ht="15">
      <c r="F6915" s="115">
        <f>+(disponibilidad[[#This Row],[Fecha y hora fin]]-disponibilidad[[#This Row],[Fecha y hora inicio]])*1440</f>
        <v>0</v>
      </c>
    </row>
    <row r="6916" spans="6:6" ht="15">
      <c r="F6916" s="115">
        <f>+(disponibilidad[[#This Row],[Fecha y hora fin]]-disponibilidad[[#This Row],[Fecha y hora inicio]])*1440</f>
        <v>0</v>
      </c>
    </row>
    <row r="6917" spans="6:6" ht="15">
      <c r="F6917" s="115">
        <f>+(disponibilidad[[#This Row],[Fecha y hora fin]]-disponibilidad[[#This Row],[Fecha y hora inicio]])*1440</f>
        <v>0</v>
      </c>
    </row>
    <row r="6918" spans="6:6" ht="15">
      <c r="F6918" s="115">
        <f>+(disponibilidad[[#This Row],[Fecha y hora fin]]-disponibilidad[[#This Row],[Fecha y hora inicio]])*1440</f>
        <v>0</v>
      </c>
    </row>
    <row r="6919" spans="6:6" ht="15">
      <c r="F6919" s="115">
        <f>+(disponibilidad[[#This Row],[Fecha y hora fin]]-disponibilidad[[#This Row],[Fecha y hora inicio]])*1440</f>
        <v>0</v>
      </c>
    </row>
    <row r="6920" spans="6:6" ht="15">
      <c r="F6920" s="115">
        <f>+(disponibilidad[[#This Row],[Fecha y hora fin]]-disponibilidad[[#This Row],[Fecha y hora inicio]])*1440</f>
        <v>0</v>
      </c>
    </row>
    <row r="6921" spans="6:6" ht="15">
      <c r="F6921" s="115">
        <f>+(disponibilidad[[#This Row],[Fecha y hora fin]]-disponibilidad[[#This Row],[Fecha y hora inicio]])*1440</f>
        <v>0</v>
      </c>
    </row>
    <row r="6922" spans="6:6" ht="15">
      <c r="F6922" s="115">
        <f>+(disponibilidad[[#This Row],[Fecha y hora fin]]-disponibilidad[[#This Row],[Fecha y hora inicio]])*1440</f>
        <v>0</v>
      </c>
    </row>
    <row r="6923" spans="6:6" ht="15">
      <c r="F6923" s="115">
        <f>+(disponibilidad[[#This Row],[Fecha y hora fin]]-disponibilidad[[#This Row],[Fecha y hora inicio]])*1440</f>
        <v>0</v>
      </c>
    </row>
    <row r="6924" spans="6:6" ht="15">
      <c r="F6924" s="115">
        <f>+(disponibilidad[[#This Row],[Fecha y hora fin]]-disponibilidad[[#This Row],[Fecha y hora inicio]])*1440</f>
        <v>0</v>
      </c>
    </row>
    <row r="6925" spans="6:6" ht="15">
      <c r="F6925" s="115">
        <f>+(disponibilidad[[#This Row],[Fecha y hora fin]]-disponibilidad[[#This Row],[Fecha y hora inicio]])*1440</f>
        <v>0</v>
      </c>
    </row>
    <row r="6926" spans="6:6" ht="15">
      <c r="F6926" s="115">
        <f>+(disponibilidad[[#This Row],[Fecha y hora fin]]-disponibilidad[[#This Row],[Fecha y hora inicio]])*1440</f>
        <v>0</v>
      </c>
    </row>
    <row r="6927" spans="6:6" ht="15">
      <c r="F6927" s="115">
        <f>+(disponibilidad[[#This Row],[Fecha y hora fin]]-disponibilidad[[#This Row],[Fecha y hora inicio]])*1440</f>
        <v>0</v>
      </c>
    </row>
    <row r="6928" spans="6:6" ht="15">
      <c r="F6928" s="115">
        <f>+(disponibilidad[[#This Row],[Fecha y hora fin]]-disponibilidad[[#This Row],[Fecha y hora inicio]])*1440</f>
        <v>0</v>
      </c>
    </row>
    <row r="6929" spans="6:6" ht="15">
      <c r="F6929" s="115">
        <f>+(disponibilidad[[#This Row],[Fecha y hora fin]]-disponibilidad[[#This Row],[Fecha y hora inicio]])*1440</f>
        <v>0</v>
      </c>
    </row>
    <row r="6930" spans="6:6" ht="15">
      <c r="F6930" s="115">
        <f>+(disponibilidad[[#This Row],[Fecha y hora fin]]-disponibilidad[[#This Row],[Fecha y hora inicio]])*1440</f>
        <v>0</v>
      </c>
    </row>
    <row r="6931" spans="6:6" ht="15">
      <c r="F6931" s="115">
        <f>+(disponibilidad[[#This Row],[Fecha y hora fin]]-disponibilidad[[#This Row],[Fecha y hora inicio]])*1440</f>
        <v>0</v>
      </c>
    </row>
    <row r="6932" spans="6:6" ht="15">
      <c r="F6932" s="115">
        <f>+(disponibilidad[[#This Row],[Fecha y hora fin]]-disponibilidad[[#This Row],[Fecha y hora inicio]])*1440</f>
        <v>0</v>
      </c>
    </row>
    <row r="6933" spans="6:6" ht="15">
      <c r="F6933" s="115">
        <f>+(disponibilidad[[#This Row],[Fecha y hora fin]]-disponibilidad[[#This Row],[Fecha y hora inicio]])*1440</f>
        <v>0</v>
      </c>
    </row>
    <row r="6934" spans="6:6" ht="15">
      <c r="F6934" s="115">
        <f>+(disponibilidad[[#This Row],[Fecha y hora fin]]-disponibilidad[[#This Row],[Fecha y hora inicio]])*1440</f>
        <v>0</v>
      </c>
    </row>
    <row r="6935" spans="6:6" ht="15">
      <c r="F6935" s="115">
        <f>+(disponibilidad[[#This Row],[Fecha y hora fin]]-disponibilidad[[#This Row],[Fecha y hora inicio]])*1440</f>
        <v>0</v>
      </c>
    </row>
    <row r="6936" spans="6:6" ht="15">
      <c r="F6936" s="115">
        <f>+(disponibilidad[[#This Row],[Fecha y hora fin]]-disponibilidad[[#This Row],[Fecha y hora inicio]])*1440</f>
        <v>0</v>
      </c>
    </row>
    <row r="6937" spans="6:6" ht="15">
      <c r="F6937" s="115">
        <f>+(disponibilidad[[#This Row],[Fecha y hora fin]]-disponibilidad[[#This Row],[Fecha y hora inicio]])*1440</f>
        <v>0</v>
      </c>
    </row>
    <row r="6938" spans="6:6" ht="15">
      <c r="F6938" s="115">
        <f>+(disponibilidad[[#This Row],[Fecha y hora fin]]-disponibilidad[[#This Row],[Fecha y hora inicio]])*1440</f>
        <v>0</v>
      </c>
    </row>
    <row r="6939" spans="6:6" ht="15">
      <c r="F6939" s="115">
        <f>+(disponibilidad[[#This Row],[Fecha y hora fin]]-disponibilidad[[#This Row],[Fecha y hora inicio]])*1440</f>
        <v>0</v>
      </c>
    </row>
    <row r="6940" spans="6:6" ht="15">
      <c r="F6940" s="115">
        <f>+(disponibilidad[[#This Row],[Fecha y hora fin]]-disponibilidad[[#This Row],[Fecha y hora inicio]])*1440</f>
        <v>0</v>
      </c>
    </row>
    <row r="6941" spans="6:6" ht="15">
      <c r="F6941" s="115">
        <f>+(disponibilidad[[#This Row],[Fecha y hora fin]]-disponibilidad[[#This Row],[Fecha y hora inicio]])*1440</f>
        <v>0</v>
      </c>
    </row>
    <row r="6942" spans="6:6" ht="15">
      <c r="F6942" s="115">
        <f>+(disponibilidad[[#This Row],[Fecha y hora fin]]-disponibilidad[[#This Row],[Fecha y hora inicio]])*1440</f>
        <v>0</v>
      </c>
    </row>
    <row r="6943" spans="6:6" ht="15">
      <c r="F6943" s="115">
        <f>+(disponibilidad[[#This Row],[Fecha y hora fin]]-disponibilidad[[#This Row],[Fecha y hora inicio]])*1440</f>
        <v>0</v>
      </c>
    </row>
    <row r="6944" spans="6:6" ht="15">
      <c r="F6944" s="115">
        <f>+(disponibilidad[[#This Row],[Fecha y hora fin]]-disponibilidad[[#This Row],[Fecha y hora inicio]])*1440</f>
        <v>0</v>
      </c>
    </row>
    <row r="6945" spans="6:6" ht="15">
      <c r="F6945" s="115">
        <f>+(disponibilidad[[#This Row],[Fecha y hora fin]]-disponibilidad[[#This Row],[Fecha y hora inicio]])*1440</f>
        <v>0</v>
      </c>
    </row>
    <row r="6946" spans="6:6" ht="15">
      <c r="F6946" s="115">
        <f>+(disponibilidad[[#This Row],[Fecha y hora fin]]-disponibilidad[[#This Row],[Fecha y hora inicio]])*1440</f>
        <v>0</v>
      </c>
    </row>
    <row r="6947" spans="6:6" ht="15">
      <c r="F6947" s="115">
        <f>+(disponibilidad[[#This Row],[Fecha y hora fin]]-disponibilidad[[#This Row],[Fecha y hora inicio]])*1440</f>
        <v>0</v>
      </c>
    </row>
    <row r="6948" spans="6:6" ht="15">
      <c r="F6948" s="115">
        <f>+(disponibilidad[[#This Row],[Fecha y hora fin]]-disponibilidad[[#This Row],[Fecha y hora inicio]])*1440</f>
        <v>0</v>
      </c>
    </row>
    <row r="6949" spans="6:6" ht="15">
      <c r="F6949" s="115">
        <f>+(disponibilidad[[#This Row],[Fecha y hora fin]]-disponibilidad[[#This Row],[Fecha y hora inicio]])*1440</f>
        <v>0</v>
      </c>
    </row>
    <row r="6950" spans="6:6" ht="15">
      <c r="F6950" s="115">
        <f>+(disponibilidad[[#This Row],[Fecha y hora fin]]-disponibilidad[[#This Row],[Fecha y hora inicio]])*1440</f>
        <v>0</v>
      </c>
    </row>
    <row r="6951" spans="6:6" ht="15">
      <c r="F6951" s="115">
        <f>+(disponibilidad[[#This Row],[Fecha y hora fin]]-disponibilidad[[#This Row],[Fecha y hora inicio]])*1440</f>
        <v>0</v>
      </c>
    </row>
    <row r="6952" spans="6:6" ht="15">
      <c r="F6952" s="115">
        <f>+(disponibilidad[[#This Row],[Fecha y hora fin]]-disponibilidad[[#This Row],[Fecha y hora inicio]])*1440</f>
        <v>0</v>
      </c>
    </row>
    <row r="6953" spans="6:6" ht="15">
      <c r="F6953" s="115">
        <f>+(disponibilidad[[#This Row],[Fecha y hora fin]]-disponibilidad[[#This Row],[Fecha y hora inicio]])*1440</f>
        <v>0</v>
      </c>
    </row>
    <row r="6954" spans="6:6" ht="15">
      <c r="F6954" s="115">
        <f>+(disponibilidad[[#This Row],[Fecha y hora fin]]-disponibilidad[[#This Row],[Fecha y hora inicio]])*1440</f>
        <v>0</v>
      </c>
    </row>
    <row r="6955" spans="6:6" ht="15">
      <c r="F6955" s="115">
        <f>+(disponibilidad[[#This Row],[Fecha y hora fin]]-disponibilidad[[#This Row],[Fecha y hora inicio]])*1440</f>
        <v>0</v>
      </c>
    </row>
    <row r="6956" spans="6:6" ht="15">
      <c r="F6956" s="115">
        <f>+(disponibilidad[[#This Row],[Fecha y hora fin]]-disponibilidad[[#This Row],[Fecha y hora inicio]])*1440</f>
        <v>0</v>
      </c>
    </row>
    <row r="6957" spans="6:6" ht="15">
      <c r="F6957" s="115">
        <f>+(disponibilidad[[#This Row],[Fecha y hora fin]]-disponibilidad[[#This Row],[Fecha y hora inicio]])*1440</f>
        <v>0</v>
      </c>
    </row>
    <row r="6958" spans="6:6" ht="15">
      <c r="F6958" s="115">
        <f>+(disponibilidad[[#This Row],[Fecha y hora fin]]-disponibilidad[[#This Row],[Fecha y hora inicio]])*1440</f>
        <v>0</v>
      </c>
    </row>
    <row r="6959" spans="6:6" ht="15">
      <c r="F6959" s="115">
        <f>+(disponibilidad[[#This Row],[Fecha y hora fin]]-disponibilidad[[#This Row],[Fecha y hora inicio]])*1440</f>
        <v>0</v>
      </c>
    </row>
    <row r="6960" spans="6:6" ht="15">
      <c r="F6960" s="115">
        <f>+(disponibilidad[[#This Row],[Fecha y hora fin]]-disponibilidad[[#This Row],[Fecha y hora inicio]])*1440</f>
        <v>0</v>
      </c>
    </row>
    <row r="6961" spans="6:6" ht="15">
      <c r="F6961" s="115">
        <f>+(disponibilidad[[#This Row],[Fecha y hora fin]]-disponibilidad[[#This Row],[Fecha y hora inicio]])*1440</f>
        <v>0</v>
      </c>
    </row>
    <row r="6962" spans="6:6" ht="15">
      <c r="F6962" s="115">
        <f>+(disponibilidad[[#This Row],[Fecha y hora fin]]-disponibilidad[[#This Row],[Fecha y hora inicio]])*1440</f>
        <v>0</v>
      </c>
    </row>
    <row r="6963" spans="6:6" ht="15">
      <c r="F6963" s="115">
        <f>+(disponibilidad[[#This Row],[Fecha y hora fin]]-disponibilidad[[#This Row],[Fecha y hora inicio]])*1440</f>
        <v>0</v>
      </c>
    </row>
    <row r="6964" spans="6:6" ht="15">
      <c r="F6964" s="115">
        <f>+(disponibilidad[[#This Row],[Fecha y hora fin]]-disponibilidad[[#This Row],[Fecha y hora inicio]])*1440</f>
        <v>0</v>
      </c>
    </row>
    <row r="6965" spans="6:6" ht="15">
      <c r="F6965" s="115">
        <f>+(disponibilidad[[#This Row],[Fecha y hora fin]]-disponibilidad[[#This Row],[Fecha y hora inicio]])*1440</f>
        <v>0</v>
      </c>
    </row>
    <row r="6966" spans="6:6" ht="15">
      <c r="F6966" s="115">
        <f>+(disponibilidad[[#This Row],[Fecha y hora fin]]-disponibilidad[[#This Row],[Fecha y hora inicio]])*1440</f>
        <v>0</v>
      </c>
    </row>
    <row r="6967" spans="6:6" ht="15">
      <c r="F6967" s="115">
        <f>+(disponibilidad[[#This Row],[Fecha y hora fin]]-disponibilidad[[#This Row],[Fecha y hora inicio]])*1440</f>
        <v>0</v>
      </c>
    </row>
    <row r="6968" spans="6:6" ht="15">
      <c r="F6968" s="115">
        <f>+(disponibilidad[[#This Row],[Fecha y hora fin]]-disponibilidad[[#This Row],[Fecha y hora inicio]])*1440</f>
        <v>0</v>
      </c>
    </row>
    <row r="6969" spans="6:6" ht="15">
      <c r="F6969" s="115">
        <f>+(disponibilidad[[#This Row],[Fecha y hora fin]]-disponibilidad[[#This Row],[Fecha y hora inicio]])*1440</f>
        <v>0</v>
      </c>
    </row>
    <row r="6970" spans="6:6" ht="15">
      <c r="F6970" s="115">
        <f>+(disponibilidad[[#This Row],[Fecha y hora fin]]-disponibilidad[[#This Row],[Fecha y hora inicio]])*1440</f>
        <v>0</v>
      </c>
    </row>
    <row r="6971" spans="6:6" ht="15">
      <c r="F6971" s="115">
        <f>+(disponibilidad[[#This Row],[Fecha y hora fin]]-disponibilidad[[#This Row],[Fecha y hora inicio]])*1440</f>
        <v>0</v>
      </c>
    </row>
    <row r="6972" spans="6:6" ht="15">
      <c r="F6972" s="115">
        <f>+(disponibilidad[[#This Row],[Fecha y hora fin]]-disponibilidad[[#This Row],[Fecha y hora inicio]])*1440</f>
        <v>0</v>
      </c>
    </row>
    <row r="6973" spans="6:6" ht="15">
      <c r="F6973" s="115">
        <f>+(disponibilidad[[#This Row],[Fecha y hora fin]]-disponibilidad[[#This Row],[Fecha y hora inicio]])*1440</f>
        <v>0</v>
      </c>
    </row>
    <row r="6974" spans="6:6" ht="15">
      <c r="F6974" s="115">
        <f>+(disponibilidad[[#This Row],[Fecha y hora fin]]-disponibilidad[[#This Row],[Fecha y hora inicio]])*1440</f>
        <v>0</v>
      </c>
    </row>
    <row r="6975" spans="6:6" ht="15">
      <c r="F6975" s="115">
        <f>+(disponibilidad[[#This Row],[Fecha y hora fin]]-disponibilidad[[#This Row],[Fecha y hora inicio]])*1440</f>
        <v>0</v>
      </c>
    </row>
    <row r="6976" spans="6:6" ht="15">
      <c r="F6976" s="115">
        <f>+(disponibilidad[[#This Row],[Fecha y hora fin]]-disponibilidad[[#This Row],[Fecha y hora inicio]])*1440</f>
        <v>0</v>
      </c>
    </row>
    <row r="6977" spans="2:28" ht="15">
      <c r="F6977" s="115">
        <f>+(disponibilidad[[#This Row],[Fecha y hora fin]]-disponibilidad[[#This Row],[Fecha y hora inicio]])*1440</f>
        <v>0</v>
      </c>
    </row>
    <row r="6978" spans="2:28" ht="15">
      <c r="F6978" s="115">
        <f>+(disponibilidad[[#This Row],[Fecha y hora fin]]-disponibilidad[[#This Row],[Fecha y hora inicio]])*1440</f>
        <v>0</v>
      </c>
    </row>
    <row r="6979" spans="2:28" ht="15">
      <c r="F6979" s="115">
        <f>+(disponibilidad[[#This Row],[Fecha y hora fin]]-disponibilidad[[#This Row],[Fecha y hora inicio]])*1440</f>
        <v>0</v>
      </c>
    </row>
    <row r="6980" spans="2:28" ht="15">
      <c r="F6980" s="115">
        <f>+(disponibilidad[[#This Row],[Fecha y hora fin]]-disponibilidad[[#This Row],[Fecha y hora inicio]])*1440</f>
        <v>0</v>
      </c>
    </row>
    <row r="6981" spans="2:28" ht="15">
      <c r="F6981" s="115">
        <f>+(disponibilidad[[#This Row],[Fecha y hora fin]]-disponibilidad[[#This Row],[Fecha y hora inicio]])*1440</f>
        <v>0</v>
      </c>
    </row>
    <row r="6982" spans="2:28" ht="15">
      <c r="F6982" s="115">
        <f>+(disponibilidad[[#This Row],[Fecha y hora fin]]-disponibilidad[[#This Row],[Fecha y hora inicio]])*1440</f>
        <v>0</v>
      </c>
    </row>
    <row r="6983" spans="2:28" ht="15">
      <c r="F6983" s="115">
        <f>+(disponibilidad[[#This Row],[Fecha y hora fin]]-disponibilidad[[#This Row],[Fecha y hora inicio]])*1440</f>
        <v>0</v>
      </c>
    </row>
    <row r="6984" spans="2:28" ht="15">
      <c r="F6984" s="115">
        <f>+(disponibilidad[[#This Row],[Fecha y hora fin]]-disponibilidad[[#This Row],[Fecha y hora inicio]])*1440</f>
        <v>0</v>
      </c>
    </row>
    <row r="6985" spans="2:28" ht="15">
      <c r="B6985" s="34"/>
      <c r="F6985" s="115">
        <f>+(disponibilidad[[#This Row],[Fecha y hora fin]]-disponibilidad[[#This Row],[Fecha y hora inicio]])*1440</f>
        <v>0</v>
      </c>
      <c r="AA6985" s="34"/>
      <c r="AB6985" s="34"/>
    </row>
    <row r="6986" spans="2:28" ht="15">
      <c r="F6986" s="115">
        <f>+(disponibilidad[[#This Row],[Fecha y hora fin]]-disponibilidad[[#This Row],[Fecha y hora inicio]])*1440</f>
        <v>0</v>
      </c>
    </row>
    <row r="6987" spans="2:28" ht="15">
      <c r="F6987" s="115">
        <f>+(disponibilidad[[#This Row],[Fecha y hora fin]]-disponibilidad[[#This Row],[Fecha y hora inicio]])*1440</f>
        <v>0</v>
      </c>
    </row>
    <row r="6988" spans="2:28" ht="15">
      <c r="F6988" s="115">
        <f>+(disponibilidad[[#This Row],[Fecha y hora fin]]-disponibilidad[[#This Row],[Fecha y hora inicio]])*1440</f>
        <v>0</v>
      </c>
    </row>
    <row r="6989" spans="2:28" ht="15">
      <c r="F6989" s="115">
        <f>+(disponibilidad[[#This Row],[Fecha y hora fin]]-disponibilidad[[#This Row],[Fecha y hora inicio]])*1440</f>
        <v>0</v>
      </c>
    </row>
    <row r="6990" spans="2:28" ht="31.5" customHeight="1">
      <c r="F6990" s="115">
        <f>+(disponibilidad[[#This Row],[Fecha y hora fin]]-disponibilidad[[#This Row],[Fecha y hora inicio]])*1440</f>
        <v>0</v>
      </c>
    </row>
    <row r="6991" spans="2:28" ht="36" customHeight="1">
      <c r="F6991" s="115">
        <f>+(disponibilidad[[#This Row],[Fecha y hora fin]]-disponibilidad[[#This Row],[Fecha y hora inicio]])*1440</f>
        <v>0</v>
      </c>
    </row>
    <row r="6992" spans="2:28" ht="25.5" customHeight="1">
      <c r="F6992" s="115">
        <f>+(disponibilidad[[#This Row],[Fecha y hora fin]]-disponibilidad[[#This Row],[Fecha y hora inicio]])*1440</f>
        <v>0</v>
      </c>
    </row>
    <row r="6993" spans="1:28" ht="15">
      <c r="F6993" s="115">
        <f>+(disponibilidad[[#This Row],[Fecha y hora fin]]-disponibilidad[[#This Row],[Fecha y hora inicio]])*1440</f>
        <v>0</v>
      </c>
    </row>
    <row r="6994" spans="1:28" ht="15">
      <c r="F6994" s="115">
        <f>+(disponibilidad[[#This Row],[Fecha y hora fin]]-disponibilidad[[#This Row],[Fecha y hora inicio]])*1440</f>
        <v>0</v>
      </c>
    </row>
    <row r="6995" spans="1:28" ht="15">
      <c r="F6995" s="115">
        <f>+(disponibilidad[[#This Row],[Fecha y hora fin]]-disponibilidad[[#This Row],[Fecha y hora inicio]])*1440</f>
        <v>0</v>
      </c>
    </row>
    <row r="6996" spans="1:28" ht="28.5" customHeight="1">
      <c r="F6996" s="115">
        <f>+(disponibilidad[[#This Row],[Fecha y hora fin]]-disponibilidad[[#This Row],[Fecha y hora inicio]])*1440</f>
        <v>0</v>
      </c>
    </row>
    <row r="6997" spans="1:28" ht="28.5" customHeight="1">
      <c r="D6997" s="292"/>
      <c r="E6997" s="292"/>
      <c r="F6997" s="115">
        <f>+(disponibilidad[[#This Row],[Fecha y hora fin]]-disponibilidad[[#This Row],[Fecha y hora inicio]])*1440</f>
        <v>0</v>
      </c>
      <c r="M6997" s="197"/>
      <c r="N6997" s="197"/>
      <c r="O6997" s="197"/>
      <c r="P6997" s="197"/>
      <c r="Q6997" s="197"/>
      <c r="R6997" s="197"/>
      <c r="S6997" s="197"/>
      <c r="T6997" s="197"/>
      <c r="U6997" s="197"/>
      <c r="V6997" s="197"/>
      <c r="W6997" s="197"/>
      <c r="AA6997" s="170"/>
      <c r="AB6997" s="34"/>
    </row>
    <row r="6998" spans="1:28" ht="28.5" customHeight="1">
      <c r="A6998" s="300"/>
      <c r="B6998" s="300"/>
      <c r="C6998" s="300"/>
      <c r="F6998" s="115">
        <f>+(disponibilidad[[#This Row],[Fecha y hora fin]]-disponibilidad[[#This Row],[Fecha y hora inicio]])*1440</f>
        <v>0</v>
      </c>
      <c r="G6998" s="300"/>
    </row>
  </sheetData>
  <sheetProtection formatCells="0" formatColumns="0" formatRows="0" insertRows="0" insertHyperlinks="0" deleteRows="0" sort="0" autoFilter="0" pivotTables="0"/>
  <mergeCells count="7">
    <mergeCell ref="M5:S5"/>
    <mergeCell ref="T5:W5"/>
    <mergeCell ref="H5:J5"/>
    <mergeCell ref="A1:B3"/>
    <mergeCell ref="C1:Z1"/>
    <mergeCell ref="C2:Z2"/>
    <mergeCell ref="C3:Z3"/>
  </mergeCells>
  <phoneticPr fontId="3" type="noConversion"/>
  <dataValidations count="5">
    <dataValidation type="list" allowBlank="1" showInputMessage="1" showErrorMessage="1" errorTitle="!!No Escriban ni modifique!!" error="debe seleccionar valores de la lista desplegable" sqref="H6997:W6997 T167:U168 T175:U177 T183:U186 V177 W164 T170:U170 T181:U181 T179:V180 T182:V182 M187:V188 M165:W166 L164:U164 L190:W190 L189:U189 W167:W189 H217:W379 H165:L188 M167:S186 H200:S200 W200:W216 H201:V216 M195:W199 M191:U194 W191:W194 H189:K199 L191:L199 Q39:R43 K7:R38 S7:W43 K39:P47 Q44:W53 L48:P53 K48:K164 H7:J164 L54:W163" xr:uid="{A7D055F6-B0E2-48F4-9074-64BA0E85FC53}">
      <formula1>Afecta</formula1>
    </dataValidation>
    <dataValidation type="list" allowBlank="1" showInputMessage="1" showErrorMessage="1" sqref="G515:G517 G520:G6994 G160:G379 G7:G157" xr:uid="{6C7CD09A-C577-4051-A6BE-7C480CD4FDC9}">
      <formula1>Tipo_Afect</formula1>
    </dataValidation>
    <dataValidation type="list" allowBlank="1" showInputMessage="1" showErrorMessage="1" sqref="X516:X517 X520:X6994" xr:uid="{565FD159-ACC0-4707-80DA-ED41284EBCE2}">
      <formula1>Res_Falla</formula1>
    </dataValidation>
    <dataValidation type="list" allowBlank="1" showInputMessage="1" showErrorMessage="1" sqref="W576 H516:W517 H576:U576 H520:W575 H577:W6994" xr:uid="{ACFDCBEE-6CED-4949-A430-34B025B0AA08}">
      <formula1>Afecta</formula1>
    </dataValidation>
    <dataValidation type="list" allowBlank="1" showInputMessage="1" showErrorMessage="1" errorTitle="!!No Escriban ni modifique!!" error="debe seleccionar valores de la lista desplegable" sqref="X160:X379 X7:X158" xr:uid="{3AF759A0-FD21-4D09-86ED-24425C2538AA}">
      <formula1>Res_Falla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98DFF1DC-710F-47A4-A8C7-33358B4F107A}">
          <x14:formula1>
            <xm:f>Maestro!$D$60:$D$81</xm:f>
          </x14:formula1>
          <xm:sqref>AB516:AB517 AB520:AB6994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6FAD-6FD9-464A-A155-04284D5E76B7}">
  <sheetPr codeName="Hoja9"/>
  <dimension ref="B1:Y19"/>
  <sheetViews>
    <sheetView showGridLines="0" topLeftCell="Y1" zoomScaleNormal="100" workbookViewId="0">
      <selection activeCell="AG19" sqref="AG19"/>
    </sheetView>
  </sheetViews>
  <sheetFormatPr defaultColWidth="11.42578125" defaultRowHeight="15"/>
  <cols>
    <col min="2" max="2" width="11.42578125" bestFit="1" customWidth="1"/>
    <col min="3" max="3" width="8.28515625" style="5" bestFit="1" customWidth="1"/>
    <col min="4" max="5" width="8" style="6" bestFit="1" customWidth="1"/>
    <col min="6" max="6" width="10" style="6" customWidth="1"/>
    <col min="7" max="7" width="8.85546875" style="6" customWidth="1"/>
    <col min="8" max="9" width="7.7109375" style="6" customWidth="1"/>
    <col min="10" max="10" width="10.7109375" style="6" customWidth="1"/>
    <col min="11" max="11" width="8.28515625" style="6" customWidth="1"/>
    <col min="12" max="12" width="8.7109375" customWidth="1"/>
    <col min="13" max="13" width="9" customWidth="1"/>
    <col min="14" max="14" width="8" bestFit="1" customWidth="1"/>
    <col min="15" max="15" width="9" customWidth="1"/>
    <col min="16" max="16" width="11.85546875" customWidth="1"/>
    <col min="17" max="17" width="7.5703125" customWidth="1"/>
    <col min="18" max="18" width="10.5703125" customWidth="1"/>
    <col min="19" max="19" width="6.85546875" customWidth="1"/>
    <col min="24" max="24" width="17" customWidth="1"/>
  </cols>
  <sheetData>
    <row r="1" spans="2:25" ht="18" customHeight="1">
      <c r="C1" s="324"/>
      <c r="D1" s="325"/>
      <c r="E1" s="330" t="s">
        <v>156</v>
      </c>
      <c r="F1" s="331"/>
      <c r="G1" s="331"/>
      <c r="H1" s="331"/>
      <c r="I1" s="331"/>
      <c r="J1" s="331"/>
      <c r="K1" s="332"/>
      <c r="L1" s="180" t="s">
        <v>0</v>
      </c>
      <c r="M1" s="180"/>
      <c r="N1" s="333" t="s">
        <v>1</v>
      </c>
      <c r="O1" s="334"/>
      <c r="P1" s="335"/>
    </row>
    <row r="2" spans="2:25" ht="15.75" customHeight="1">
      <c r="C2" s="326"/>
      <c r="D2" s="327"/>
      <c r="E2" s="336" t="s">
        <v>2</v>
      </c>
      <c r="F2" s="337"/>
      <c r="G2" s="337"/>
      <c r="H2" s="337"/>
      <c r="I2" s="337"/>
      <c r="J2" s="337"/>
      <c r="K2" s="338"/>
      <c r="L2" s="181" t="s">
        <v>3</v>
      </c>
      <c r="M2" s="181"/>
      <c r="N2" s="181">
        <v>0</v>
      </c>
      <c r="O2" s="181"/>
      <c r="P2" s="181"/>
    </row>
    <row r="3" spans="2:25" ht="15.75" customHeight="1">
      <c r="C3" s="328"/>
      <c r="D3" s="329"/>
      <c r="E3" s="333" t="s">
        <v>4</v>
      </c>
      <c r="F3" s="334"/>
      <c r="G3" s="334"/>
      <c r="H3" s="334"/>
      <c r="I3" s="334"/>
      <c r="J3" s="334"/>
      <c r="K3" s="335"/>
      <c r="L3" s="180" t="s">
        <v>5</v>
      </c>
      <c r="M3" s="180"/>
      <c r="N3" s="339">
        <v>45525</v>
      </c>
      <c r="O3" s="340"/>
      <c r="P3" s="341"/>
    </row>
    <row r="5" spans="2:25" ht="31.5" customHeight="1">
      <c r="B5" s="344" t="s">
        <v>9</v>
      </c>
      <c r="C5" s="344" t="s">
        <v>157</v>
      </c>
      <c r="D5" s="347" t="s">
        <v>158</v>
      </c>
      <c r="E5" s="348"/>
      <c r="F5" s="342" t="s">
        <v>159</v>
      </c>
      <c r="G5" s="347" t="s">
        <v>160</v>
      </c>
      <c r="H5" s="348"/>
      <c r="I5" s="348"/>
      <c r="J5" s="348"/>
      <c r="K5" s="342" t="s">
        <v>161</v>
      </c>
      <c r="L5" s="350" t="s">
        <v>162</v>
      </c>
      <c r="M5" s="351"/>
      <c r="N5" s="352"/>
      <c r="O5" s="353" t="s">
        <v>161</v>
      </c>
      <c r="P5" s="356" t="s">
        <v>163</v>
      </c>
      <c r="Q5" s="356"/>
      <c r="R5" s="357" t="s">
        <v>164</v>
      </c>
      <c r="S5" s="357"/>
    </row>
    <row r="6" spans="2:25" ht="66" customHeight="1">
      <c r="B6" s="345"/>
      <c r="C6" s="346"/>
      <c r="D6" s="15" t="s">
        <v>16</v>
      </c>
      <c r="E6" s="15" t="s">
        <v>17</v>
      </c>
      <c r="F6" s="343"/>
      <c r="G6" s="15" t="s">
        <v>28</v>
      </c>
      <c r="H6" s="15" t="s">
        <v>29</v>
      </c>
      <c r="I6" s="15" t="s">
        <v>30</v>
      </c>
      <c r="J6" s="15" t="s">
        <v>31</v>
      </c>
      <c r="K6" s="343"/>
      <c r="L6" s="11" t="s">
        <v>29</v>
      </c>
      <c r="M6" s="11" t="s">
        <v>30</v>
      </c>
      <c r="N6" s="11" t="s">
        <v>31</v>
      </c>
      <c r="O6" s="354"/>
      <c r="P6" s="358" t="s">
        <v>165</v>
      </c>
      <c r="Q6" s="358" t="s">
        <v>166</v>
      </c>
      <c r="R6" s="360" t="s">
        <v>165</v>
      </c>
      <c r="S6" s="360" t="s">
        <v>166</v>
      </c>
    </row>
    <row r="7" spans="2:25" s="19" customFormat="1" ht="18.75" customHeight="1">
      <c r="B7" s="346"/>
      <c r="C7" s="17" t="s">
        <v>167</v>
      </c>
      <c r="D7" s="58">
        <v>0.97</v>
      </c>
      <c r="E7" s="58">
        <v>0.03</v>
      </c>
      <c r="F7" s="349"/>
      <c r="G7" s="58">
        <v>0.56999999999999995</v>
      </c>
      <c r="H7" s="58">
        <v>0.03</v>
      </c>
      <c r="I7" s="58">
        <v>0.1</v>
      </c>
      <c r="J7" s="58">
        <v>0.3</v>
      </c>
      <c r="K7" s="59">
        <f>SUM(G7:J7)</f>
        <v>1</v>
      </c>
      <c r="L7" s="18"/>
      <c r="M7" s="18"/>
      <c r="N7" s="18"/>
      <c r="O7" s="355"/>
      <c r="P7" s="359"/>
      <c r="Q7" s="359"/>
      <c r="R7" s="361"/>
      <c r="S7" s="361"/>
      <c r="X7" s="274" t="s">
        <v>168</v>
      </c>
      <c r="Y7" s="274" t="s">
        <v>169</v>
      </c>
    </row>
    <row r="8" spans="2:25">
      <c r="B8" s="7" t="s">
        <v>37</v>
      </c>
      <c r="C8" s="8">
        <f>VLOOKUP(B8,Maestro!$A$7:$D$19,4,FALSE)</f>
        <v>44640</v>
      </c>
      <c r="D8" s="9">
        <f>+(($C8-(SUMIFS(disponibilidad[Tiempo falla 
(en Mintuos)],disponibilidad[JADE],"SI",disponibilidad[Mes],$B8,disponibilidad[[Tipo de afectación ]],"caÍda total",disponibilidad[Responsable Falla],"Matrix Tech",disponibilidad[Suchance - Huila],"SI")))/$C8)*100</f>
        <v>99.8700716845633</v>
      </c>
      <c r="E8" s="9">
        <f>+(($C8-(SUMIFS(disponibilidad[Tiempo falla 
(en Mintuos)],disponibilidad[SIGA],"SI",disponibilidad[Mes],$B8,disponibilidad[[Tipo de afectación ]],"caÍda total",disponibilidad[Responsable Falla],"Matrix Tech",disponibilidad[Suchance - Huila],"SI")))/$C8)*100</f>
        <v>100</v>
      </c>
      <c r="F8" s="13">
        <f t="shared" ref="F8:F19" si="0">SUMPRODUCT($D$7:$E$7,D8:E8)/$K$7</f>
        <v>99.873969534026401</v>
      </c>
      <c r="G8" s="9">
        <f>+(($C8-(SUMIFS(disponibilidad[Tiempo falla 
(en Mintuos)],disponibilidad[Apuestas - Chance],"SI",disponibilidad[Mes],$B8,disponibilidad[[Tipo de afectación ]],"caÍda total",disponibilidad[Responsable Falla],"Matrix Tech",disponibilidad[Suchance - Huila],"SI")))/$C8)*100</f>
        <v>99.8700716845633</v>
      </c>
      <c r="H8" s="9">
        <f>+(($C8-(SUMIFS(disponibilidad[Tiempo falla 
(en Mintuos)],disponibilidad[PAGOS],"SI",disponibilidad[Mes],$B8,disponibilidad[[Tipo de afectación ]],"caÍda total",disponibilidad[Responsable Falla],"Matrix Tech",disponibilidad[Suchance - Huila],"SI")))/$C8)*100</f>
        <v>99.8700716845633</v>
      </c>
      <c r="I8" s="9">
        <f>+(($C8-(SUMIFS(disponibilidad[Tiempo falla 
(en Mintuos)],disponibilidad[RECAUDOS],"SI",disponibilidad[Mes],$B8,disponibilidad[[Tipo de afectación ]],"caÍda total",disponibilidad[Responsable Falla],"Matrix Tech",disponibilidad[Suchance - Huila],"SI")))/$C8)*100</f>
        <v>99.8700716845633</v>
      </c>
      <c r="J8" s="9">
        <f>+(($C8-(SUMIFS(disponibilidad[Tiempo falla 
(en Mintuos)],disponibilidad[RECARGAS],"SI",disponibilidad[Mes],$B8,disponibilidad[[Tipo de afectación ]],"caÍda total",disponibilidad[Responsable Falla],"Matrix Tech",disponibilidad[Suchance - Huila],"SI")))/$C8)*100</f>
        <v>99.8700716845633</v>
      </c>
      <c r="K8" s="13">
        <f t="shared" ref="K8:K19" si="1">SUMPRODUCT($G$7:$J$7,G8:J8)/$K$7</f>
        <v>99.8700716845633</v>
      </c>
      <c r="L8" s="9">
        <f>+(($C8-(SUMIFS(disponibilidad[Tiempo falla 
(en Mintuos)],disponibilidad[PAGOS],"SI",disponibilidad[Mes],$B8,disponibilidad[[Tipo de afectación ]],"caÍda total",disponibilidad[Responsable Falla],"Aliados o terceros",disponibilidad[Suchance - Huila],"SI")))/$C8)*100</f>
        <v>100</v>
      </c>
      <c r="M8" s="9">
        <f>+(($C8-(SUMIFS(disponibilidad[Tiempo falla 
(en Mintuos)],disponibilidad[RECAUDOS],"SI",disponibilidad[Mes],$B8,disponibilidad[[Tipo de afectación ]],"caÍda total",disponibilidad[Responsable Falla],"Aliados o terceros",disponibilidad[Suchance - Huila],"SI")))/$C8)*100</f>
        <v>100</v>
      </c>
      <c r="N8" s="9">
        <f>+(($C8-(SUMIFS(disponibilidad[Tiempo falla 
(en Mintuos)],disponibilidad[RECARGAS],"SI",disponibilidad[Mes],$B8,disponibilidad[[Tipo de afectación ]],"caÍda total",disponibilidad[Responsable Falla],"Aliados o terceros",disponibilidad[Suchance - Huila],"SI")))/$C8)*100</f>
        <v>100</v>
      </c>
      <c r="O8" s="13">
        <f t="shared" ref="O8:O19" si="2">AVERAGE(L8:N8)</f>
        <v>100</v>
      </c>
      <c r="P8" s="12">
        <f>SUMIFS(disponibilidad[Tiempo falla 
(en Mintuos)],disponibilidad[Mes],$B8,disponibilidad[[Tipo de afectación ]],"caÍda total",disponibilidad[Responsable Falla],"Matrix Tech",disponibilidad[Suchance - Huila],"SI")</f>
        <v>58.00000001094304</v>
      </c>
      <c r="Q8" s="14">
        <f>+$P$8/$C$8</f>
        <v>1.2992831543670036E-3</v>
      </c>
      <c r="R8" s="12">
        <f>SUMIFS(disponibilidad[Tiempo falla 
(en Mintuos)],disponibilidad[Mes],$B8,disponibilidad[[Tipo de afectación ]],"caÍda total",disponibilidad[Responsable Falla],"Aliados o terceros",disponibilidad[Acertemos - Cauca],"SI")</f>
        <v>0</v>
      </c>
      <c r="S8" s="14">
        <f t="shared" ref="S8:S19" si="3">+$R$8/$C$8</f>
        <v>0</v>
      </c>
      <c r="X8" s="129"/>
    </row>
    <row r="9" spans="2:25">
      <c r="B9" s="10" t="s">
        <v>91</v>
      </c>
      <c r="C9" s="8">
        <f>VLOOKUP(B9,Maestro!$A$7:$D$19,4,FALSE)</f>
        <v>41760</v>
      </c>
      <c r="D9" s="9">
        <f>+(($C9-(SUMIFS(disponibilidad[Tiempo falla 
(en Mintuos)],disponibilidad[JADE],"SI",disponibilidad[Mes],$B9,disponibilidad[[Tipo de afectación ]],"caÍda total",disponibilidad[Responsable Falla],"Matrix Tech",disponibilidad[Suchance - Huila],"SI")))/$C9)*100</f>
        <v>99.810823754799856</v>
      </c>
      <c r="E9" s="9">
        <f>+(($C9-(SUMIFS(disponibilidad[Tiempo falla 
(en Mintuos)],disponibilidad[SIGA],"SI",disponibilidad[Mes],$B9,disponibilidad[[Tipo de afectación ]],"caÍda total",disponibilidad[Responsable Falla],"Matrix Tech",disponibilidad[Suchance - Huila],"SI")))/$C9)*100</f>
        <v>100</v>
      </c>
      <c r="F9" s="13">
        <f t="shared" si="0"/>
        <v>99.816499042155854</v>
      </c>
      <c r="G9" s="9">
        <f>+(($C9-(SUMIFS(disponibilidad[Tiempo falla 
(en Mintuos)],disponibilidad[Apuestas - Chance],"SI",disponibilidad[Mes],$B9,disponibilidad[[Tipo de afectación ]],"caÍda total",disponibilidad[Responsable Falla],"Matrix Tech",disponibilidad[Suchance - Huila],"SI")))/$C9)*100</f>
        <v>99.810823754799856</v>
      </c>
      <c r="H9" s="9">
        <f>+(($C9-(SUMIFS(disponibilidad[Tiempo falla 
(en Mintuos)],disponibilidad[PAGOS],"SI",disponibilidad[Mes],$B9,disponibilidad[[Tipo de afectación ]],"caÍda total",disponibilidad[Responsable Falla],"Matrix Tech",disponibilidad[Suchance - Huila],"SI")))/$C9)*100</f>
        <v>99.810823754799856</v>
      </c>
      <c r="I9" s="9">
        <f>+(($C9-(SUMIFS(disponibilidad[Tiempo falla 
(en Mintuos)],disponibilidad[RECAUDOS],"SI",disponibilidad[Mes],$B9,disponibilidad[[Tipo de afectación ]],"caÍda total",disponibilidad[Responsable Falla],"Matrix Tech",disponibilidad[Suchance - Huila],"SI")))/$C9)*100</f>
        <v>99.810823754799856</v>
      </c>
      <c r="J9" s="9">
        <f>+(($C9-(SUMIFS(disponibilidad[Tiempo falla 
(en Mintuos)],disponibilidad[RECARGAS],"SI",disponibilidad[Mes],$B9,disponibilidad[[Tipo de afectación ]],"caÍda total",disponibilidad[Responsable Falla],"Matrix Tech",disponibilidad[Suchance - Huila],"SI")))/$C9)*100</f>
        <v>99.810823754799856</v>
      </c>
      <c r="K9" s="13">
        <f t="shared" si="1"/>
        <v>99.810823754799856</v>
      </c>
      <c r="L9" s="9">
        <f>+(($C9-(SUMIFS(disponibilidad[Tiempo falla 
(en Mintuos)],disponibilidad[PAGOS],"SI",disponibilidad[Mes],$B9,disponibilidad[[Tipo de afectación ]],"caÍda total",disponibilidad[Responsable Falla],"Aliados o terceros",disponibilidad[Acertemos - Cauca],"SI")))/$C9)*100</f>
        <v>100</v>
      </c>
      <c r="M9" s="9">
        <f>+(($C9-(SUMIFS(disponibilidad[Tiempo falla 
(en Mintuos)],disponibilidad[RECAUDOS],"SI",disponibilidad[Mes],$B9,disponibilidad[[Tipo de afectación ]],"caÍda total",disponibilidad[Responsable Falla],"Aliados o terceros",disponibilidad[Acertemos - Cauca],"SI")))/$C9)*100</f>
        <v>100</v>
      </c>
      <c r="N9" s="9">
        <f>+(($C9-(SUMIFS(disponibilidad[Tiempo falla 
(en Mintuos)],disponibilidad[RECARGAS],"SI",disponibilidad[Mes],$B9,disponibilidad[[Tipo de afectación ]],"caÍda total",disponibilidad[Responsable Falla],"Aliados o terceros",disponibilidad[Acertemos - Cauca],"SI")))/$C9)*100</f>
        <v>100</v>
      </c>
      <c r="O9" s="13">
        <f t="shared" si="2"/>
        <v>100</v>
      </c>
      <c r="P9" s="12">
        <f>SUMIFS(disponibilidad[Tiempo falla 
(en Mintuos)],disponibilidad[Mes],$B9,disponibilidad[[Tipo de afectación ]],"caÍda total",disponibilidad[Responsable Falla],"Matrix Tech",disponibilidad[Suchance - Huila],"SI")</f>
        <v>78.999999995576218</v>
      </c>
      <c r="Q9" s="14">
        <f t="shared" ref="Q9:Q19" si="4">+P9/C9</f>
        <v>1.8917624520013462E-3</v>
      </c>
      <c r="R9" s="12">
        <f>SUMIFS(disponibilidad[Tiempo falla 
(en Mintuos)],disponibilidad[Mes],$B9,disponibilidad[[Tipo de afectación ]],"caÍda total",disponibilidad[Responsable Falla],"Aliados o terceros",disponibilidad[Acertemos - Cauca],"SI")</f>
        <v>0</v>
      </c>
      <c r="S9" s="14">
        <f t="shared" si="3"/>
        <v>0</v>
      </c>
      <c r="X9" s="270" t="s">
        <v>16</v>
      </c>
      <c r="Y9" s="271">
        <f>VLOOKUP($Y$7,$B$8:$R$17,3,FALSE)</f>
        <v>100</v>
      </c>
    </row>
    <row r="10" spans="2:25">
      <c r="B10" s="10" t="s">
        <v>148</v>
      </c>
      <c r="C10" s="8">
        <f>VLOOKUP(B10,Maestro!$A$7:$D$19,4,FALSE)</f>
        <v>44640</v>
      </c>
      <c r="D10" s="9">
        <f>+(($C10-(SUMIFS(disponibilidad[Tiempo falla 
(en Mintuos)],disponibilidad[JADE],"SI",disponibilidad[Mes],$B10,disponibilidad[[Tipo de afectación ]],"caÍda total",disponibilidad[Responsable Falla],"Matrix Tech",disponibilidad[Suchance - Huila],"SI")))/$C10)*100</f>
        <v>100</v>
      </c>
      <c r="E10" s="9">
        <f>+(($C10-(SUMIFS(disponibilidad[Tiempo falla 
(en Mintuos)],disponibilidad[SIGA],"SI",disponibilidad[Mes],$B10,disponibilidad[[Tipo de afectación ]],"caÍda total",disponibilidad[Responsable Falla],"Matrix Tech",disponibilidad[Suchance - Huila],"SI")))/$C10)*100</f>
        <v>100</v>
      </c>
      <c r="F10" s="13">
        <f t="shared" si="0"/>
        <v>100</v>
      </c>
      <c r="G10" s="9">
        <f>+(($C10-(SUMIFS(disponibilidad[Tiempo falla 
(en Mintuos)],disponibilidad[Apuestas - Chance],"SI",disponibilidad[Mes],$B10,disponibilidad[[Tipo de afectación ]],"caÍda total",disponibilidad[Responsable Falla],"Matrix Tech",disponibilidad[Suchance - Huila],"SI")))/$C10)*100</f>
        <v>100</v>
      </c>
      <c r="H10" s="9">
        <f>+(($C10-(SUMIFS(disponibilidad[Tiempo falla 
(en Mintuos)],disponibilidad[PAGOS],"SI",disponibilidad[Mes],$B10,disponibilidad[[Tipo de afectación ]],"caÍda total",disponibilidad[Responsable Falla],"Matrix Tech",disponibilidad[Suchance - Huila],"SI")))/$C10)*100</f>
        <v>100</v>
      </c>
      <c r="I10" s="9">
        <f>+(($C10-(SUMIFS(disponibilidad[Tiempo falla 
(en Mintuos)],disponibilidad[RECAUDOS],"SI",disponibilidad[Mes],$B10,disponibilidad[[Tipo de afectación ]],"caÍda total",disponibilidad[Responsable Falla],"Matrix Tech",disponibilidad[Suchance - Huila],"SI")))/$C10)*100</f>
        <v>100</v>
      </c>
      <c r="J10" s="9">
        <f>+(($C10-(SUMIFS(disponibilidad[Tiempo falla 
(en Mintuos)],disponibilidad[RECARGAS],"SI",disponibilidad[Mes],$B10,disponibilidad[[Tipo de afectación ]],"caÍda total",disponibilidad[Responsable Falla],"Matrix Tech",disponibilidad[Suchance - Huila],"SI")))/$C10)*100</f>
        <v>100</v>
      </c>
      <c r="K10" s="13">
        <f t="shared" si="1"/>
        <v>100</v>
      </c>
      <c r="L10" s="9">
        <f>+(($C10-(SUMIFS(disponibilidad[Tiempo falla 
(en Mintuos)],disponibilidad[PAGOS],"SI",disponibilidad[Mes],$B10,disponibilidad[[Tipo de afectación ]],"caÍda total",disponibilidad[Responsable Falla],"Aliados o terceros",disponibilidad[Acertemos - Cauca],"SI")))/$C10)*100</f>
        <v>100</v>
      </c>
      <c r="M10" s="9">
        <f>+(($C10-(SUMIFS(disponibilidad[Tiempo falla 
(en Mintuos)],disponibilidad[RECAUDOS],"SI",disponibilidad[Mes],$B10,disponibilidad[[Tipo de afectación ]],"caÍda total",disponibilidad[Responsable Falla],"Aliados o terceros",disponibilidad[Acertemos - Cauca],"SI")))/$C10)*100</f>
        <v>100</v>
      </c>
      <c r="N10" s="9">
        <f>+(($C10-(SUMIFS(disponibilidad[Tiempo falla 
(en Mintuos)],disponibilidad[RECARGAS],"SI",disponibilidad[Mes],$B10,disponibilidad[[Tipo de afectación ]],"caÍda total",disponibilidad[Responsable Falla],"Aliados o terceros",disponibilidad[Acertemos - Cauca],"SI")))/$C10)*100</f>
        <v>100</v>
      </c>
      <c r="O10" s="13">
        <f t="shared" si="2"/>
        <v>100</v>
      </c>
      <c r="P10" s="12">
        <f>SUMIFS(disponibilidad[Tiempo falla 
(en Mintuos)],disponibilidad[Mes],$B10,disponibilidad[[Tipo de afectación ]],"caÍda total",disponibilidad[Responsable Falla],"Matrix Tech",disponibilidad[Suchance - Huila],"SI")</f>
        <v>0</v>
      </c>
      <c r="Q10" s="14">
        <f t="shared" si="4"/>
        <v>0</v>
      </c>
      <c r="R10" s="12">
        <f>SUMIFS(disponibilidad[Tiempo falla 
(en Mintuos)],disponibilidad[Mes],$B10,disponibilidad[[Tipo de afectación ]],"caÍda total",disponibilidad[Responsable Falla],"Aliados o terceros",disponibilidad[Acertemos - Cauca],"SI")</f>
        <v>0</v>
      </c>
      <c r="S10" s="14">
        <f t="shared" si="3"/>
        <v>0</v>
      </c>
      <c r="X10" s="82" t="s">
        <v>17</v>
      </c>
      <c r="Y10" s="271">
        <f>VLOOKUP($Y$7,$B$8:$R$17,4,FALSE)</f>
        <v>100</v>
      </c>
    </row>
    <row r="11" spans="2:25">
      <c r="B11" s="10" t="s">
        <v>170</v>
      </c>
      <c r="C11" s="8">
        <f>VLOOKUP(B11,Maestro!$A$7:$D$19,4,FALSE)</f>
        <v>43200</v>
      </c>
      <c r="D11" s="9">
        <f>+(($C11-(SUMIFS(disponibilidad[Tiempo falla 
(en Mintuos)],disponibilidad[JADE],"SI",disponibilidad[Mes],$B11,disponibilidad[[Tipo de afectación ]],"caÍda total",disponibilidad[Responsable Falla],"Matrix Tech",disponibilidad[Suchance - Huila],"SI")))/$C11)*100</f>
        <v>100</v>
      </c>
      <c r="E11" s="9">
        <f>+(($C11-(SUMIFS(disponibilidad[Tiempo falla 
(en Mintuos)],disponibilidad[SIGA],"SI",disponibilidad[Mes],$B11,disponibilidad[[Tipo de afectación ]],"caÍda total",disponibilidad[Responsable Falla],"Matrix Tech",disponibilidad[Suchance - Huila],"SI")))/$C11)*100</f>
        <v>100</v>
      </c>
      <c r="F11" s="13">
        <f t="shared" si="0"/>
        <v>100</v>
      </c>
      <c r="G11" s="9">
        <f>+(($C11-(SUMIFS(disponibilidad[Tiempo falla 
(en Mintuos)],disponibilidad[Apuestas - Chance],"SI",disponibilidad[Mes],$B11,disponibilidad[[Tipo de afectación ]],"caÍda total",disponibilidad[Responsable Falla],"Matrix Tech",disponibilidad[Suchance - Huila],"SI")))/$C11)*100</f>
        <v>100</v>
      </c>
      <c r="H11" s="9">
        <f>+(($C11-(SUMIFS(disponibilidad[Tiempo falla 
(en Mintuos)],disponibilidad[PAGOS],"SI",disponibilidad[Mes],$B11,disponibilidad[[Tipo de afectación ]],"caÍda total",disponibilidad[Responsable Falla],"Matrix Tech",disponibilidad[Suchance - Huila],"SI")))/$C11)*100</f>
        <v>100</v>
      </c>
      <c r="I11" s="9">
        <f>+(($C11-(SUMIFS(disponibilidad[Tiempo falla 
(en Mintuos)],disponibilidad[RECAUDOS],"SI",disponibilidad[Mes],$B11,disponibilidad[[Tipo de afectación ]],"caÍda total",disponibilidad[Responsable Falla],"Matrix Tech",disponibilidad[Suchance - Huila],"SI")))/$C11)*100</f>
        <v>100</v>
      </c>
      <c r="J11" s="9">
        <f>+(($C11-(SUMIFS(disponibilidad[Tiempo falla 
(en Mintuos)],disponibilidad[RECARGAS],"SI",disponibilidad[Mes],$B11,disponibilidad[[Tipo de afectación ]],"caÍda total",disponibilidad[Responsable Falla],"Matrix Tech",disponibilidad[Suchance - Huila],"SI")))/$C11)*100</f>
        <v>100</v>
      </c>
      <c r="K11" s="13">
        <f t="shared" si="1"/>
        <v>100</v>
      </c>
      <c r="L11" s="9">
        <f>+(($C11-(SUMIFS(disponibilidad[Tiempo falla 
(en Mintuos)],disponibilidad[PAGOS],"SI",disponibilidad[Mes],$B11,disponibilidad[[Tipo de afectación ]],"caÍda total",disponibilidad[Responsable Falla],"Aliados o terceros",disponibilidad[Acertemos - Cauca],"SI")))/$C11)*100</f>
        <v>100</v>
      </c>
      <c r="M11" s="9">
        <f>+(($C11-(SUMIFS(disponibilidad[Tiempo falla 
(en Mintuos)],disponibilidad[RECAUDOS],"SI",disponibilidad[Mes],$B11,disponibilidad[[Tipo de afectación ]],"caÍda total",disponibilidad[Responsable Falla],"Aliados o terceros",disponibilidad[Acertemos - Cauca],"SI")))/$C11)*100</f>
        <v>100</v>
      </c>
      <c r="N11" s="9">
        <f>+(($C11-(SUMIFS(disponibilidad[Tiempo falla 
(en Mintuos)],disponibilidad[RECARGAS],"SI",disponibilidad[Mes],$B11,disponibilidad[[Tipo de afectación ]],"caÍda total",disponibilidad[Responsable Falla],"Aliados o terceros",disponibilidad[Acertemos - Cauca],"SI")))/$C11)*100</f>
        <v>100</v>
      </c>
      <c r="O11" s="13">
        <f t="shared" si="2"/>
        <v>100</v>
      </c>
      <c r="P11" s="12">
        <f>SUMIFS(disponibilidad[Tiempo falla 
(en Mintuos)],disponibilidad[Mes],$B11,disponibilidad[[Tipo de afectación ]],"caÍda total",disponibilidad[Responsable Falla],"Matrix Tech",disponibilidad[Suchance - Huila],"SI")</f>
        <v>0</v>
      </c>
      <c r="Q11" s="14">
        <f t="shared" si="4"/>
        <v>0</v>
      </c>
      <c r="R11" s="12">
        <f>SUMIFS(disponibilidad[Tiempo falla 
(en Mintuos)],disponibilidad[Mes],$B11,disponibilidad[[Tipo de afectación ]],"caÍda total",disponibilidad[Responsable Falla],"Aliados o terceros",disponibilidad[Acertemos - Cauca],"SI")</f>
        <v>0</v>
      </c>
      <c r="S11" s="14">
        <f t="shared" si="3"/>
        <v>0</v>
      </c>
      <c r="T11" s="80">
        <f>AVERAGE(F11,K11)</f>
        <v>100</v>
      </c>
      <c r="X11" s="272" t="s">
        <v>171</v>
      </c>
      <c r="Y11" s="271">
        <f>VLOOKUP($Y$7,$B$8:$R$17,7,FALSE)</f>
        <v>100</v>
      </c>
    </row>
    <row r="12" spans="2:25">
      <c r="B12" s="10" t="s">
        <v>169</v>
      </c>
      <c r="C12" s="8">
        <f>VLOOKUP(B12,Maestro!$A$7:$D$19,4,FALSE)</f>
        <v>44640</v>
      </c>
      <c r="D12" s="9">
        <f>+(($C12-(SUMIFS(disponibilidad[Tiempo falla 
(en Mintuos)],disponibilidad[JADE],"SI",disponibilidad[Mes],$B12,disponibilidad[[Tipo de afectación ]],"caÍda total",disponibilidad[Responsable Falla],"Matrix Tech",disponibilidad[Suchance - Huila],"SI")))/$C12)*100</f>
        <v>100</v>
      </c>
      <c r="E12" s="9">
        <f>+(($C12-(SUMIFS(disponibilidad[Tiempo falla 
(en Mintuos)],disponibilidad[SIGA],"SI",disponibilidad[Mes],$B12,disponibilidad[[Tipo de afectación ]],"caÍda total",disponibilidad[Responsable Falla],"Matrix Tech",disponibilidad[Suchance - Huila],"SI")))/$C12)*100</f>
        <v>100</v>
      </c>
      <c r="F12" s="13">
        <f t="shared" si="0"/>
        <v>100</v>
      </c>
      <c r="G12" s="9">
        <f>+(($C12-(SUMIFS(disponibilidad[Tiempo falla 
(en Mintuos)],disponibilidad[Apuestas - Chance],"SI",disponibilidad[Mes],$B12,disponibilidad[[Tipo de afectación ]],"caÍda total",disponibilidad[Responsable Falla],"Matrix Tech",disponibilidad[Suchance - Huila],"SI")))/$C12)*100</f>
        <v>100</v>
      </c>
      <c r="H12" s="9">
        <f>+(($C12-(SUMIFS(disponibilidad[Tiempo falla 
(en Mintuos)],disponibilidad[PAGOS],"SI",disponibilidad[Mes],$B12,disponibilidad[[Tipo de afectación ]],"caÍda total",disponibilidad[Responsable Falla],"Matrix Tech",disponibilidad[Suchance - Huila],"SI")))/$C12)*100</f>
        <v>100</v>
      </c>
      <c r="I12" s="9">
        <f>+(($C12-(SUMIFS(disponibilidad[Tiempo falla 
(en Mintuos)],disponibilidad[RECAUDOS],"SI",disponibilidad[Mes],$B12,disponibilidad[[Tipo de afectación ]],"caÍda total",disponibilidad[Responsable Falla],"Matrix Tech",disponibilidad[Suchance - Huila],"SI")))/$C12)*100</f>
        <v>100</v>
      </c>
      <c r="J12" s="9">
        <f>+(($C12-(SUMIFS(disponibilidad[Tiempo falla 
(en Mintuos)],disponibilidad[RECARGAS],"SI",disponibilidad[Mes],$B12,disponibilidad[[Tipo de afectación ]],"caÍda total",disponibilidad[Responsable Falla],"Matrix Tech",disponibilidad[Suchance - Huila],"SI")))/$C12)*100</f>
        <v>100</v>
      </c>
      <c r="K12" s="13">
        <f t="shared" si="1"/>
        <v>100</v>
      </c>
      <c r="L12" s="9">
        <f>+(($C12-(SUMIFS(disponibilidad[Tiempo falla 
(en Mintuos)],disponibilidad[PAGOS],"SI",disponibilidad[Mes],$B12,disponibilidad[[Tipo de afectación ]],"caÍda total",disponibilidad[Responsable Falla],"Aliados o terceros",disponibilidad[Acertemos - Cauca],"SI")))/$C12)*100</f>
        <v>100</v>
      </c>
      <c r="M12" s="9">
        <f>+(($C12-(SUMIFS(disponibilidad[Tiempo falla 
(en Mintuos)],disponibilidad[RECAUDOS],"SI",disponibilidad[Mes],$B12,disponibilidad[[Tipo de afectación ]],"caÍda total",disponibilidad[Responsable Falla],"Aliados o terceros",disponibilidad[Acertemos - Cauca],"SI")))/$C12)*100</f>
        <v>100</v>
      </c>
      <c r="N12" s="9">
        <f>+(($C12-(SUMIFS(disponibilidad[Tiempo falla 
(en Mintuos)],disponibilidad[RECARGAS],"SI",disponibilidad[Mes],$B12,disponibilidad[[Tipo de afectación ]],"caÍda total",disponibilidad[Responsable Falla],"Aliados o terceros",disponibilidad[Acertemos - Cauca],"SI")))/$C12)*100</f>
        <v>100</v>
      </c>
      <c r="O12" s="13">
        <f t="shared" si="2"/>
        <v>100</v>
      </c>
      <c r="P12" s="12">
        <f>SUMIFS(disponibilidad[Tiempo falla 
(en Mintuos)],disponibilidad[Mes],$B12,disponibilidad[[Tipo de afectación ]],"caÍda total",disponibilidad[Responsable Falla],"Matrix Tech",disponibilidad[Suchance - Huila],"SI")</f>
        <v>0</v>
      </c>
      <c r="Q12" s="14">
        <f t="shared" si="4"/>
        <v>0</v>
      </c>
      <c r="R12" s="12">
        <f>SUMIFS(disponibilidad[Tiempo falla 
(en Mintuos)],disponibilidad[Mes],$B12,disponibilidad[[Tipo de afectación ]],"caÍda total",disponibilidad[Responsable Falla],"Aliados o terceros",disponibilidad[Acertemos - Cauca],"SI")</f>
        <v>0</v>
      </c>
      <c r="S12" s="14">
        <f t="shared" si="3"/>
        <v>0</v>
      </c>
    </row>
    <row r="13" spans="2:25">
      <c r="B13" s="10" t="s">
        <v>172</v>
      </c>
      <c r="C13" s="8">
        <f>VLOOKUP(B13,Maestro!$A$7:$D$19,4,FALSE)</f>
        <v>43200</v>
      </c>
      <c r="D13" s="9">
        <f>+(($C13-(SUMIFS(disponibilidad[Tiempo falla 
(en Mintuos)],disponibilidad[JADE],"SI",disponibilidad[Mes],$B13,disponibilidad[[Tipo de afectación ]],"caÍda total",disponibilidad[Responsable Falla],"Matrix Tech",disponibilidad[Suchance - Huila],"SI")))/$C13)*100</f>
        <v>100</v>
      </c>
      <c r="E13" s="9">
        <f>+(($C13-(SUMIFS(disponibilidad[Tiempo falla 
(en Mintuos)],disponibilidad[SIGA],"SI",disponibilidad[Mes],$B13,disponibilidad[[Tipo de afectación ]],"caÍda total",disponibilidad[Responsable Falla],"Matrix Tech",disponibilidad[Suchance - Huila],"SI")))/$C13)*100</f>
        <v>100</v>
      </c>
      <c r="F13" s="13">
        <f t="shared" si="0"/>
        <v>100</v>
      </c>
      <c r="G13" s="9">
        <f>+(($C13-(SUMIFS(disponibilidad[Tiempo falla 
(en Mintuos)],disponibilidad[Apuestas - Chance],"SI",disponibilidad[Mes],$B13,disponibilidad[[Tipo de afectación ]],"caÍda total",disponibilidad[Responsable Falla],"Matrix Tech",disponibilidad[Suchance - Huila],"SI")))/$C13)*100</f>
        <v>100</v>
      </c>
      <c r="H13" s="9">
        <f>+(($C13-(SUMIFS(disponibilidad[Tiempo falla 
(en Mintuos)],disponibilidad[PAGOS],"SI",disponibilidad[Mes],$B13,disponibilidad[[Tipo de afectación ]],"caÍda total",disponibilidad[Responsable Falla],"Matrix Tech",disponibilidad[Suchance - Huila],"SI")))/$C13)*100</f>
        <v>100</v>
      </c>
      <c r="I13" s="9">
        <f>+(($C13-(SUMIFS(disponibilidad[Tiempo falla 
(en Mintuos)],disponibilidad[RECAUDOS],"SI",disponibilidad[Mes],$B13,disponibilidad[[Tipo de afectación ]],"caÍda total",disponibilidad[Responsable Falla],"Matrix Tech",disponibilidad[Suchance - Huila],"SI")))/$C13)*100</f>
        <v>100</v>
      </c>
      <c r="J13" s="9">
        <f>+(($C13-(SUMIFS(disponibilidad[Tiempo falla 
(en Mintuos)],disponibilidad[RECARGAS],"SI",disponibilidad[Mes],$B13,disponibilidad[[Tipo de afectación ]],"caÍda total",disponibilidad[Responsable Falla],"Matrix Tech",disponibilidad[Suchance - Huila],"SI")))/$C13)*100</f>
        <v>100</v>
      </c>
      <c r="K13" s="13">
        <f t="shared" si="1"/>
        <v>100</v>
      </c>
      <c r="L13" s="9">
        <f>+(($C13-(SUMIFS(disponibilidad[Tiempo falla 
(en Mintuos)],disponibilidad[PAGOS],"SI",disponibilidad[Mes],$B13,disponibilidad[[Tipo de afectación ]],"caÍda total",disponibilidad[Responsable Falla],"Aliados o terceros",disponibilidad[Acertemos - Cauca],"SI")))/$C13)*100</f>
        <v>100</v>
      </c>
      <c r="M13" s="9">
        <f>+(($C13-(SUMIFS(disponibilidad[Tiempo falla 
(en Mintuos)],disponibilidad[RECAUDOS],"SI",disponibilidad[Mes],$B13,disponibilidad[[Tipo de afectación ]],"caÍda total",disponibilidad[Responsable Falla],"Aliados o terceros",disponibilidad[Acertemos - Cauca],"SI")))/$C13)*100</f>
        <v>100</v>
      </c>
      <c r="N13" s="9">
        <f>+(($C13-(SUMIFS(disponibilidad[Tiempo falla 
(en Mintuos)],disponibilidad[RECARGAS],"SI",disponibilidad[Mes],$B13,disponibilidad[[Tipo de afectación ]],"caÍda total",disponibilidad[Responsable Falla],"Aliados o terceros",disponibilidad[Acertemos - Cauca],"SI")))/$C13)*100</f>
        <v>100</v>
      </c>
      <c r="O13" s="13">
        <f t="shared" si="2"/>
        <v>100</v>
      </c>
      <c r="P13" s="12">
        <f>SUMIFS(disponibilidad[Tiempo falla 
(en Mintuos)],disponibilidad[Mes],$B13,disponibilidad[[Tipo de afectación ]],"caÍda total",disponibilidad[Responsable Falla],"Matrix Tech",disponibilidad[Suchance - Huila],"SI")</f>
        <v>0</v>
      </c>
      <c r="Q13" s="14">
        <f t="shared" si="4"/>
        <v>0</v>
      </c>
      <c r="R13" s="12">
        <f>SUMIFS(disponibilidad[Tiempo falla 
(en Mintuos)],disponibilidad[Mes],$B13,disponibilidad[[Tipo de afectación ]],"caÍda total",disponibilidad[Responsable Falla],"Aliados o terceros",disponibilidad[Acertemos - Cauca],"SI")</f>
        <v>0</v>
      </c>
      <c r="S13" s="14">
        <f t="shared" si="3"/>
        <v>0</v>
      </c>
    </row>
    <row r="14" spans="2:25">
      <c r="B14" s="10" t="s">
        <v>173</v>
      </c>
      <c r="C14" s="8">
        <f>VLOOKUP(B14,Maestro!$A$7:$D$19,4,FALSE)</f>
        <v>44640</v>
      </c>
      <c r="D14" s="9">
        <f>+(($C14-(SUMIFS(disponibilidad[Tiempo falla 
(en Mintuos)],disponibilidad[JADE],"SI",disponibilidad[Mes],$B14,disponibilidad[[Tipo de afectación ]],"caÍda total",disponibilidad[Responsable Falla],"Matrix Tech",disponibilidad[Suchance - Huila],"SI")))/$C14)*100</f>
        <v>100</v>
      </c>
      <c r="E14" s="9">
        <f>+(($C14-(SUMIFS(disponibilidad[Tiempo falla 
(en Mintuos)],disponibilidad[SIGA],"SI",disponibilidad[Mes],$B14,disponibilidad[[Tipo de afectación ]],"caÍda total",disponibilidad[Responsable Falla],"Matrix Tech",disponibilidad[Suchance - Huila],"SI")))/$C14)*100</f>
        <v>100</v>
      </c>
      <c r="F14" s="13">
        <f t="shared" si="0"/>
        <v>100</v>
      </c>
      <c r="G14" s="9">
        <f>+(($C14-(SUMIFS(disponibilidad[Tiempo falla 
(en Mintuos)],disponibilidad[Apuestas - Chance],"SI",disponibilidad[Mes],$B14,disponibilidad[[Tipo de afectación ]],"caÍda total",disponibilidad[Responsable Falla],"Matrix Tech",disponibilidad[Suchance - Huila],"SI")))/$C14)*100</f>
        <v>100</v>
      </c>
      <c r="H14" s="9">
        <f>+(($C14-(SUMIFS(disponibilidad[Tiempo falla 
(en Mintuos)],disponibilidad[PAGOS],"SI",disponibilidad[Mes],$B14,disponibilidad[[Tipo de afectación ]],"caÍda total",disponibilidad[Responsable Falla],"Matrix Tech",disponibilidad[Suchance - Huila],"SI")))/$C14)*100</f>
        <v>100</v>
      </c>
      <c r="I14" s="9">
        <f>+(($C14-(SUMIFS(disponibilidad[Tiempo falla 
(en Mintuos)],disponibilidad[RECAUDOS],"SI",disponibilidad[Mes],$B14,disponibilidad[[Tipo de afectación ]],"caÍda total",disponibilidad[Responsable Falla],"Matrix Tech",disponibilidad[Suchance - Huila],"SI")))/$C14)*100</f>
        <v>100</v>
      </c>
      <c r="J14" s="9">
        <f>+(($C14-(SUMIFS(disponibilidad[Tiempo falla 
(en Mintuos)],disponibilidad[RECARGAS],"SI",disponibilidad[Mes],$B14,disponibilidad[[Tipo de afectación ]],"caÍda total",disponibilidad[Responsable Falla],"Matrix Tech",disponibilidad[Suchance - Huila],"SI")))/$C14)*100</f>
        <v>100</v>
      </c>
      <c r="K14" s="13">
        <f t="shared" si="1"/>
        <v>100</v>
      </c>
      <c r="L14" s="9">
        <f>+(($C14-(SUMIFS(disponibilidad[Tiempo falla 
(en Mintuos)],disponibilidad[PAGOS],"SI",disponibilidad[Mes],$B14,disponibilidad[[Tipo de afectación ]],"caÍda total",disponibilidad[Responsable Falla],"Aliados o terceros",disponibilidad[Acertemos - Cauca],"SI")))/$C14)*100</f>
        <v>100</v>
      </c>
      <c r="M14" s="9">
        <f>+(($C14-(SUMIFS(disponibilidad[Tiempo falla 
(en Mintuos)],disponibilidad[RECAUDOS],"SI",disponibilidad[Mes],$B14,disponibilidad[[Tipo de afectación ]],"caÍda total",disponibilidad[Responsable Falla],"Aliados o terceros",disponibilidad[Acertemos - Cauca],"SI")))/$C14)*100</f>
        <v>100</v>
      </c>
      <c r="N14" s="9">
        <f>+(($C14-(SUMIFS(disponibilidad[Tiempo falla 
(en Mintuos)],disponibilidad[RECARGAS],"SI",disponibilidad[Mes],$B14,disponibilidad[[Tipo de afectación ]],"caÍda total",disponibilidad[Responsable Falla],"Aliados o terceros",disponibilidad[Acertemos - Cauca],"SI")))/$C14)*100</f>
        <v>100</v>
      </c>
      <c r="O14" s="13">
        <f t="shared" si="2"/>
        <v>100</v>
      </c>
      <c r="P14" s="12">
        <f>SUMIFS(disponibilidad[Tiempo falla 
(en Mintuos)],disponibilidad[Mes],$B14,disponibilidad[[Tipo de afectación ]],"caÍda total",disponibilidad[Responsable Falla],"Matrix Tech",disponibilidad[Suchance - Huila],"SI")</f>
        <v>0</v>
      </c>
      <c r="Q14" s="14">
        <f t="shared" si="4"/>
        <v>0</v>
      </c>
      <c r="R14" s="12">
        <f>SUMIFS(disponibilidad[Tiempo falla 
(en Mintuos)],disponibilidad[Mes],$B14,disponibilidad[[Tipo de afectación ]],"caÍda total",disponibilidad[Responsable Falla],"Aliados o terceros",disponibilidad[Acertemos - Cauca],"SI")</f>
        <v>0</v>
      </c>
      <c r="S14" s="14">
        <f t="shared" si="3"/>
        <v>0</v>
      </c>
      <c r="X14" s="129"/>
    </row>
    <row r="15" spans="2:25">
      <c r="B15" s="10" t="s">
        <v>174</v>
      </c>
      <c r="C15" s="8">
        <f>VLOOKUP(B15,Maestro!$A$7:$D$19,4,FALSE)</f>
        <v>44640</v>
      </c>
      <c r="D15" s="9">
        <f>+(($C15-(SUMIFS(disponibilidad[Tiempo falla 
(en Mintuos)],disponibilidad[JADE],"SI",disponibilidad[Mes],$B15,disponibilidad[[Tipo de afectación ]],"caÍda total",disponibilidad[Responsable Falla],"Matrix Tech",disponibilidad[Suchance - Huila],"SI")))/$C15)*100</f>
        <v>100</v>
      </c>
      <c r="E15" s="9">
        <f>+(($C15-(SUMIFS(disponibilidad[Tiempo falla 
(en Mintuos)],disponibilidad[SIGA],"SI",disponibilidad[Mes],$B15,disponibilidad[[Tipo de afectación ]],"caÍda total",disponibilidad[Responsable Falla],"Matrix Tech",disponibilidad[Suchance - Huila],"SI")))/$C15)*100</f>
        <v>100</v>
      </c>
      <c r="F15" s="13">
        <f t="shared" si="0"/>
        <v>100</v>
      </c>
      <c r="G15" s="9">
        <f>+(($C15-(SUMIFS(disponibilidad[Tiempo falla 
(en Mintuos)],disponibilidad[Apuestas - Chance],"SI",disponibilidad[Mes],$B15,disponibilidad[[Tipo de afectación ]],"caÍda total",disponibilidad[Responsable Falla],"Matrix Tech",disponibilidad[Suchance - Huila],"SI")))/$C15)*100</f>
        <v>100</v>
      </c>
      <c r="H15" s="9">
        <f>+(($C15-(SUMIFS(disponibilidad[Tiempo falla 
(en Mintuos)],disponibilidad[PAGOS],"SI",disponibilidad[Mes],$B15,disponibilidad[[Tipo de afectación ]],"caÍda total",disponibilidad[Responsable Falla],"Matrix Tech",disponibilidad[Suchance - Huila],"SI")))/$C15)*100</f>
        <v>100</v>
      </c>
      <c r="I15" s="9">
        <f>+(($C15-(SUMIFS(disponibilidad[Tiempo falla 
(en Mintuos)],disponibilidad[RECAUDOS],"SI",disponibilidad[Mes],$B15,disponibilidad[[Tipo de afectación ]],"caÍda total",disponibilidad[Responsable Falla],"Matrix Tech",disponibilidad[Suchance - Huila],"SI")))/$C15)*100</f>
        <v>100</v>
      </c>
      <c r="J15" s="9">
        <f>+(($C15-(SUMIFS(disponibilidad[Tiempo falla 
(en Mintuos)],disponibilidad[RECARGAS],"SI",disponibilidad[Mes],$B15,disponibilidad[[Tipo de afectación ]],"caÍda total",disponibilidad[Responsable Falla],"Matrix Tech",disponibilidad[Suchance - Huila],"SI")))/$C15)*100</f>
        <v>100</v>
      </c>
      <c r="K15" s="13">
        <f t="shared" si="1"/>
        <v>100</v>
      </c>
      <c r="L15" s="9">
        <f>+(($C15-(SUMIFS(disponibilidad[Tiempo falla 
(en Mintuos)],disponibilidad[PAGOS],"SI",disponibilidad[Mes],$B15,disponibilidad[[Tipo de afectación ]],"caÍda total",disponibilidad[Responsable Falla],"Aliados o terceros",disponibilidad[Acertemos - Cauca],"SI")))/$C15)*100</f>
        <v>100</v>
      </c>
      <c r="M15" s="9">
        <f>+(($C15-(SUMIFS(disponibilidad[Tiempo falla 
(en Mintuos)],disponibilidad[RECAUDOS],"SI",disponibilidad[Mes],$B15,disponibilidad[[Tipo de afectación ]],"caÍda total",disponibilidad[Responsable Falla],"Aliados o terceros",disponibilidad[Acertemos - Cauca],"SI")))/$C15)*100</f>
        <v>100</v>
      </c>
      <c r="N15" s="9">
        <f>+(($C15-(SUMIFS(disponibilidad[Tiempo falla 
(en Mintuos)],disponibilidad[RECARGAS],"SI",disponibilidad[Mes],$B15,disponibilidad[[Tipo de afectación ]],"caÍda total",disponibilidad[Responsable Falla],"Aliados o terceros",disponibilidad[Acertemos - Cauca],"SI")))/$C15)*100</f>
        <v>100</v>
      </c>
      <c r="O15" s="13">
        <f t="shared" si="2"/>
        <v>100</v>
      </c>
      <c r="P15" s="12">
        <f>SUMIFS(disponibilidad[Tiempo falla 
(en Mintuos)],disponibilidad[Mes],$B15,disponibilidad[[Tipo de afectación ]],"caÍda total",disponibilidad[Responsable Falla],"Matrix Tech",disponibilidad[Suchance - Huila],"SI")</f>
        <v>0</v>
      </c>
      <c r="Q15" s="14">
        <f t="shared" si="4"/>
        <v>0</v>
      </c>
      <c r="R15" s="12">
        <f>SUMIFS(disponibilidad[Tiempo falla 
(en Mintuos)],disponibilidad[Mes],$B15,disponibilidad[[Tipo de afectación ]],"caÍda total",disponibilidad[Responsable Falla],"Aliados o terceros",disponibilidad[Acertemos - Cauca],"SI")</f>
        <v>0</v>
      </c>
      <c r="S15" s="14">
        <f t="shared" si="3"/>
        <v>0</v>
      </c>
      <c r="X15" s="82" t="s">
        <v>28</v>
      </c>
      <c r="Y15" s="271">
        <f>VLOOKUP($Y$7,$B$8:$R$17,8,FALSE)</f>
        <v>100</v>
      </c>
    </row>
    <row r="16" spans="2:25">
      <c r="B16" s="10" t="s">
        <v>175</v>
      </c>
      <c r="C16" s="8">
        <f>VLOOKUP(B16,Maestro!$A$7:$D$19,4,FALSE)</f>
        <v>43200</v>
      </c>
      <c r="D16" s="9">
        <f>+(($C16-(SUMIFS(disponibilidad[Tiempo falla 
(en Mintuos)],disponibilidad[JADE],"SI",disponibilidad[Mes],$B16,disponibilidad[[Tipo de afectación ]],"caÍda total",disponibilidad[Responsable Falla],"Matrix Tech",disponibilidad[Suchance - Huila],"SI")))/$C16)*100</f>
        <v>100</v>
      </c>
      <c r="E16" s="9">
        <f>+(($C16-(SUMIFS(disponibilidad[Tiempo falla 
(en Mintuos)],disponibilidad[SIGA],"SI",disponibilidad[Mes],$B16,disponibilidad[[Tipo de afectación ]],"caÍda total",disponibilidad[Responsable Falla],"Matrix Tech",disponibilidad[Suchance - Huila],"SI")))/$C16)*100</f>
        <v>100</v>
      </c>
      <c r="F16" s="13">
        <f t="shared" si="0"/>
        <v>100</v>
      </c>
      <c r="G16" s="9">
        <f>+(($C16-(SUMIFS(disponibilidad[Tiempo falla 
(en Mintuos)],disponibilidad[Apuestas - Chance],"SI",disponibilidad[Mes],$B16,disponibilidad[[Tipo de afectación ]],"caÍda total",disponibilidad[Responsable Falla],"Matrix Tech",disponibilidad[Suchance - Huila],"SI")))/$C16)*100</f>
        <v>100</v>
      </c>
      <c r="H16" s="9">
        <f>+(($C16-(SUMIFS(disponibilidad[Tiempo falla 
(en Mintuos)],disponibilidad[PAGOS],"SI",disponibilidad[Mes],$B16,disponibilidad[[Tipo de afectación ]],"caÍda total",disponibilidad[Responsable Falla],"Matrix Tech",disponibilidad[Suchance - Huila],"SI")))/$C16)*100</f>
        <v>100</v>
      </c>
      <c r="I16" s="9">
        <f>+(($C16-(SUMIFS(disponibilidad[Tiempo falla 
(en Mintuos)],disponibilidad[RECAUDOS],"SI",disponibilidad[Mes],$B16,disponibilidad[[Tipo de afectación ]],"caÍda total",disponibilidad[Responsable Falla],"Matrix Tech",disponibilidad[Suchance - Huila],"SI")))/$C16)*100</f>
        <v>100</v>
      </c>
      <c r="J16" s="9">
        <f>+(($C16-(SUMIFS(disponibilidad[Tiempo falla 
(en Mintuos)],disponibilidad[RECARGAS],"SI",disponibilidad[Mes],$B16,disponibilidad[[Tipo de afectación ]],"caÍda total",disponibilidad[Responsable Falla],"Matrix Tech",disponibilidad[Suchance - Huila],"SI")))/$C16)*100</f>
        <v>100</v>
      </c>
      <c r="K16" s="13">
        <f t="shared" si="1"/>
        <v>100</v>
      </c>
      <c r="L16" s="9">
        <f>+(($C16-(SUMIFS(disponibilidad[Tiempo falla 
(en Mintuos)],disponibilidad[PAGOS],"SI",disponibilidad[Mes],$B16,disponibilidad[[Tipo de afectación ]],"caÍda total",disponibilidad[Responsable Falla],"Aliados o terceros",disponibilidad[Acertemos - Cauca],"SI")))/$C16)*100</f>
        <v>100</v>
      </c>
      <c r="M16" s="9">
        <f>+(($C16-(SUMIFS(disponibilidad[Tiempo falla 
(en Mintuos)],disponibilidad[RECAUDOS],"SI",disponibilidad[Mes],$B16,disponibilidad[[Tipo de afectación ]],"caÍda total",disponibilidad[Responsable Falla],"Aliados o terceros",disponibilidad[Acertemos - Cauca],"SI")))/$C16)*100</f>
        <v>100</v>
      </c>
      <c r="N16" s="9">
        <f>+(($C16-(SUMIFS(disponibilidad[Tiempo falla 
(en Mintuos)],disponibilidad[RECARGAS],"SI",disponibilidad[Mes],$B16,disponibilidad[[Tipo de afectación ]],"caÍda total",disponibilidad[Responsable Falla],"Aliados o terceros",disponibilidad[Acertemos - Cauca],"SI")))/$C16)*100</f>
        <v>100</v>
      </c>
      <c r="O16" s="13">
        <f t="shared" si="2"/>
        <v>100</v>
      </c>
      <c r="P16" s="12">
        <f>SUMIFS(disponibilidad[Tiempo falla 
(en Mintuos)],disponibilidad[Mes],$B16,disponibilidad[[Tipo de afectación ]],"caÍda total",disponibilidad[Responsable Falla],"Matrix Tech",disponibilidad[Suchance - Huila],"SI")</f>
        <v>0</v>
      </c>
      <c r="Q16" s="14">
        <f t="shared" si="4"/>
        <v>0</v>
      </c>
      <c r="R16" s="12">
        <f>SUMIFS(disponibilidad[Tiempo falla 
(en Mintuos)],disponibilidad[Mes],$B16,disponibilidad[[Tipo de afectación ]],"caÍda total",disponibilidad[Responsable Falla],"Aliados o terceros",disponibilidad[Acertemos - Cauca],"SI")</f>
        <v>0</v>
      </c>
      <c r="S16" s="14">
        <f t="shared" si="3"/>
        <v>0</v>
      </c>
      <c r="X16" s="82" t="s">
        <v>29</v>
      </c>
      <c r="Y16" s="271">
        <f>VLOOKUP($Y$7,$B$8:$R$17,9,FALSE)</f>
        <v>100</v>
      </c>
    </row>
    <row r="17" spans="2:25">
      <c r="B17" s="10" t="s">
        <v>176</v>
      </c>
      <c r="C17" s="8">
        <f>VLOOKUP(B17,Maestro!$A$7:$D$19,4,FALSE)</f>
        <v>44640</v>
      </c>
      <c r="D17" s="9">
        <f>+(($C17-(SUMIFS(disponibilidad[Tiempo falla 
(en Mintuos)],disponibilidad[JADE],"SI",disponibilidad[Mes],$B17,disponibilidad[[Tipo de afectación ]],"caÍda total",disponibilidad[Responsable Falla],"Matrix Tech",disponibilidad[Suchance - Huila],"SI")))/$C17)*100</f>
        <v>100</v>
      </c>
      <c r="E17" s="9">
        <f>+(($C17-(SUMIFS(disponibilidad[Tiempo falla 
(en Mintuos)],disponibilidad[SIGA],"SI",disponibilidad[Mes],$B17,disponibilidad[[Tipo de afectación ]],"caÍda total",disponibilidad[Responsable Falla],"Matrix Tech",disponibilidad[Suchance - Huila],"SI")))/$C17)*100</f>
        <v>100</v>
      </c>
      <c r="F17" s="13">
        <f t="shared" si="0"/>
        <v>100</v>
      </c>
      <c r="G17" s="9">
        <f>+(($C17-(SUMIFS(disponibilidad[Tiempo falla 
(en Mintuos)],disponibilidad[Apuestas - Chance],"SI",disponibilidad[Mes],$B17,disponibilidad[[Tipo de afectación ]],"caÍda total",disponibilidad[Responsable Falla],"Matrix Tech",disponibilidad[Suchance - Huila],"SI")))/$C17)*100</f>
        <v>100</v>
      </c>
      <c r="H17" s="9">
        <f>+(($C17-(SUMIFS(disponibilidad[Tiempo falla 
(en Mintuos)],disponibilidad[PAGOS],"SI",disponibilidad[Mes],$B17,disponibilidad[[Tipo de afectación ]],"caÍda total",disponibilidad[Responsable Falla],"Matrix Tech",disponibilidad[Suchance - Huila],"SI")))/$C17)*100</f>
        <v>100</v>
      </c>
      <c r="I17" s="9">
        <f>+(($C17-(SUMIFS(disponibilidad[Tiempo falla 
(en Mintuos)],disponibilidad[RECAUDOS],"SI",disponibilidad[Mes],$B17,disponibilidad[[Tipo de afectación ]],"caÍda total",disponibilidad[Responsable Falla],"Matrix Tech",disponibilidad[Suchance - Huila],"SI")))/$C17)*100</f>
        <v>100</v>
      </c>
      <c r="J17" s="9">
        <f>+(($C17-(SUMIFS(disponibilidad[Tiempo falla 
(en Mintuos)],disponibilidad[RECARGAS],"SI",disponibilidad[Mes],$B17,disponibilidad[[Tipo de afectación ]],"caÍda total",disponibilidad[Responsable Falla],"Matrix Tech",disponibilidad[Suchance - Huila],"SI")))/$C17)*100</f>
        <v>100</v>
      </c>
      <c r="K17" s="13">
        <f t="shared" si="1"/>
        <v>100</v>
      </c>
      <c r="L17" s="9">
        <f>+(($C17-(SUMIFS(disponibilidad[Tiempo falla 
(en Mintuos)],disponibilidad[PAGOS],"SI",disponibilidad[Mes],$B17,disponibilidad[[Tipo de afectación ]],"caÍda total",disponibilidad[Responsable Falla],"Aliados o terceros",disponibilidad[Acertemos - Cauca],"SI")))/$C17)*100</f>
        <v>100</v>
      </c>
      <c r="M17" s="9">
        <f>+(($C17-(SUMIFS(disponibilidad[Tiempo falla 
(en Mintuos)],disponibilidad[RECAUDOS],"SI",disponibilidad[Mes],$B17,disponibilidad[[Tipo de afectación ]],"caÍda total",disponibilidad[Responsable Falla],"Aliados o terceros",disponibilidad[Acertemos - Cauca],"SI")))/$C17)*100</f>
        <v>100</v>
      </c>
      <c r="N17" s="9">
        <f>+(($C17-(SUMIFS(disponibilidad[Tiempo falla 
(en Mintuos)],disponibilidad[RECARGAS],"SI",disponibilidad[Mes],$B17,disponibilidad[[Tipo de afectación ]],"caÍda total",disponibilidad[Responsable Falla],"Aliados o terceros",disponibilidad[Acertemos - Cauca],"SI")))/$C17)*100</f>
        <v>100</v>
      </c>
      <c r="O17" s="13">
        <f t="shared" si="2"/>
        <v>100</v>
      </c>
      <c r="P17" s="12">
        <f>SUMIFS(disponibilidad[Tiempo falla 
(en Mintuos)],disponibilidad[Mes],$B17,disponibilidad[[Tipo de afectación ]],"caÍda total",disponibilidad[Responsable Falla],"Matrix Tech",disponibilidad[Suchance - Huila],"SI")</f>
        <v>0</v>
      </c>
      <c r="Q17" s="14">
        <f t="shared" si="4"/>
        <v>0</v>
      </c>
      <c r="R17" s="12">
        <f>SUMIFS(disponibilidad[Tiempo falla 
(en Mintuos)],disponibilidad[Mes],$B17,disponibilidad[[Tipo de afectación ]],"caÍda total",disponibilidad[Responsable Falla],"Aliados o terceros",disponibilidad[Suchance - Huila],"SI")</f>
        <v>0</v>
      </c>
      <c r="S17" s="14">
        <f t="shared" si="3"/>
        <v>0</v>
      </c>
      <c r="X17" s="82" t="s">
        <v>30</v>
      </c>
      <c r="Y17" s="271">
        <f>VLOOKUP($Y$7,$B$8:$R$17,10,FALSE)</f>
        <v>100</v>
      </c>
    </row>
    <row r="18" spans="2:25">
      <c r="B18" s="10" t="s">
        <v>177</v>
      </c>
      <c r="C18" s="8">
        <f>VLOOKUP(B18,Maestro!$A$7:$D$19,4,FALSE)</f>
        <v>43200</v>
      </c>
      <c r="D18" s="9">
        <f>+(($C18-(SUMIFS(disponibilidad[Tiempo falla 
(en Mintuos)],disponibilidad[JADE],"SI",disponibilidad[Mes],$B18,disponibilidad[[Tipo de afectación ]],"caÍda total",disponibilidad[Responsable Falla],"Matrix Tech",disponibilidad[Suchance - Huila],"SI")))/$C18)*100</f>
        <v>100</v>
      </c>
      <c r="E18" s="9">
        <f>+(($C18-(SUMIFS(disponibilidad[Tiempo falla 
(en Mintuos)],disponibilidad[SIGA],"SI",disponibilidad[Mes],$B18,disponibilidad[[Tipo de afectación ]],"caÍda total",disponibilidad[Responsable Falla],"Matrix Tech",disponibilidad[Suchance - Huila],"SI")))/$C18)*100</f>
        <v>100</v>
      </c>
      <c r="F18" s="13">
        <f t="shared" si="0"/>
        <v>100</v>
      </c>
      <c r="G18" s="9">
        <f>+(($C18-(SUMIFS(disponibilidad[Tiempo falla 
(en Mintuos)],disponibilidad[Apuestas - Chance],"SI",disponibilidad[Mes],$B18,disponibilidad[[Tipo de afectación ]],"caÍda total",disponibilidad[Responsable Falla],"Matrix Tech",disponibilidad[Suchance - Huila],"SI")))/$C18)*100</f>
        <v>100</v>
      </c>
      <c r="H18" s="9">
        <f>+(($C18-(SUMIFS(disponibilidad[Tiempo falla 
(en Mintuos)],disponibilidad[PAGOS],"SI",disponibilidad[Mes],$B18,disponibilidad[[Tipo de afectación ]],"caÍda total",disponibilidad[Responsable Falla],"Matrix Tech",disponibilidad[Suchance - Huila],"SI")))/$C18)*100</f>
        <v>100</v>
      </c>
      <c r="I18" s="9">
        <f>+(($C18-(SUMIFS(disponibilidad[Tiempo falla 
(en Mintuos)],disponibilidad[RECAUDOS],"SI",disponibilidad[Mes],$B18,disponibilidad[[Tipo de afectación ]],"caÍda total",disponibilidad[Responsable Falla],"Matrix Tech",disponibilidad[Suchance - Huila],"SI")))/$C18)*100</f>
        <v>100</v>
      </c>
      <c r="J18" s="9">
        <f>+(($C18-(SUMIFS(disponibilidad[Tiempo falla 
(en Mintuos)],disponibilidad[RECARGAS],"SI",disponibilidad[Mes],$B18,disponibilidad[[Tipo de afectación ]],"caÍda total",disponibilidad[Responsable Falla],"Matrix Tech",disponibilidad[Suchance - Huila],"SI")))/$C18)*100</f>
        <v>100</v>
      </c>
      <c r="K18" s="13">
        <f t="shared" si="1"/>
        <v>100</v>
      </c>
      <c r="L18" s="9">
        <f>+(($C18-(SUMIFS(disponibilidad[Tiempo falla 
(en Mintuos)],disponibilidad[PAGOS],"SI",disponibilidad[Mes],$B18,disponibilidad[[Tipo de afectación ]],"caÍda total",disponibilidad[Responsable Falla],"Aliados o terceros",disponibilidad[Acertemos - Cauca],"SI")))/$C18)*100</f>
        <v>100</v>
      </c>
      <c r="M18" s="9">
        <f>+(($C18-(SUMIFS(disponibilidad[Tiempo falla 
(en Mintuos)],disponibilidad[RECAUDOS],"SI",disponibilidad[Mes],$B18,disponibilidad[[Tipo de afectación ]],"caÍda total",disponibilidad[Responsable Falla],"Aliados o terceros",disponibilidad[Acertemos - Cauca],"SI")))/$C18)*100</f>
        <v>100</v>
      </c>
      <c r="N18" s="9">
        <f>+(($C18-(SUMIFS(disponibilidad[Tiempo falla 
(en Mintuos)],disponibilidad[RECARGAS],"SI",disponibilidad[Mes],$B18,disponibilidad[[Tipo de afectación ]],"caÍda total",disponibilidad[Responsable Falla],"Aliados o terceros",disponibilidad[Acertemos - Cauca],"SI")))/$C18)*100</f>
        <v>100</v>
      </c>
      <c r="O18" s="13">
        <f t="shared" si="2"/>
        <v>100</v>
      </c>
      <c r="P18" s="12">
        <f>SUMIFS(disponibilidad[Tiempo falla 
(en Mintuos)],disponibilidad[Mes],$B18,disponibilidad[[Tipo de afectación ]],"caÍda total",disponibilidad[Responsable Falla],"Matrix Tech",disponibilidad[Suchance - Huila],"SI")</f>
        <v>0</v>
      </c>
      <c r="Q18" s="14">
        <f t="shared" si="4"/>
        <v>0</v>
      </c>
      <c r="R18" s="12">
        <f>SUMIFS(disponibilidad[Tiempo falla 
(en Mintuos)],disponibilidad[Mes],$B18,disponibilidad[[Tipo de afectación ]],"caÍda total",disponibilidad[Responsable Falla],"Aliados o terceros",disponibilidad[Suchance - Huila],"SI")</f>
        <v>0</v>
      </c>
      <c r="S18" s="14">
        <f t="shared" si="3"/>
        <v>0</v>
      </c>
      <c r="X18" s="82" t="s">
        <v>31</v>
      </c>
      <c r="Y18" s="271">
        <f>VLOOKUP($Y$7,$B$8:$R$17,11,FALSE)</f>
        <v>100</v>
      </c>
    </row>
    <row r="19" spans="2:25">
      <c r="B19" s="10" t="s">
        <v>178</v>
      </c>
      <c r="C19" s="8">
        <f>VLOOKUP(B19,Maestro!$A$7:$D$19,4,FALSE)</f>
        <v>44640</v>
      </c>
      <c r="D19" s="9">
        <f>+(($C19-(SUMIFS(disponibilidad[Tiempo falla 
(en Mintuos)],disponibilidad[JADE],"SI",disponibilidad[Mes],$B19,disponibilidad[[Tipo de afectación ]],"caÍda total",disponibilidad[Responsable Falla],"Matrix Tech",disponibilidad[Suchance - Huila],"SI")))/$C19)*100</f>
        <v>100</v>
      </c>
      <c r="E19" s="9">
        <f>+(($C19-(SUMIFS(disponibilidad[Tiempo falla 
(en Mintuos)],disponibilidad[SIGA],"SI",disponibilidad[Mes],$B19,disponibilidad[[Tipo de afectación ]],"caÍda total",disponibilidad[Responsable Falla],"Matrix Tech",disponibilidad[Suchance - Huila],"SI")))/$C19)*100</f>
        <v>100</v>
      </c>
      <c r="F19" s="13">
        <f t="shared" si="0"/>
        <v>100</v>
      </c>
      <c r="G19" s="9">
        <f>+(($C19-(SUMIFS(disponibilidad[Tiempo falla 
(en Mintuos)],disponibilidad[Apuestas - Chance],"SI",disponibilidad[Mes],$B19,disponibilidad[[Tipo de afectación ]],"caÍda total",disponibilidad[Responsable Falla],"Matrix Tech",disponibilidad[Suchance - Huila],"SI")))/$C19)*100</f>
        <v>100</v>
      </c>
      <c r="H19" s="9">
        <f>+(($C19-(SUMIFS(disponibilidad[Tiempo falla 
(en Mintuos)],disponibilidad[PAGOS],"SI",disponibilidad[Mes],$B19,disponibilidad[[Tipo de afectación ]],"caÍda total",disponibilidad[Responsable Falla],"Matrix Tech",disponibilidad[Suchance - Huila],"SI")))/$C19)*100</f>
        <v>100</v>
      </c>
      <c r="I19" s="9">
        <f>+(($C19-(SUMIFS(disponibilidad[Tiempo falla 
(en Mintuos)],disponibilidad[RECAUDOS],"SI",disponibilidad[Mes],$B19,disponibilidad[[Tipo de afectación ]],"caÍda total",disponibilidad[Responsable Falla],"Matrix Tech",disponibilidad[Suchance - Huila],"SI")))/$C19)*100</f>
        <v>100</v>
      </c>
      <c r="J19" s="9">
        <f>+(($C19-(SUMIFS(disponibilidad[Tiempo falla 
(en Mintuos)],disponibilidad[RECARGAS],"SI",disponibilidad[Mes],$B19,disponibilidad[[Tipo de afectación ]],"caÍda total",disponibilidad[Responsable Falla],"Matrix Tech",disponibilidad[Suchance - Huila],"SI")))/$C19)*100</f>
        <v>100</v>
      </c>
      <c r="K19" s="13">
        <f t="shared" si="1"/>
        <v>100</v>
      </c>
      <c r="L19" s="9">
        <f>+(($C19-(SUMIFS(disponibilidad[Tiempo falla 
(en Mintuos)],disponibilidad[PAGOS],"SI",disponibilidad[Mes],$B19,disponibilidad[[Tipo de afectación ]],"caÍda total",disponibilidad[Responsable Falla],"Aliados o terceros",disponibilidad[Acertemos - Cauca],"SI")))/$C19)*100</f>
        <v>100</v>
      </c>
      <c r="M19" s="9">
        <f>+(($C19-(SUMIFS(disponibilidad[Tiempo falla 
(en Mintuos)],disponibilidad[RECAUDOS],"SI",disponibilidad[Mes],$B19,disponibilidad[[Tipo de afectación ]],"caÍda total",disponibilidad[Responsable Falla],"Aliados o terceros",disponibilidad[Acertemos - Cauca],"SI")))/$C19)*100</f>
        <v>100</v>
      </c>
      <c r="N19" s="9">
        <f>+(($C19-(SUMIFS(disponibilidad[Tiempo falla 
(en Mintuos)],disponibilidad[RECARGAS],"SI",disponibilidad[Mes],$B19,disponibilidad[[Tipo de afectación ]],"caÍda total",disponibilidad[Responsable Falla],"Aliados o terceros",disponibilidad[Acertemos - Cauca],"SI")))/$C19)*100</f>
        <v>100</v>
      </c>
      <c r="O19" s="13">
        <f t="shared" si="2"/>
        <v>100</v>
      </c>
      <c r="P19" s="12">
        <f>SUMIFS(disponibilidad[Tiempo falla 
(en Mintuos)],disponibilidad[Mes],$B19,disponibilidad[[Tipo de afectación ]],"caÍda total",disponibilidad[Responsable Falla],"Matrix Tech",disponibilidad[Suchance - Huila],"SI")</f>
        <v>0</v>
      </c>
      <c r="Q19" s="14">
        <f t="shared" si="4"/>
        <v>0</v>
      </c>
      <c r="R19" s="12">
        <f>SUMIFS(disponibilidad[Tiempo falla 
(en Mintuos)],disponibilidad[Mes],$B19,disponibilidad[[Tipo de afectación ]],"caÍda total",disponibilidad[Responsable Falla],"Aliados o terceros",disponibilidad[Suchance - Huila],"SI")</f>
        <v>0</v>
      </c>
      <c r="S19" s="14">
        <f t="shared" si="3"/>
        <v>0</v>
      </c>
      <c r="X19" s="272" t="s">
        <v>179</v>
      </c>
      <c r="Y19" s="273">
        <f>VLOOKUP($Y$7,$B$8:$R$17,12,FALSE)</f>
        <v>100</v>
      </c>
    </row>
  </sheetData>
  <mergeCells count="20">
    <mergeCell ref="L5:N5"/>
    <mergeCell ref="O5:O7"/>
    <mergeCell ref="P5:Q5"/>
    <mergeCell ref="R5:S5"/>
    <mergeCell ref="P6:P7"/>
    <mergeCell ref="Q6:Q7"/>
    <mergeCell ref="R6:R7"/>
    <mergeCell ref="S6:S7"/>
    <mergeCell ref="K5:K6"/>
    <mergeCell ref="B5:B7"/>
    <mergeCell ref="C5:C6"/>
    <mergeCell ref="D5:E5"/>
    <mergeCell ref="F5:F7"/>
    <mergeCell ref="G5:J5"/>
    <mergeCell ref="C1:D3"/>
    <mergeCell ref="E1:K1"/>
    <mergeCell ref="N1:P1"/>
    <mergeCell ref="E2:K2"/>
    <mergeCell ref="E3:K3"/>
    <mergeCell ref="N3:P3"/>
  </mergeCells>
  <conditionalFormatting sqref="F8:F19">
    <cfRule type="cellIs" dxfId="73" priority="5" operator="lessThan">
      <formula>99.7</formula>
    </cfRule>
    <cfRule type="cellIs" dxfId="72" priority="6" operator="greaterThanOrEqual">
      <formula>99.7</formula>
    </cfRule>
  </conditionalFormatting>
  <conditionalFormatting sqref="K8:K19">
    <cfRule type="cellIs" dxfId="71" priority="3" operator="lessThan">
      <formula>99.7</formula>
    </cfRule>
    <cfRule type="cellIs" dxfId="70" priority="4" operator="greaterThanOrEqual">
      <formula>99.7</formula>
    </cfRule>
  </conditionalFormatting>
  <conditionalFormatting sqref="O8:O19">
    <cfRule type="cellIs" dxfId="69" priority="1" operator="lessThan">
      <formula>99.7</formula>
    </cfRule>
    <cfRule type="cellIs" dxfId="68" priority="2" operator="greaterThanOrEqual">
      <formula>99.7</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9E621F88-39C1-44B1-BC0D-FE94038853F8}">
          <x14:formula1>
            <xm:f>Maestro!$A$8:$A$19</xm:f>
          </x14:formula1>
          <xm:sqref>Y7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4981-8FD2-429B-BA51-E1638506CAED}">
  <sheetPr codeName="Hoja7"/>
  <dimension ref="B1:Y19"/>
  <sheetViews>
    <sheetView showGridLines="0" topLeftCell="E6" zoomScaleNormal="100" workbookViewId="0">
      <selection activeCell="Y7" sqref="Y7"/>
    </sheetView>
  </sheetViews>
  <sheetFormatPr defaultColWidth="11.42578125" defaultRowHeight="15"/>
  <cols>
    <col min="2" max="2" width="11.42578125" bestFit="1" customWidth="1"/>
    <col min="3" max="3" width="8.28515625" style="5" bestFit="1" customWidth="1"/>
    <col min="4" max="4" width="8" style="6" bestFit="1" customWidth="1"/>
    <col min="5" max="5" width="9.42578125" style="6" bestFit="1" customWidth="1"/>
    <col min="6" max="6" width="10" style="6" customWidth="1"/>
    <col min="7" max="9" width="7.7109375" style="6" customWidth="1"/>
    <col min="10" max="10" width="10.7109375" style="6" customWidth="1"/>
    <col min="11" max="11" width="9" style="6" customWidth="1"/>
    <col min="12" max="14" width="8.42578125" customWidth="1"/>
    <col min="15" max="15" width="10.42578125" customWidth="1"/>
    <col min="16" max="16" width="14.140625" customWidth="1"/>
    <col min="17" max="17" width="7.5703125" customWidth="1"/>
    <col min="18" max="18" width="7.85546875" customWidth="1"/>
    <col min="19" max="19" width="6.85546875" customWidth="1"/>
    <col min="24" max="24" width="17.140625" customWidth="1"/>
  </cols>
  <sheetData>
    <row r="1" spans="2:25" ht="18" customHeight="1">
      <c r="C1" s="324"/>
      <c r="D1" s="325"/>
      <c r="E1" s="330" t="s">
        <v>156</v>
      </c>
      <c r="F1" s="331"/>
      <c r="G1" s="331"/>
      <c r="H1" s="331"/>
      <c r="I1" s="331"/>
      <c r="J1" s="331"/>
      <c r="K1" s="332"/>
      <c r="L1" s="180" t="s">
        <v>0</v>
      </c>
      <c r="M1" s="180"/>
      <c r="N1" s="333" t="s">
        <v>1</v>
      </c>
      <c r="O1" s="334"/>
      <c r="P1" s="335"/>
    </row>
    <row r="2" spans="2:25" ht="15.75" customHeight="1">
      <c r="C2" s="326"/>
      <c r="D2" s="327"/>
      <c r="E2" s="336" t="s">
        <v>2</v>
      </c>
      <c r="F2" s="337"/>
      <c r="G2" s="337"/>
      <c r="H2" s="337"/>
      <c r="I2" s="337"/>
      <c r="J2" s="337"/>
      <c r="K2" s="338"/>
      <c r="L2" s="181" t="s">
        <v>3</v>
      </c>
      <c r="M2" s="181"/>
      <c r="N2" s="181">
        <v>0</v>
      </c>
      <c r="O2" s="181"/>
      <c r="P2" s="181"/>
    </row>
    <row r="3" spans="2:25" ht="15.75" customHeight="1">
      <c r="C3" s="328"/>
      <c r="D3" s="329"/>
      <c r="E3" s="333" t="s">
        <v>4</v>
      </c>
      <c r="F3" s="334"/>
      <c r="G3" s="334"/>
      <c r="H3" s="334"/>
      <c r="I3" s="334"/>
      <c r="J3" s="334"/>
      <c r="K3" s="335"/>
      <c r="L3" s="180" t="s">
        <v>5</v>
      </c>
      <c r="M3" s="180"/>
      <c r="N3" s="339">
        <v>45525</v>
      </c>
      <c r="O3" s="340"/>
      <c r="P3" s="341"/>
    </row>
    <row r="5" spans="2:25" ht="31.5" customHeight="1">
      <c r="B5" s="344" t="s">
        <v>9</v>
      </c>
      <c r="C5" s="344" t="s">
        <v>157</v>
      </c>
      <c r="D5" s="347" t="s">
        <v>158</v>
      </c>
      <c r="E5" s="348"/>
      <c r="F5" s="342" t="s">
        <v>159</v>
      </c>
      <c r="G5" s="347" t="s">
        <v>160</v>
      </c>
      <c r="H5" s="348"/>
      <c r="I5" s="348"/>
      <c r="J5" s="348"/>
      <c r="K5" s="342" t="s">
        <v>180</v>
      </c>
      <c r="L5" s="350" t="s">
        <v>162</v>
      </c>
      <c r="M5" s="351"/>
      <c r="N5" s="352"/>
      <c r="O5" s="353" t="s">
        <v>161</v>
      </c>
      <c r="P5" s="356" t="s">
        <v>163</v>
      </c>
      <c r="Q5" s="356"/>
      <c r="R5" s="357" t="s">
        <v>164</v>
      </c>
      <c r="S5" s="357"/>
    </row>
    <row r="6" spans="2:25" ht="66" customHeight="1">
      <c r="B6" s="345"/>
      <c r="C6" s="346"/>
      <c r="D6" s="15" t="s">
        <v>16</v>
      </c>
      <c r="E6" s="15" t="s">
        <v>17</v>
      </c>
      <c r="F6" s="343"/>
      <c r="G6" s="15" t="s">
        <v>28</v>
      </c>
      <c r="H6" s="15" t="s">
        <v>29</v>
      </c>
      <c r="I6" s="15" t="s">
        <v>30</v>
      </c>
      <c r="J6" s="15" t="s">
        <v>31</v>
      </c>
      <c r="K6" s="343"/>
      <c r="L6" s="11" t="s">
        <v>29</v>
      </c>
      <c r="M6" s="11" t="s">
        <v>30</v>
      </c>
      <c r="N6" s="11" t="s">
        <v>31</v>
      </c>
      <c r="O6" s="354"/>
      <c r="P6" s="358" t="s">
        <v>165</v>
      </c>
      <c r="Q6" s="358" t="s">
        <v>166</v>
      </c>
      <c r="R6" s="360" t="s">
        <v>165</v>
      </c>
      <c r="S6" s="360" t="s">
        <v>166</v>
      </c>
    </row>
    <row r="7" spans="2:25" s="19" customFormat="1" ht="18.75" customHeight="1">
      <c r="B7" s="346"/>
      <c r="C7" s="17" t="s">
        <v>167</v>
      </c>
      <c r="D7" s="58">
        <v>0.97</v>
      </c>
      <c r="E7" s="58">
        <v>0.03</v>
      </c>
      <c r="F7" s="349"/>
      <c r="G7" s="58">
        <v>0.56999999999999995</v>
      </c>
      <c r="H7" s="58">
        <v>0.03</v>
      </c>
      <c r="I7" s="58">
        <v>0.1</v>
      </c>
      <c r="J7" s="58">
        <v>0.3</v>
      </c>
      <c r="K7" s="59">
        <f>SUM(G7:J7)</f>
        <v>1</v>
      </c>
      <c r="L7" s="18"/>
      <c r="M7" s="18"/>
      <c r="N7" s="18"/>
      <c r="O7" s="355"/>
      <c r="P7" s="359"/>
      <c r="Q7" s="359"/>
      <c r="R7" s="361"/>
      <c r="S7" s="361"/>
      <c r="X7" s="274" t="s">
        <v>168</v>
      </c>
      <c r="Y7" s="274" t="s">
        <v>91</v>
      </c>
    </row>
    <row r="8" spans="2:25">
      <c r="B8" s="7" t="s">
        <v>37</v>
      </c>
      <c r="C8" s="8">
        <f>VLOOKUP(B8,Maestro!$A$7:$D$19,4,FALSE)</f>
        <v>44640</v>
      </c>
      <c r="D8" s="9">
        <f>+(($C8-(SUMIFS(disponibilidad[Tiempo falla 
(en Mintuos)],disponibilidad[JADE],"SI",disponibilidad[Mes],$B8,disponibilidad[[Tipo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Boyacá],"SI")))/$C8)*100</f>
        <v>99.894713261657614</v>
      </c>
      <c r="E8" s="9">
        <f>+(($C8-(SUMIFS(disponibilidad[Tiempo falla 
(en Mintuos)],disponibilidad[SIGA],"SI",disponibilidad[Mes],$B8,disponibilidad[[Tipo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Boyacá],"SI")))/$C8)*100</f>
        <v>100</v>
      </c>
      <c r="F8" s="13">
        <f t="shared" ref="F8:F19" si="0">SUMPRODUCT($D$7:$E$7,D8:E8)/$K$7</f>
        <v>99.897871863807879</v>
      </c>
      <c r="G8" s="9">
        <f>+(($C8-(SUMIFS(disponibilidad[Tiempo falla 
(en Mintuos)],disponibilidad[Apuestas - Chance],"SI",disponibilidad[Mes],$B8,disponibilidad[[Tipo de afectación ]],"caÍda total",disponibilidad[Responsable Falla],"Matrix Tech",disponibilidad[Jer - Boyacá],"SI")))/$C8)*100</f>
        <v>99.894713261657614</v>
      </c>
      <c r="H8" s="9">
        <f>+(($C8-(SUMIFS(disponibilidad[Tiempo falla 
(en Mintuos)],disponibilidad[PAGOS],"SI",disponibilidad[Mes],$B8,disponibilidad[[Tipo de afectación ]],"caÍda total",disponibilidad[Responsable Falla],"Matrix Tech",disponibilidad[Jer - Boyacá],"SI")))/$C8)*100</f>
        <v>99.894713261657614</v>
      </c>
      <c r="I8" s="9">
        <f>+(($C8-(SUMIFS(disponibilidad[Tiempo falla 
(en Mintuos)],disponibilidad[RECAUDOS],"SI",disponibilidad[Mes],$B8,disponibilidad[[Tipo de afectación ]],"caÍda total",disponibilidad[Responsable Falla],"Matrix Tech",disponibilidad[Jer - Boyacá],"SI")))/$C8)*100</f>
        <v>99.894713261657614</v>
      </c>
      <c r="J8" s="9">
        <f>+(($C8-(SUMIFS(disponibilidad[Tiempo falla 
(en Mintuos)],disponibilidad[RECARGAS],"SI",disponibilidad[Mes],$B8,disponibilidad[[Tipo de afectación ]],"caÍda total",disponibilidad[Responsable Falla],"Matrix Tech",disponibilidad[Jer - Boyacá],"SI")))/$C8)*100</f>
        <v>99.894713261657614</v>
      </c>
      <c r="K8" s="13">
        <f t="shared" ref="K8:K19" si="1">SUMPRODUCT($G$7:$J$7,G8:J8)/$K$7</f>
        <v>99.8947132616576</v>
      </c>
      <c r="L8" s="9">
        <f>+(($C8-(SUMIFS(disponibilidad[Tiempo falla 
(en Mintuos)],disponibilidad[PAGOS],"SI",disponibilidad[Mes],$B8,disponibilidad[[Tipo de afectación ]],"caÍda total",disponibilidad[Responsable Falla],"Aliados o terceros",disponibilidad[Jer - Boyacá],"SI")))/$C8)*100</f>
        <v>100</v>
      </c>
      <c r="M8" s="9">
        <f>+(($C8-(SUMIFS(disponibilidad[Tiempo falla 
(en Mintuos)],disponibilidad[RECAUDOS],"SI",disponibilidad[Mes],$B8,disponibilidad[[Tipo de afectación ]],"caÍda total",disponibilidad[Responsable Falla],"Aliados o terceros",disponibilidad[Jer - Boyacá],"SI")))/$C8)*100</f>
        <v>100</v>
      </c>
      <c r="N8" s="9">
        <f>+(($C8-(SUMIFS(disponibilidad[Tiempo falla 
(en Mintuos)],disponibilidad[RECARGAS],"SI",disponibilidad[Mes],$B8,disponibilidad[[Tipo de afectación ]],"caÍda total",disponibilidad[Responsable Falla],"Aliados o terceros",disponibilidad[Jer - Boyacá],"SI")))/$C8)*100</f>
        <v>100</v>
      </c>
      <c r="O8" s="13">
        <f t="shared" ref="O8:O19" si="2">AVERAGE(L8:N8)</f>
        <v>100</v>
      </c>
      <c r="P8" s="12">
        <f>SUMIFS(disponibilidad[Tiempo falla 
(en Mintuos)],disponibilidad[Mes],$B8,disponibilidad[[Tipo de afectación ]],"caÍda total",disponibilidad[Responsable Falla],"Matrix Tech",disponibilidad[Jer - Boyacá],"SI")</f>
        <v>46.999999996041879</v>
      </c>
      <c r="Q8" s="14">
        <f t="shared" ref="Q8:Q19" si="3">+P8/C8</f>
        <v>1.0528673834238771E-3</v>
      </c>
      <c r="R8" s="12">
        <f>SUMIFS(disponibilidad[Tiempo falla 
(en Mintuos)],disponibilidad[Mes],$B8,disponibilidad[[Tipo de afectación ]],"caÍda total",disponibilidad[Responsable Falla],"Aliados o terceros",disponibilidad[Acertemos - Cauca],"SI")</f>
        <v>0</v>
      </c>
      <c r="S8" s="14">
        <f t="shared" ref="S8:S19" si="4">+R8/C8</f>
        <v>0</v>
      </c>
      <c r="X8" s="129"/>
    </row>
    <row r="9" spans="2:25">
      <c r="B9" s="10" t="s">
        <v>91</v>
      </c>
      <c r="C9" s="8">
        <f>VLOOKUP(B9,Maestro!$A$7:$D$19,4,FALSE)</f>
        <v>41760</v>
      </c>
      <c r="D9" s="9">
        <f>+(($C9-(SUMIFS(disponibilidad[Tiempo falla 
(en Mintuos)],disponibilidad[JADE],"SI",disponibilidad[Mes],$B9,disponibilidad[[Tipo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Boyacá],"SI")))/$C9)*100</f>
        <v>99.794061302663039</v>
      </c>
      <c r="E9" s="9">
        <f>+(($C9-(SUMIFS(disponibilidad[Tiempo falla 
(en Mintuos)],disponibilidad[SIGA],"SI",disponibilidad[Mes],$B9,disponibilidad[[Tipo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Boyacá],"SI")))/$C9)*100</f>
        <v>100</v>
      </c>
      <c r="F9" s="13">
        <f t="shared" si="0"/>
        <v>99.800239463583139</v>
      </c>
      <c r="G9" s="9">
        <f>+(($C9-(SUMIFS(disponibilidad[Tiempo falla 
(en Mintuos)],disponibilidad[Apuestas - Chance],"SI",disponibilidad[Mes],$B9,disponibilidad[[Tipo de afectación ]],"caÍda total",disponibilidad[Responsable Falla],"Matrix Tech",disponibilidad[Jer - Boyacá],"SI")))/$C9)*100</f>
        <v>99.794061302663039</v>
      </c>
      <c r="H9" s="9">
        <f>+(($C9-(SUMIFS(disponibilidad[Tiempo falla 
(en Mintuos)],disponibilidad[PAGOS],"SI",disponibilidad[Mes],$B9,disponibilidad[[Tipo de afectación ]],"caÍda total",disponibilidad[Responsable Falla],"Matrix Tech",disponibilidad[Jer - Boyacá],"SI")))/$C9)*100</f>
        <v>99.794061302663039</v>
      </c>
      <c r="I9" s="9">
        <f>+(($C9-(SUMIFS(disponibilidad[Tiempo falla 
(en Mintuos)],disponibilidad[RECAUDOS],"SI",disponibilidad[Mes],$B9,disponibilidad[[Tipo de afectación ]],"caÍda total",disponibilidad[Responsable Falla],"Matrix Tech",disponibilidad[Jer - Boyacá],"SI")))/$C9)*100</f>
        <v>99.794061302663039</v>
      </c>
      <c r="J9" s="9">
        <f>+(($C9-(SUMIFS(disponibilidad[Tiempo falla 
(en Mintuos)],disponibilidad[RECARGAS],"SI",disponibilidad[Mes],$B9,disponibilidad[[Tipo de afectación ]],"caÍda total",disponibilidad[Responsable Falla],"Matrix Tech",disponibilidad[Jer - Boyacá],"SI")))/$C9)*100</f>
        <v>99.794061302663039</v>
      </c>
      <c r="K9" s="13">
        <f t="shared" si="1"/>
        <v>99.794061302663039</v>
      </c>
      <c r="L9" s="9">
        <f>+(($C9-(SUMIFS(disponibilidad[Tiempo falla 
(en Mintuos)],disponibilidad[PAGOS],"SI",disponibilidad[Mes],$B9,disponibilidad[[Tipo de afectación ]],"caÍda total",disponibilidad[Responsable Falla],"Aliados o terceros",disponibilidad[Jer - Boyacá],"SI")))/$C9)*100</f>
        <v>100</v>
      </c>
      <c r="M9" s="9">
        <f>+(($C9-(SUMIFS(disponibilidad[Tiempo falla 
(en Mintuos)],disponibilidad[RECAUDOS],"SI",disponibilidad[Mes],$B9,disponibilidad[[Tipo de afectación ]],"caÍda total",disponibilidad[Responsable Falla],"Aliados o terceros",disponibilidad[Jer - Boyacá],"SI")))/$C9)*100</f>
        <v>100</v>
      </c>
      <c r="N9" s="9">
        <f>+(($C9-(SUMIFS(disponibilidad[Tiempo falla 
(en Mintuos)],disponibilidad[RECARGAS],"SI",disponibilidad[Mes],$B9,disponibilidad[[Tipo de afectación ]],"caÍda total",disponibilidad[Responsable Falla],"Aliados o terceros",disponibilidad[Jer - Boyacá],"SI")))/$C9)*100</f>
        <v>100</v>
      </c>
      <c r="O9" s="13">
        <f t="shared" si="2"/>
        <v>100</v>
      </c>
      <c r="P9" s="12">
        <f>SUMIFS(disponibilidad[Tiempo falla 
(en Mintuos)],disponibilidad[Mes],$B9,disponibilidad[[Tipo de afectación ]],"caÍda total",disponibilidad[Responsable Falla],"Matrix Tech",disponibilidad[Jer - Boyacá],"SI")</f>
        <v>86.000000007916242</v>
      </c>
      <c r="Q9" s="14">
        <f t="shared" si="3"/>
        <v>2.0593869733696417E-3</v>
      </c>
      <c r="R9" s="12">
        <f>SUMIFS(disponibilidad[Tiempo falla 
(en Mintuos)],disponibilidad[Mes],$B9,disponibilidad[[Tipo de afectación ]],"caÍda total",disponibilidad[Responsable Falla],"Aliados o terceros",disponibilidad[Acertemos - Cauca],"SI")</f>
        <v>0</v>
      </c>
      <c r="S9" s="14">
        <f t="shared" si="4"/>
        <v>0</v>
      </c>
      <c r="X9" s="270" t="s">
        <v>16</v>
      </c>
      <c r="Y9" s="271">
        <f>VLOOKUP($Y$7,$B$8:$R$17,3,FALSE)</f>
        <v>99.794061302663039</v>
      </c>
    </row>
    <row r="10" spans="2:25">
      <c r="B10" s="10" t="s">
        <v>148</v>
      </c>
      <c r="C10" s="8">
        <f>VLOOKUP(B10,Maestro!$A$7:$D$19,4,FALSE)</f>
        <v>44640</v>
      </c>
      <c r="D10" s="9">
        <f>+(($C10-(SUMIFS(disponibilidad[Tiempo falla 
(en Mintuos)],disponibilidad[JADE],"SI",disponibilidad[Mes],$B10,disponibilidad[[Tipo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Boyacá],"SI")))/$C10)*100</f>
        <v>100</v>
      </c>
      <c r="E10" s="9">
        <f>+(($C10-(SUMIFS(disponibilidad[Tiempo falla 
(en Mintuos)],disponibilidad[SIGA],"SI",disponibilidad[Mes],$B10,disponibilidad[[Tipo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Boyacá],"SI")))/$C10)*100</f>
        <v>100</v>
      </c>
      <c r="F10" s="13">
        <f t="shared" si="0"/>
        <v>100</v>
      </c>
      <c r="G10" s="9">
        <f>+(($C10-(SUMIFS(disponibilidad[Tiempo falla 
(en Mintuos)],disponibilidad[Apuestas - Chance],"SI",disponibilidad[Mes],$B10,disponibilidad[[Tipo de afectación ]],"caÍda total",disponibilidad[Responsable Falla],"Matrix Tech",disponibilidad[Jer - Boyacá],"SI")))/$C10)*100</f>
        <v>100</v>
      </c>
      <c r="H10" s="9">
        <f>+(($C10-(SUMIFS(disponibilidad[Tiempo falla 
(en Mintuos)],disponibilidad[PAGOS],"SI",disponibilidad[Mes],$B10,disponibilidad[[Tipo de afectación ]],"caÍda total",disponibilidad[Responsable Falla],"Matrix Tech",disponibilidad[Jer - Boyacá],"SI")))/$C10)*100</f>
        <v>100</v>
      </c>
      <c r="I10" s="9">
        <f>+(($C10-(SUMIFS(disponibilidad[Tiempo falla 
(en Mintuos)],disponibilidad[RECAUDOS],"SI",disponibilidad[Mes],$B10,disponibilidad[[Tipo de afectación ]],"caÍda total",disponibilidad[Responsable Falla],"Matrix Tech",disponibilidad[Jer - Boyacá],"SI")))/$C10)*100</f>
        <v>100</v>
      </c>
      <c r="J10" s="9">
        <f>+(($C10-(SUMIFS(disponibilidad[Tiempo falla 
(en Mintuos)],disponibilidad[RECARGAS],"SI",disponibilidad[Mes],$B10,disponibilidad[[Tipo de afectación ]],"caÍda total",disponibilidad[Responsable Falla],"Matrix Tech",disponibilidad[Jer - Boyacá],"SI")))/$C10)*100</f>
        <v>100</v>
      </c>
      <c r="K10" s="13">
        <f t="shared" si="1"/>
        <v>100</v>
      </c>
      <c r="L10" s="9">
        <f>+(($C10-(SUMIFS(disponibilidad[Tiempo falla 
(en Mintuos)],disponibilidad[PAGOS],"SI",disponibilidad[Mes],$B10,disponibilidad[[Tipo de afectación ]],"caÍda total",disponibilidad[Responsable Falla],"Aliados o terceros",disponibilidad[Jer - Boyacá],"SI")))/$C10)*100</f>
        <v>100</v>
      </c>
      <c r="M10" s="9">
        <f>+(($C10-(SUMIFS(disponibilidad[Tiempo falla 
(en Mintuos)],disponibilidad[RECAUDOS],"SI",disponibilidad[Mes],$B10,disponibilidad[[Tipo de afectación ]],"caÍda total",disponibilidad[Responsable Falla],"Aliados o terceros",disponibilidad[Jer - Boyacá],"SI")))/$C10)*100</f>
        <v>100</v>
      </c>
      <c r="N10" s="9">
        <f>+(($C10-(SUMIFS(disponibilidad[Tiempo falla 
(en Mintuos)],disponibilidad[RECARGAS],"SI",disponibilidad[Mes],$B10,disponibilidad[[Tipo de afectación ]],"caÍda total",disponibilidad[Responsable Falla],"Aliados o terceros",disponibilidad[Jer - Boyacá],"SI")))/$C10)*100</f>
        <v>100</v>
      </c>
      <c r="O10" s="13">
        <f t="shared" si="2"/>
        <v>100</v>
      </c>
      <c r="P10" s="12">
        <f>SUMIFS(disponibilidad[Tiempo falla 
(en Mintuos)],disponibilidad[Mes],$B10,disponibilidad[[Tipo de afectación ]],"caÍda total",disponibilidad[Responsable Falla],"Matrix Tech",disponibilidad[Jer - Boyacá],"SI")</f>
        <v>0</v>
      </c>
      <c r="Q10" s="14">
        <f t="shared" si="3"/>
        <v>0</v>
      </c>
      <c r="R10" s="12">
        <f>SUMIFS(disponibilidad[Tiempo falla 
(en Mintuos)],disponibilidad[Mes],$B10,disponibilidad[[Tipo de afectación ]],"caÍda total",disponibilidad[Responsable Falla],"Aliados o terceros",disponibilidad[Acertemos - Cauca],"SI")</f>
        <v>0</v>
      </c>
      <c r="S10" s="14">
        <f t="shared" si="4"/>
        <v>0</v>
      </c>
      <c r="X10" s="82" t="s">
        <v>17</v>
      </c>
      <c r="Y10" s="271">
        <f>VLOOKUP($Y$7,$B$8:$R$17,4,FALSE)</f>
        <v>100</v>
      </c>
    </row>
    <row r="11" spans="2:25">
      <c r="B11" s="10" t="s">
        <v>170</v>
      </c>
      <c r="C11" s="8">
        <f>VLOOKUP(B11,Maestro!$A$7:$D$19,4,FALSE)</f>
        <v>43200</v>
      </c>
      <c r="D11" s="9">
        <f>+(($C11-(SUMIFS(disponibilidad[Tiempo falla 
(en Mintuos)],disponibilidad[JADE],"SI",disponibilidad[Mes],$B11,disponibilidad[[Tipo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Boyacá],"SI")))/$C11)*100</f>
        <v>100</v>
      </c>
      <c r="E11" s="9">
        <f>+(($C11-(SUMIFS(disponibilidad[Tiempo falla 
(en Mintuos)],disponibilidad[SIGA],"SI",disponibilidad[Mes],$B11,disponibilidad[[Tipo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Boyacá],"SI")))/$C11)*100</f>
        <v>100</v>
      </c>
      <c r="F11" s="13">
        <f t="shared" si="0"/>
        <v>100</v>
      </c>
      <c r="G11" s="9">
        <f>+(($C11-(SUMIFS(disponibilidad[Tiempo falla 
(en Mintuos)],disponibilidad[Apuestas - Chance],"SI",disponibilidad[Mes],$B11,disponibilidad[[Tipo de afectación ]],"caÍda total",disponibilidad[Responsable Falla],"Matrix Tech",disponibilidad[Jer - Boyacá],"SI")))/$C11)*100</f>
        <v>100</v>
      </c>
      <c r="H11" s="9">
        <f>+(($C11-(SUMIFS(disponibilidad[Tiempo falla 
(en Mintuos)],disponibilidad[PAGOS],"SI",disponibilidad[Mes],$B11,disponibilidad[[Tipo de afectación ]],"caÍda total",disponibilidad[Responsable Falla],"Matrix Tech",disponibilidad[Jer - Boyacá],"SI")))/$C11)*100</f>
        <v>100</v>
      </c>
      <c r="I11" s="9">
        <f>+(($C11-(SUMIFS(disponibilidad[Tiempo falla 
(en Mintuos)],disponibilidad[RECAUDOS],"SI",disponibilidad[Mes],$B11,disponibilidad[[Tipo de afectación ]],"caÍda total",disponibilidad[Responsable Falla],"Matrix Tech",disponibilidad[Jer - Boyacá],"SI")))/$C11)*100</f>
        <v>100</v>
      </c>
      <c r="J11" s="9">
        <f>+(($C11-(SUMIFS(disponibilidad[Tiempo falla 
(en Mintuos)],disponibilidad[RECARGAS],"SI",disponibilidad[Mes],$B11,disponibilidad[[Tipo de afectación ]],"caÍda total",disponibilidad[Responsable Falla],"Matrix Tech",disponibilidad[Jer - Boyacá],"SI")))/$C11)*100</f>
        <v>100</v>
      </c>
      <c r="K11" s="13">
        <f t="shared" si="1"/>
        <v>100</v>
      </c>
      <c r="L11" s="9">
        <f>+(($C11-(SUMIFS(disponibilidad[Tiempo falla 
(en Mintuos)],disponibilidad[PAGOS],"SI",disponibilidad[Mes],$B11,disponibilidad[[Tipo de afectación ]],"caÍda total",disponibilidad[Responsable Falla],"Aliados o terceros",disponibilidad[Jer - Boyacá],"SI")))/$C11)*100</f>
        <v>100</v>
      </c>
      <c r="M11" s="9">
        <f>+(($C11-(SUMIFS(disponibilidad[Tiempo falla 
(en Mintuos)],disponibilidad[RECAUDOS],"SI",disponibilidad[Mes],$B11,disponibilidad[[Tipo de afectación ]],"caÍda total",disponibilidad[Responsable Falla],"Aliados o terceros",disponibilidad[Jer - Boyacá],"SI")))/$C11)*100</f>
        <v>100</v>
      </c>
      <c r="N11" s="9">
        <f>+(($C11-(SUMIFS(disponibilidad[Tiempo falla 
(en Mintuos)],disponibilidad[RECARGAS],"SI",disponibilidad[Mes],$B11,disponibilidad[[Tipo de afectación ]],"caÍda total",disponibilidad[Responsable Falla],"Aliados o terceros",disponibilidad[Jer - Boyacá],"SI")))/$C11)*100</f>
        <v>100</v>
      </c>
      <c r="O11" s="13">
        <f t="shared" si="2"/>
        <v>100</v>
      </c>
      <c r="P11" s="12">
        <f>SUMIFS(disponibilidad[Tiempo falla 
(en Mintuos)],disponibilidad[Mes],$B11,disponibilidad[[Tipo de afectación ]],"caÍda total",disponibilidad[Responsable Falla],"Matrix Tech",disponibilidad[Jer - Boyacá],"SI")</f>
        <v>0</v>
      </c>
      <c r="Q11" s="14">
        <f t="shared" si="3"/>
        <v>0</v>
      </c>
      <c r="R11" s="12">
        <f>SUMIFS(disponibilidad[Tiempo falla 
(en Mintuos)],disponibilidad[Mes],$B11,disponibilidad[[Tipo de afectación ]],"caÍda total",disponibilidad[Responsable Falla],"Aliados o terceros",disponibilidad[Acertemos - Cauca],"SI")</f>
        <v>0</v>
      </c>
      <c r="S11" s="14">
        <f t="shared" si="4"/>
        <v>0</v>
      </c>
      <c r="X11" s="272" t="s">
        <v>171</v>
      </c>
      <c r="Y11" s="271">
        <f>VLOOKUP($Y$7,$B$8:$R$17,7,FALSE)</f>
        <v>99.794061302663039</v>
      </c>
    </row>
    <row r="12" spans="2:25">
      <c r="B12" s="10" t="s">
        <v>169</v>
      </c>
      <c r="C12" s="8">
        <f>VLOOKUP(B12,Maestro!$A$7:$D$19,4,FALSE)</f>
        <v>44640</v>
      </c>
      <c r="D12" s="9">
        <f>+(($C12-(SUMIFS(disponibilidad[Tiempo falla 
(en Mintuos)],disponibilidad[JADE],"SI",disponibilidad[Mes],$B12,disponibilidad[[Tipo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Boyacá],"SI")))/$C12)*100</f>
        <v>100</v>
      </c>
      <c r="E12" s="9">
        <f>+(($C12-(SUMIFS(disponibilidad[Tiempo falla 
(en Mintuos)],disponibilidad[SIGA],"SI",disponibilidad[Mes],$B12,disponibilidad[[Tipo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Boyacá],"SI")))/$C12)*100</f>
        <v>100</v>
      </c>
      <c r="F12" s="13">
        <f t="shared" si="0"/>
        <v>100</v>
      </c>
      <c r="G12" s="9">
        <f>+(($C12-(SUMIFS(disponibilidad[Tiempo falla 
(en Mintuos)],disponibilidad[Apuestas - Chance],"SI",disponibilidad[Mes],$B12,disponibilidad[[Tipo de afectación ]],"caÍda total",disponibilidad[Responsable Falla],"Matrix Tech",disponibilidad[Jer - Boyacá],"SI")))/$C12)*100</f>
        <v>100</v>
      </c>
      <c r="H12" s="9">
        <f>+(($C12-(SUMIFS(disponibilidad[Tiempo falla 
(en Mintuos)],disponibilidad[PAGOS],"SI",disponibilidad[Mes],$B12,disponibilidad[[Tipo de afectación ]],"caÍda total",disponibilidad[Responsable Falla],"Matrix Tech",disponibilidad[Jer - Boyacá],"SI")))/$C12)*100</f>
        <v>100</v>
      </c>
      <c r="I12" s="9">
        <f>+(($C12-(SUMIFS(disponibilidad[Tiempo falla 
(en Mintuos)],disponibilidad[RECAUDOS],"SI",disponibilidad[Mes],$B12,disponibilidad[[Tipo de afectación ]],"caÍda total",disponibilidad[Responsable Falla],"Matrix Tech",disponibilidad[Jer - Boyacá],"SI")))/$C12)*100</f>
        <v>100</v>
      </c>
      <c r="J12" s="9">
        <f>+(($C12-(SUMIFS(disponibilidad[Tiempo falla 
(en Mintuos)],disponibilidad[RECARGAS],"SI",disponibilidad[Mes],$B12,disponibilidad[[Tipo de afectación ]],"caÍda total",disponibilidad[Responsable Falla],"Matrix Tech",disponibilidad[Jer - Boyacá],"SI")))/$C12)*100</f>
        <v>100</v>
      </c>
      <c r="K12" s="13">
        <f t="shared" si="1"/>
        <v>100</v>
      </c>
      <c r="L12" s="9">
        <f>+(($C12-(SUMIFS(disponibilidad[Tiempo falla 
(en Mintuos)],disponibilidad[PAGOS],"SI",disponibilidad[Mes],$B12,disponibilidad[[Tipo de afectación ]],"caÍda total",disponibilidad[Responsable Falla],"Aliados o terceros",disponibilidad[Jer - Boyacá],"SI")))/$C12)*100</f>
        <v>100</v>
      </c>
      <c r="M12" s="9">
        <f>+(($C12-(SUMIFS(disponibilidad[Tiempo falla 
(en Mintuos)],disponibilidad[RECAUDOS],"SI",disponibilidad[Mes],$B12,disponibilidad[[Tipo de afectación ]],"caÍda total",disponibilidad[Responsable Falla],"Aliados o terceros",disponibilidad[Jer - Boyacá],"SI")))/$C12)*100</f>
        <v>100</v>
      </c>
      <c r="N12" s="9">
        <f>+(($C12-(SUMIFS(disponibilidad[Tiempo falla 
(en Mintuos)],disponibilidad[RECARGAS],"SI",disponibilidad[Mes],$B12,disponibilidad[[Tipo de afectación ]],"caÍda total",disponibilidad[Responsable Falla],"Aliados o terceros",disponibilidad[Jer - Boyacá],"SI")))/$C12)*100</f>
        <v>100</v>
      </c>
      <c r="O12" s="13">
        <f t="shared" si="2"/>
        <v>100</v>
      </c>
      <c r="P12" s="12">
        <f>SUMIFS(disponibilidad[Tiempo falla 
(en Mintuos)],disponibilidad[Mes],$B12,disponibilidad[[Tipo de afectación ]],"caÍda total",disponibilidad[Responsable Falla],"Matrix Tech",disponibilidad[Jer - Boyacá],"SI")</f>
        <v>0</v>
      </c>
      <c r="Q12" s="14">
        <f t="shared" si="3"/>
        <v>0</v>
      </c>
      <c r="R12" s="12">
        <f>SUMIFS(disponibilidad[Tiempo falla 
(en Mintuos)],disponibilidad[Mes],$B12,disponibilidad[[Tipo de afectación ]],"caÍda total",disponibilidad[Responsable Falla],"Aliados o terceros",disponibilidad[Acertemos - Cauca],"SI")</f>
        <v>0</v>
      </c>
      <c r="S12" s="14">
        <f t="shared" si="4"/>
        <v>0</v>
      </c>
    </row>
    <row r="13" spans="2:25">
      <c r="B13" s="10" t="s">
        <v>172</v>
      </c>
      <c r="C13" s="8">
        <f>VLOOKUP(B13,Maestro!$A$7:$D$19,4,FALSE)</f>
        <v>43200</v>
      </c>
      <c r="D13" s="9">
        <f>+(($C13-(SUMIFS(disponibilidad[Tiempo falla 
(en Mintuos)],disponibilidad[JADE],"SI",disponibilidad[Mes],$B13,disponibilidad[[Tipo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Boyacá],"SI")))/$C13)*100</f>
        <v>100</v>
      </c>
      <c r="E13" s="9">
        <f>+(($C13-(SUMIFS(disponibilidad[Tiempo falla 
(en Mintuos)],disponibilidad[SIGA],"SI",disponibilidad[Mes],$B13,disponibilidad[[Tipo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Boyacá],"SI")))/$C13)*100</f>
        <v>100</v>
      </c>
      <c r="F13" s="13">
        <f t="shared" si="0"/>
        <v>100</v>
      </c>
      <c r="G13" s="9">
        <f>+(($C13-(SUMIFS(disponibilidad[Tiempo falla 
(en Mintuos)],disponibilidad[Apuestas - Chance],"SI",disponibilidad[Mes],$B13,disponibilidad[[Tipo de afectación ]],"caÍda total",disponibilidad[Responsable Falla],"Matrix Tech",disponibilidad[Jer - Boyacá],"SI")))/$C13)*100</f>
        <v>100</v>
      </c>
      <c r="H13" s="9">
        <f>+(($C13-(SUMIFS(disponibilidad[Tiempo falla 
(en Mintuos)],disponibilidad[PAGOS],"SI",disponibilidad[Mes],$B13,disponibilidad[[Tipo de afectación ]],"caÍda total",disponibilidad[Responsable Falla],"Matrix Tech",disponibilidad[Jer - Boyacá],"SI")))/$C13)*100</f>
        <v>100</v>
      </c>
      <c r="I13" s="9">
        <f>+(($C13-(SUMIFS(disponibilidad[Tiempo falla 
(en Mintuos)],disponibilidad[RECAUDOS],"SI",disponibilidad[Mes],$B13,disponibilidad[[Tipo de afectación ]],"caÍda total",disponibilidad[Responsable Falla],"Matrix Tech",disponibilidad[Jer - Boyacá],"SI")))/$C13)*100</f>
        <v>100</v>
      </c>
      <c r="J13" s="9">
        <f>+(($C13-(SUMIFS(disponibilidad[Tiempo falla 
(en Mintuos)],disponibilidad[RECARGAS],"SI",disponibilidad[Mes],$B13,disponibilidad[[Tipo de afectación ]],"caÍda total",disponibilidad[Responsable Falla],"Matrix Tech",disponibilidad[Jer - Boyacá],"SI")))/$C13)*100</f>
        <v>100</v>
      </c>
      <c r="K13" s="13">
        <f t="shared" si="1"/>
        <v>100</v>
      </c>
      <c r="L13" s="9">
        <f>+(($C13-(SUMIFS(disponibilidad[Tiempo falla 
(en Mintuos)],disponibilidad[PAGOS],"SI",disponibilidad[Mes],$B13,disponibilidad[[Tipo de afectación ]],"caÍda total",disponibilidad[Responsable Falla],"Aliados o terceros",disponibilidad[Jer - Boyacá],"SI")))/$C13)*100</f>
        <v>100</v>
      </c>
      <c r="M13" s="9">
        <f>+(($C13-(SUMIFS(disponibilidad[Tiempo falla 
(en Mintuos)],disponibilidad[RECAUDOS],"SI",disponibilidad[Mes],$B13,disponibilidad[[Tipo de afectación ]],"caÍda total",disponibilidad[Responsable Falla],"Aliados o terceros",disponibilidad[Jer - Boyacá],"SI")))/$C13)*100</f>
        <v>100</v>
      </c>
      <c r="N13" s="9">
        <f>+(($C13-(SUMIFS(disponibilidad[Tiempo falla 
(en Mintuos)],disponibilidad[RECARGAS],"SI",disponibilidad[Mes],$B13,disponibilidad[[Tipo de afectación ]],"caÍda total",disponibilidad[Responsable Falla],"Aliados o terceros",disponibilidad[Jer - Boyacá],"SI")))/$C13)*100</f>
        <v>100</v>
      </c>
      <c r="O13" s="13">
        <f t="shared" si="2"/>
        <v>100</v>
      </c>
      <c r="P13" s="12">
        <f>SUMIFS(disponibilidad[Tiempo falla 
(en Mintuos)],disponibilidad[Mes],$B13,disponibilidad[[Tipo de afectación ]],"caÍda total",disponibilidad[Responsable Falla],"Matrix Tech",disponibilidad[Jer - Boyacá],"SI")</f>
        <v>0</v>
      </c>
      <c r="Q13" s="14">
        <f t="shared" si="3"/>
        <v>0</v>
      </c>
      <c r="R13" s="12">
        <f>SUMIFS(disponibilidad[Tiempo falla 
(en Mintuos)],disponibilidad[Mes],$B13,disponibilidad[[Tipo de afectación ]],"caÍda total",disponibilidad[Responsable Falla],"Aliados o terceros",disponibilidad[Acertemos - Cauca],"SI")</f>
        <v>0</v>
      </c>
      <c r="S13" s="14">
        <f t="shared" si="4"/>
        <v>0</v>
      </c>
    </row>
    <row r="14" spans="2:25">
      <c r="B14" s="10" t="s">
        <v>173</v>
      </c>
      <c r="C14" s="8">
        <f>VLOOKUP(B14,Maestro!$A$7:$D$19,4,FALSE)</f>
        <v>44640</v>
      </c>
      <c r="D14" s="9">
        <f>+(($C14-(SUMIFS(disponibilidad[Tiempo falla 
(en Mintuos)],disponibilidad[JADE],"SI",disponibilidad[Mes],$B14,disponibilidad[[Tipo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Boyacá],"SI")))/$C14)*100</f>
        <v>100</v>
      </c>
      <c r="E14" s="9">
        <f>+(($C14-(SUMIFS(disponibilidad[Tiempo falla 
(en Mintuos)],disponibilidad[SIGA],"SI",disponibilidad[Mes],$B14,disponibilidad[[Tipo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Boyacá],"SI")))/$C14)*100</f>
        <v>100</v>
      </c>
      <c r="F14" s="13">
        <f t="shared" si="0"/>
        <v>100</v>
      </c>
      <c r="G14" s="9">
        <f>+(($C14-(SUMIFS(disponibilidad[Tiempo falla 
(en Mintuos)],disponibilidad[Apuestas - Chance],"SI",disponibilidad[Mes],$B14,disponibilidad[[Tipo de afectación ]],"caÍda total",disponibilidad[Responsable Falla],"Matrix Tech",disponibilidad[Jer - Boyacá],"SI")))/$C14)*100</f>
        <v>100</v>
      </c>
      <c r="H14" s="9">
        <f>+(($C14-(SUMIFS(disponibilidad[Tiempo falla 
(en Mintuos)],disponibilidad[PAGOS],"SI",disponibilidad[Mes],$B14,disponibilidad[[Tipo de afectación ]],"caÍda total",disponibilidad[Responsable Falla],"Matrix Tech",disponibilidad[Jer - Boyacá],"SI")))/$C14)*100</f>
        <v>100</v>
      </c>
      <c r="I14" s="9">
        <f>+(($C14-(SUMIFS(disponibilidad[Tiempo falla 
(en Mintuos)],disponibilidad[RECAUDOS],"SI",disponibilidad[Mes],$B14,disponibilidad[[Tipo de afectación ]],"caÍda total",disponibilidad[Responsable Falla],"Matrix Tech",disponibilidad[Jer - Boyacá],"SI")))/$C14)*100</f>
        <v>100</v>
      </c>
      <c r="J14" s="9">
        <f>+(($C14-(SUMIFS(disponibilidad[Tiempo falla 
(en Mintuos)],disponibilidad[RECARGAS],"SI",disponibilidad[Mes],$B14,disponibilidad[[Tipo de afectación ]],"caÍda total",disponibilidad[Responsable Falla],"Matrix Tech",disponibilidad[Jer - Boyacá],"SI")))/$C14)*100</f>
        <v>100</v>
      </c>
      <c r="K14" s="13">
        <f t="shared" si="1"/>
        <v>100</v>
      </c>
      <c r="L14" s="9">
        <f>+(($C14-(SUMIFS(disponibilidad[Tiempo falla 
(en Mintuos)],disponibilidad[PAGOS],"SI",disponibilidad[Mes],$B14,disponibilidad[[Tipo de afectación ]],"caÍda total",disponibilidad[Responsable Falla],"Aliados o terceros",disponibilidad[Jer - Boyacá],"SI")))/$C14)*100</f>
        <v>100</v>
      </c>
      <c r="M14" s="9">
        <f>+(($C14-(SUMIFS(disponibilidad[Tiempo falla 
(en Mintuos)],disponibilidad[RECAUDOS],"SI",disponibilidad[Mes],$B14,disponibilidad[[Tipo de afectación ]],"caÍda total",disponibilidad[Responsable Falla],"Aliados o terceros",disponibilidad[Jer - Boyacá],"SI")))/$C14)*100</f>
        <v>100</v>
      </c>
      <c r="N14" s="9">
        <f>+(($C14-(SUMIFS(disponibilidad[Tiempo falla 
(en Mintuos)],disponibilidad[RECARGAS],"SI",disponibilidad[Mes],$B14,disponibilidad[[Tipo de afectación ]],"caÍda total",disponibilidad[Responsable Falla],"Aliados o terceros",disponibilidad[Jer - Boyacá],"SI")))/$C14)*100</f>
        <v>100</v>
      </c>
      <c r="O14" s="13">
        <f t="shared" si="2"/>
        <v>100</v>
      </c>
      <c r="P14" s="12">
        <f>SUMIFS(disponibilidad[Tiempo falla 
(en Mintuos)],disponibilidad[Mes],$B14,disponibilidad[[Tipo de afectación ]],"caÍda total",disponibilidad[Responsable Falla],"Matrix Tech",disponibilidad[Jer - Boyacá],"SI")</f>
        <v>0</v>
      </c>
      <c r="Q14" s="14">
        <f t="shared" si="3"/>
        <v>0</v>
      </c>
      <c r="R14" s="12">
        <f>SUMIFS(disponibilidad[Tiempo falla 
(en Mintuos)],disponibilidad[Mes],$B14,disponibilidad[[Tipo de afectación ]],"caÍda total",disponibilidad[Responsable Falla],"Aliados o terceros",disponibilidad[Acertemos - Cauca],"SI")</f>
        <v>0</v>
      </c>
      <c r="S14" s="14">
        <f t="shared" si="4"/>
        <v>0</v>
      </c>
      <c r="X14" s="129"/>
    </row>
    <row r="15" spans="2:25">
      <c r="B15" s="10" t="s">
        <v>174</v>
      </c>
      <c r="C15" s="8">
        <f>VLOOKUP(B15,Maestro!$A$7:$D$19,4,FALSE)</f>
        <v>44640</v>
      </c>
      <c r="D15" s="9">
        <f>+(($C15-(SUMIFS(disponibilidad[Tiempo falla 
(en Mintuos)],disponibilidad[JADE],"SI",disponibilidad[Mes],$B15,disponibilidad[[Tipo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Boyacá],"SI")))/$C15)*100</f>
        <v>100</v>
      </c>
      <c r="E15" s="9">
        <f>+(($C15-(SUMIFS(disponibilidad[Tiempo falla 
(en Mintuos)],disponibilidad[SIGA],"SI",disponibilidad[Mes],$B15,disponibilidad[[Tipo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Boyacá],"SI")))/$C15)*100</f>
        <v>100</v>
      </c>
      <c r="F15" s="13">
        <f t="shared" si="0"/>
        <v>100</v>
      </c>
      <c r="G15" s="9">
        <f>+(($C15-(SUMIFS(disponibilidad[Tiempo falla 
(en Mintuos)],disponibilidad[Apuestas - Chance],"SI",disponibilidad[Mes],$B15,disponibilidad[[Tipo de afectación ]],"caÍda total",disponibilidad[Responsable Falla],"Matrix Tech",disponibilidad[Jer - Boyacá],"SI")))/$C15)*100</f>
        <v>100</v>
      </c>
      <c r="H15" s="9">
        <f>+(($C15-(SUMIFS(disponibilidad[Tiempo falla 
(en Mintuos)],disponibilidad[PAGOS],"SI",disponibilidad[Mes],$B15,disponibilidad[[Tipo de afectación ]],"caÍda total",disponibilidad[Responsable Falla],"Matrix Tech",disponibilidad[Jer - Boyacá],"SI")))/$C15)*100</f>
        <v>100</v>
      </c>
      <c r="I15" s="9">
        <f>+(($C15-(SUMIFS(disponibilidad[Tiempo falla 
(en Mintuos)],disponibilidad[RECAUDOS],"SI",disponibilidad[Mes],$B15,disponibilidad[[Tipo de afectación ]],"caÍda total",disponibilidad[Responsable Falla],"Matrix Tech",disponibilidad[Jer - Boyacá],"SI")))/$C15)*100</f>
        <v>100</v>
      </c>
      <c r="J15" s="9">
        <f>+(($C15-(SUMIFS(disponibilidad[Tiempo falla 
(en Mintuos)],disponibilidad[RECARGAS],"SI",disponibilidad[Mes],$B15,disponibilidad[[Tipo de afectación ]],"caÍda total",disponibilidad[Responsable Falla],"Matrix Tech",disponibilidad[Jer - Boyacá],"SI")))/$C15)*100</f>
        <v>100</v>
      </c>
      <c r="K15" s="13">
        <f t="shared" si="1"/>
        <v>100</v>
      </c>
      <c r="L15" s="9">
        <f>+(($C15-(SUMIFS(disponibilidad[Tiempo falla 
(en Mintuos)],disponibilidad[PAGOS],"SI",disponibilidad[Mes],$B15,disponibilidad[[Tipo de afectación ]],"caÍda total",disponibilidad[Responsable Falla],"Aliados o terceros",disponibilidad[Jer - Boyacá],"SI")))/$C15)*100</f>
        <v>100</v>
      </c>
      <c r="M15" s="9">
        <f>+(($C15-(SUMIFS(disponibilidad[Tiempo falla 
(en Mintuos)],disponibilidad[RECAUDOS],"SI",disponibilidad[Mes],$B15,disponibilidad[[Tipo de afectación ]],"caÍda total",disponibilidad[Responsable Falla],"Aliados o terceros",disponibilidad[Jer - Boyacá],"SI")))/$C15)*100</f>
        <v>100</v>
      </c>
      <c r="N15" s="9">
        <f>+(($C15-(SUMIFS(disponibilidad[Tiempo falla 
(en Mintuos)],disponibilidad[RECARGAS],"SI",disponibilidad[Mes],$B15,disponibilidad[[Tipo de afectación ]],"caÍda total",disponibilidad[Responsable Falla],"Aliados o terceros",disponibilidad[Jer - Boyacá],"SI")))/$C15)*100</f>
        <v>100</v>
      </c>
      <c r="O15" s="13">
        <f t="shared" si="2"/>
        <v>100</v>
      </c>
      <c r="P15" s="12">
        <f>SUMIFS(disponibilidad[Tiempo falla 
(en Mintuos)],disponibilidad[Mes],$B15,disponibilidad[[Tipo de afectación ]],"caÍda total",disponibilidad[Responsable Falla],"Matrix Tech",disponibilidad[Jer - Boyacá],"SI")</f>
        <v>0</v>
      </c>
      <c r="Q15" s="14">
        <f t="shared" si="3"/>
        <v>0</v>
      </c>
      <c r="R15" s="12">
        <f>SUMIFS(disponibilidad[Tiempo falla 
(en Mintuos)],disponibilidad[Mes],$B15,disponibilidad[[Tipo de afectación ]],"caÍda total",disponibilidad[Responsable Falla],"Aliados o terceros",disponibilidad[Acertemos - Cauca],"SI")</f>
        <v>0</v>
      </c>
      <c r="S15" s="14">
        <f t="shared" si="4"/>
        <v>0</v>
      </c>
      <c r="X15" s="82" t="s">
        <v>28</v>
      </c>
      <c r="Y15" s="271">
        <f>VLOOKUP($Y$7,$B$8:$R$17,8,FALSE)</f>
        <v>99.794061302663039</v>
      </c>
    </row>
    <row r="16" spans="2:25">
      <c r="B16" s="10" t="s">
        <v>175</v>
      </c>
      <c r="C16" s="8">
        <f>VLOOKUP(B16,Maestro!$A$7:$D$19,4,FALSE)</f>
        <v>43200</v>
      </c>
      <c r="D16" s="9">
        <f>+(($C16-(SUMIFS(disponibilidad[Tiempo falla 
(en Mintuos)],disponibilidad[JADE],"SI",disponibilidad[Mes],$B16,disponibilidad[[Tipo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Boyacá],"SI")))/$C16)*100</f>
        <v>100</v>
      </c>
      <c r="E16" s="9">
        <f>+(($C16-(SUMIFS(disponibilidad[Tiempo falla 
(en Mintuos)],disponibilidad[SIGA],"SI",disponibilidad[Mes],$B16,disponibilidad[[Tipo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Boyacá],"SI")))/$C16)*100</f>
        <v>100</v>
      </c>
      <c r="F16" s="13">
        <f t="shared" si="0"/>
        <v>100</v>
      </c>
      <c r="G16" s="9">
        <f>+(($C16-(SUMIFS(disponibilidad[Tiempo falla 
(en Mintuos)],disponibilidad[Apuestas - Chance],"SI",disponibilidad[Mes],$B16,disponibilidad[[Tipo de afectación ]],"caÍda total",disponibilidad[Responsable Falla],"Matrix Tech",disponibilidad[Jer - Boyacá],"SI")))/$C16)*100</f>
        <v>100</v>
      </c>
      <c r="H16" s="9">
        <f>+(($C16-(SUMIFS(disponibilidad[Tiempo falla 
(en Mintuos)],disponibilidad[PAGOS],"SI",disponibilidad[Mes],$B16,disponibilidad[[Tipo de afectación ]],"caÍda total",disponibilidad[Responsable Falla],"Matrix Tech",disponibilidad[Jer - Boyacá],"SI")))/$C16)*100</f>
        <v>100</v>
      </c>
      <c r="I16" s="9">
        <f>+(($C16-(SUMIFS(disponibilidad[Tiempo falla 
(en Mintuos)],disponibilidad[RECAUDOS],"SI",disponibilidad[Mes],$B16,disponibilidad[[Tipo de afectación ]],"caÍda total",disponibilidad[Responsable Falla],"Matrix Tech",disponibilidad[Jer - Boyacá],"SI")))/$C16)*100</f>
        <v>100</v>
      </c>
      <c r="J16" s="9">
        <f>+(($C16-(SUMIFS(disponibilidad[Tiempo falla 
(en Mintuos)],disponibilidad[RECARGAS],"SI",disponibilidad[Mes],$B16,disponibilidad[[Tipo de afectación ]],"caÍda total",disponibilidad[Responsable Falla],"Matrix Tech",disponibilidad[Jer - Boyacá],"SI")))/$C16)*100</f>
        <v>100</v>
      </c>
      <c r="K16" s="13">
        <f t="shared" si="1"/>
        <v>100</v>
      </c>
      <c r="L16" s="9">
        <f>+(($C16-(SUMIFS(disponibilidad[Tiempo falla 
(en Mintuos)],disponibilidad[PAGOS],"SI",disponibilidad[Mes],$B16,disponibilidad[[Tipo de afectación ]],"caÍda total",disponibilidad[Responsable Falla],"Aliados o terceros",disponibilidad[Jer - Boyacá],"SI")))/$C16)*100</f>
        <v>100</v>
      </c>
      <c r="M16" s="9">
        <f>+(($C16-(SUMIFS(disponibilidad[Tiempo falla 
(en Mintuos)],disponibilidad[RECAUDOS],"SI",disponibilidad[Mes],$B16,disponibilidad[[Tipo de afectación ]],"caÍda total",disponibilidad[Responsable Falla],"Aliados o terceros",disponibilidad[Jer - Boyacá],"SI")))/$C16)*100</f>
        <v>100</v>
      </c>
      <c r="N16" s="9">
        <f>+(($C16-(SUMIFS(disponibilidad[Tiempo falla 
(en Mintuos)],disponibilidad[RECARGAS],"SI",disponibilidad[Mes],$B16,disponibilidad[[Tipo de afectación ]],"caÍda total",disponibilidad[Responsable Falla],"Aliados o terceros",disponibilidad[Jer - Boyacá],"SI")))/$C16)*100</f>
        <v>100</v>
      </c>
      <c r="O16" s="13">
        <f t="shared" si="2"/>
        <v>100</v>
      </c>
      <c r="P16" s="12">
        <f>SUMIFS(disponibilidad[Tiempo falla 
(en Mintuos)],disponibilidad[Mes],$B16,disponibilidad[[Tipo de afectación ]],"caÍda total",disponibilidad[Responsable Falla],"Matrix Tech",disponibilidad[Jer - Boyacá],"SI")</f>
        <v>0</v>
      </c>
      <c r="Q16" s="14">
        <f t="shared" si="3"/>
        <v>0</v>
      </c>
      <c r="R16" s="12">
        <f>SUMIFS(disponibilidad[Tiempo falla 
(en Mintuos)],disponibilidad[Mes],$B16,disponibilidad[[Tipo de afectación ]],"caÍda total",disponibilidad[Responsable Falla],"Aliados o terceros",disponibilidad[Acertemos - Cauca],"SI")</f>
        <v>0</v>
      </c>
      <c r="S16" s="14">
        <f t="shared" si="4"/>
        <v>0</v>
      </c>
      <c r="X16" s="82" t="s">
        <v>29</v>
      </c>
      <c r="Y16" s="271">
        <f>VLOOKUP($Y$7,$B$8:$R$17,9,FALSE)</f>
        <v>99.794061302663039</v>
      </c>
    </row>
    <row r="17" spans="2:25">
      <c r="B17" s="10" t="s">
        <v>176</v>
      </c>
      <c r="C17" s="8">
        <f>VLOOKUP(B17,Maestro!$A$7:$D$19,4,FALSE)</f>
        <v>44640</v>
      </c>
      <c r="D17" s="9">
        <f>+(($C17-(SUMIFS(disponibilidad[Tiempo falla 
(en Mintuos)],disponibilidad[JADE],"SI",disponibilidad[Mes],$B17,disponibilidad[[Tipo de afectación ]],"caÍda total",disponibilidad[Responsable Falla],"Matrix Tech",disponibilidad[Jer - Boyacá],"SI")))/$C17)*100</f>
        <v>100</v>
      </c>
      <c r="E17" s="9">
        <f>+(($C17-(SUMIFS(disponibilidad[Tiempo falla 
(en Mintuos)],disponibilidad[SIGA],"SI",disponibilidad[Mes],$B17,disponibilidad[[Tipo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Boyacá],"SI")))/$C17)*100</f>
        <v>100</v>
      </c>
      <c r="F17" s="13">
        <f t="shared" si="0"/>
        <v>100</v>
      </c>
      <c r="G17" s="9">
        <f>+(($C17-(SUMIFS(disponibilidad[Tiempo falla 
(en Mintuos)],disponibilidad[Apuestas - Chance],"SI",disponibilidad[Mes],$B17,disponibilidad[[Tipo de afectación ]],"caÍda total",disponibilidad[Responsable Falla],"Matrix Tech",disponibilidad[Jer - Boyacá],"SI")))/$C17)*100</f>
        <v>100</v>
      </c>
      <c r="H17" s="9">
        <f>+(($C17-(SUMIFS(disponibilidad[Tiempo falla 
(en Mintuos)],disponibilidad[PAGOS],"SI",disponibilidad[Mes],$B17,disponibilidad[[Tipo de afectación ]],"caÍda total",disponibilidad[Responsable Falla],"Matrix Tech",disponibilidad[Jer - Boyacá],"SI")))/$C17)*100</f>
        <v>100</v>
      </c>
      <c r="I17" s="9">
        <f>+(($C17-(SUMIFS(disponibilidad[Tiempo falla 
(en Mintuos)],disponibilidad[RECAUDOS],"SI",disponibilidad[Mes],$B17,disponibilidad[[Tipo de afectación ]],"caÍda total",disponibilidad[Responsable Falla],"Matrix Tech",disponibilidad[Jer - Boyacá],"SI")))/$C17)*100</f>
        <v>100</v>
      </c>
      <c r="J17" s="9">
        <f>+(($C17-(SUMIFS(disponibilidad[Tiempo falla 
(en Mintuos)],disponibilidad[RECARGAS],"SI",disponibilidad[Mes],$B17,disponibilidad[[Tipo de afectación ]],"caÍda total",disponibilidad[Responsable Falla],"Matrix Tech",disponibilidad[Jer - Boyacá],"SI")))/$C17)*100</f>
        <v>100</v>
      </c>
      <c r="K17" s="13">
        <f t="shared" si="1"/>
        <v>100</v>
      </c>
      <c r="L17" s="9">
        <f>+(($C17-(SUMIFS(disponibilidad[Tiempo falla 
(en Mintuos)],disponibilidad[PAGOS],"SI",disponibilidad[Mes],$B17,disponibilidad[[Tipo de afectación ]],"caÍda total",disponibilidad[Responsable Falla],"Aliados o terceros",disponibilidad[Jer - Boyacá],"SI")))/$C17)*100</f>
        <v>100</v>
      </c>
      <c r="M17" s="9">
        <f>+(($C17-(SUMIFS(disponibilidad[Tiempo falla 
(en Mintuos)],disponibilidad[RECAUDOS],"SI",disponibilidad[Mes],$B17,disponibilidad[[Tipo de afectación ]],"caÍda total",disponibilidad[Responsable Falla],"Aliados o terceros",disponibilidad[Jer - Boyacá],"SI")))/$C17)*100</f>
        <v>100</v>
      </c>
      <c r="N17" s="9">
        <f>+(($C17-(SUMIFS(disponibilidad[Tiempo falla 
(en Mintuos)],disponibilidad[RECARGAS],"SI",disponibilidad[Mes],$B17,disponibilidad[[Tipo de afectación ]],"caÍda total",disponibilidad[Responsable Falla],"Aliados o terceros",disponibilidad[Jer - Boyacá],"SI")))/$C17)*100</f>
        <v>100</v>
      </c>
      <c r="O17" s="13">
        <f t="shared" si="2"/>
        <v>100</v>
      </c>
      <c r="P17" s="12">
        <f>SUMIFS(disponibilidad[Tiempo falla 
(en Mintuos)],disponibilidad[Mes],$B17,disponibilidad[[Tipo de afectación ]],"caÍda total",disponibilidad[Responsable Falla],"Matrix Tech",disponibilidad[Jer - Boyacá],"SI")</f>
        <v>0</v>
      </c>
      <c r="Q17" s="14">
        <f t="shared" si="3"/>
        <v>0</v>
      </c>
      <c r="R17" s="12">
        <f>SUMIFS(disponibilidad[Tiempo falla 
(en Mintuos)],disponibilidad[Mes],$B17,disponibilidad[[Tipo de afectación ]],"caÍda total",disponibilidad[Responsable Falla],"Aliados o terceros",disponibilidad[Acertemos - Cauca],"SI")</f>
        <v>0</v>
      </c>
      <c r="S17" s="14">
        <f t="shared" si="4"/>
        <v>0</v>
      </c>
      <c r="X17" s="82" t="s">
        <v>30</v>
      </c>
      <c r="Y17" s="271">
        <f>VLOOKUP($Y$7,$B$8:$R$17,10,FALSE)</f>
        <v>99.794061302663039</v>
      </c>
    </row>
    <row r="18" spans="2:25">
      <c r="B18" s="10" t="s">
        <v>177</v>
      </c>
      <c r="C18" s="8">
        <f>VLOOKUP(B18,Maestro!$A$7:$D$19,4,FALSE)</f>
        <v>43200</v>
      </c>
      <c r="D18" s="9">
        <f>+(($C18-(SUMIFS(disponibilidad[Tiempo falla 
(en Mintuos)],disponibilidad[JADE],"SI",disponibilidad[Mes],$B18,disponibilidad[[Tipo de afectación ]],"caÍda total",disponibilidad[Responsable Falla],"Matrix Tech",disponibilidad[Jer - Boyacá],"SI")))/$C18)*100</f>
        <v>100</v>
      </c>
      <c r="E18" s="9">
        <f>+(($C18-(SUMIFS(disponibilidad[Tiempo falla 
(en Mintuos)],disponibilidad[SIGA],"SI",disponibilidad[Mes],$B18,disponibilidad[[Tipo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Boyacá],"SI")))/$C18)*100</f>
        <v>100</v>
      </c>
      <c r="F18" s="13">
        <f t="shared" si="0"/>
        <v>100</v>
      </c>
      <c r="G18" s="9">
        <f>+(($C18-(SUMIFS(disponibilidad[Tiempo falla 
(en Mintuos)],disponibilidad[Apuestas - Chance],"SI",disponibilidad[Mes],$B18,disponibilidad[[Tipo de afectación ]],"caÍda total",disponibilidad[Responsable Falla],"Matrix Tech",disponibilidad[Jer - Boyacá],"SI")))/$C18)*100</f>
        <v>100</v>
      </c>
      <c r="H18" s="9">
        <f>+(($C18-(SUMIFS(disponibilidad[Tiempo falla 
(en Mintuos)],disponibilidad[PAGOS],"SI",disponibilidad[Mes],$B18,disponibilidad[[Tipo de afectación ]],"caÍda total",disponibilidad[Responsable Falla],"Matrix Tech",disponibilidad[Jer - Boyacá],"SI")))/$C18)*100</f>
        <v>100</v>
      </c>
      <c r="I18" s="9">
        <f>+(($C18-(SUMIFS(disponibilidad[Tiempo falla 
(en Mintuos)],disponibilidad[RECAUDOS],"SI",disponibilidad[Mes],$B18,disponibilidad[[Tipo de afectación ]],"caÍda total",disponibilidad[Responsable Falla],"Matrix Tech",disponibilidad[Jer - Boyacá],"SI")))/$C18)*100</f>
        <v>100</v>
      </c>
      <c r="J18" s="9">
        <f>+(($C18-(SUMIFS(disponibilidad[Tiempo falla 
(en Mintuos)],disponibilidad[RECARGAS],"SI",disponibilidad[Mes],$B18,disponibilidad[[Tipo de afectación ]],"caÍda total",disponibilidad[Responsable Falla],"Matrix Tech",disponibilidad[Jer - Boyacá],"SI")))/$C18)*100</f>
        <v>100</v>
      </c>
      <c r="K18" s="13">
        <f t="shared" si="1"/>
        <v>100</v>
      </c>
      <c r="L18" s="9">
        <f>+(($C18-(SUMIFS(disponibilidad[Tiempo falla 
(en Mintuos)],disponibilidad[PAGOS],"SI",disponibilidad[Mes],$B18,disponibilidad[[Tipo de afectación ]],"caÍda total",disponibilidad[Responsable Falla],"Aliados o terceros",disponibilidad[Jer - Boyacá],"SI")))/$C18)*100</f>
        <v>100</v>
      </c>
      <c r="M18" s="9">
        <f>+(($C18-(SUMIFS(disponibilidad[Tiempo falla 
(en Mintuos)],disponibilidad[RECAUDOS],"SI",disponibilidad[Mes],$B18,disponibilidad[[Tipo de afectación ]],"caÍda total",disponibilidad[Responsable Falla],"Aliados o terceros",disponibilidad[Jer - Boyacá],"SI")))/$C18)*100</f>
        <v>100</v>
      </c>
      <c r="N18" s="9">
        <f>+(($C18-(SUMIFS(disponibilidad[Tiempo falla 
(en Mintuos)],disponibilidad[RECARGAS],"SI",disponibilidad[Mes],$B18,disponibilidad[[Tipo de afectación ]],"caÍda total",disponibilidad[Responsable Falla],"Aliados o terceros",disponibilidad[Jer - Boyacá],"SI")))/$C18)*100</f>
        <v>100</v>
      </c>
      <c r="O18" s="13">
        <f t="shared" si="2"/>
        <v>100</v>
      </c>
      <c r="P18" s="12">
        <f>SUMIFS(disponibilidad[Tiempo falla 
(en Mintuos)],disponibilidad[Mes],$B18,disponibilidad[[Tipo de afectación ]],"caÍda total",disponibilidad[Responsable Falla],"Matrix Tech",disponibilidad[Jer - Boyacá],"SI")</f>
        <v>0</v>
      </c>
      <c r="Q18" s="14">
        <f t="shared" si="3"/>
        <v>0</v>
      </c>
      <c r="R18" s="12">
        <f>SUMIFS(disponibilidad[Tiempo falla 
(en Mintuos)],disponibilidad[Mes],$B18,disponibilidad[[Tipo de afectación ]],"caÍda total",disponibilidad[Responsable Falla],"Aliados o terceros",disponibilidad[Acertemos - Cauca],"SI")</f>
        <v>0</v>
      </c>
      <c r="S18" s="14">
        <f t="shared" si="4"/>
        <v>0</v>
      </c>
      <c r="X18" s="82" t="s">
        <v>31</v>
      </c>
      <c r="Y18" s="271">
        <f>VLOOKUP($Y$7,$B$8:$R$17,11,FALSE)</f>
        <v>100</v>
      </c>
    </row>
    <row r="19" spans="2:25">
      <c r="B19" s="10" t="s">
        <v>178</v>
      </c>
      <c r="C19" s="8">
        <f>VLOOKUP(B19,Maestro!$A$7:$D$19,4,FALSE)</f>
        <v>44640</v>
      </c>
      <c r="D19" s="9">
        <f>+(($C19-(SUMIFS(disponibilidad[Tiempo falla 
(en Mintuos)],disponibilidad[JADE],"SI",disponibilidad[Mes],$B19,disponibilidad[[Tipo de afectación ]],"caÍda total",disponibilidad[Responsable Falla],"Matrix Tech",disponibilidad[Jer - Boyacá],"SI")))/$C19)*100</f>
        <v>100</v>
      </c>
      <c r="E19" s="9">
        <f>+(($C19-(SUMIFS(disponibilidad[Tiempo falla 
(en Mintuos)],disponibilidad[SIGA],"SI",disponibilidad[Mes],$B19,disponibilidad[[Tipo de afectación ]],"caÍda total",disponibilidad[Responsable Falla],"Matrix Tech",disponibilidad[Jer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Boyacá],"SI",disponibilidad[Jer - Boyacá],"SI")))/$C19)*100</f>
        <v>100</v>
      </c>
      <c r="F19" s="13">
        <f t="shared" si="0"/>
        <v>100</v>
      </c>
      <c r="G19" s="9">
        <f>+(($C19-(SUMIFS(disponibilidad[Tiempo falla 
(en Mintuos)],disponibilidad[Apuestas - Chance],"SI",disponibilidad[Mes],$B19,disponibilidad[[Tipo de afectación ]],"caÍda total",disponibilidad[Responsable Falla],"Matrix Tech",disponibilidad[Jer - Boyacá],"SI")))/$C19)*100</f>
        <v>100</v>
      </c>
      <c r="H19" s="9">
        <f>+(($C19-(SUMIFS(disponibilidad[Tiempo falla 
(en Mintuos)],disponibilidad[PAGOS],"SI",disponibilidad[Mes],$B19,disponibilidad[[Tipo de afectación ]],"caÍda total",disponibilidad[Responsable Falla],"Matrix Tech",disponibilidad[Jer - Boyacá],"SI")))/$C19)*100</f>
        <v>100</v>
      </c>
      <c r="I19" s="9">
        <f>+(($C19-(SUMIFS(disponibilidad[Tiempo falla 
(en Mintuos)],disponibilidad[RECAUDOS],"SI",disponibilidad[Mes],$B19,disponibilidad[[Tipo de afectación ]],"caÍda total",disponibilidad[Responsable Falla],"Matrix Tech",disponibilidad[Jer - Boyacá],"SI")))/$C19)*100</f>
        <v>100</v>
      </c>
      <c r="J19" s="9">
        <f>+(($C19-(SUMIFS(disponibilidad[Tiempo falla 
(en Mintuos)],disponibilidad[RECARGAS],"SI",disponibilidad[Mes],$B19,disponibilidad[[Tipo de afectación ]],"caÍda total",disponibilidad[Responsable Falla],"Matrix Tech",disponibilidad[Jer - Boyacá],"SI")))/$C19)*100</f>
        <v>100</v>
      </c>
      <c r="K19" s="13">
        <f t="shared" si="1"/>
        <v>100</v>
      </c>
      <c r="L19" s="9">
        <f>+(($C19-(SUMIFS(disponibilidad[Tiempo falla 
(en Mintuos)],disponibilidad[PAGOS],"SI",disponibilidad[Mes],$B19,disponibilidad[[Tipo de afectación ]],"caÍda total",disponibilidad[Responsable Falla],"Aliados o terceros",disponibilidad[Jer - Boyacá],"SI")))/$C19)*100</f>
        <v>100</v>
      </c>
      <c r="M19" s="9">
        <f>+(($C19-(SUMIFS(disponibilidad[Tiempo falla 
(en Mintuos)],disponibilidad[RECAUDOS],"SI",disponibilidad[Mes],$B19,disponibilidad[[Tipo de afectación ]],"caÍda total",disponibilidad[Responsable Falla],"Aliados o terceros",disponibilidad[Jer - Boyacá],"SI")))/$C19)*100</f>
        <v>100</v>
      </c>
      <c r="N19" s="9">
        <f>+(($C19-(SUMIFS(disponibilidad[Tiempo falla 
(en Mintuos)],disponibilidad[RECARGAS],"SI",disponibilidad[Mes],$B19,disponibilidad[[Tipo de afectación ]],"caÍda total",disponibilidad[Responsable Falla],"Aliados o terceros",disponibilidad[Jer - Boyacá],"SI")))/$C19)*100</f>
        <v>100</v>
      </c>
      <c r="O19" s="13">
        <f t="shared" si="2"/>
        <v>100</v>
      </c>
      <c r="P19" s="12">
        <f>SUMIFS(disponibilidad[Tiempo falla 
(en Mintuos)],disponibilidad[Mes],$B19,disponibilidad[[Tipo de afectación ]],"caÍda total",disponibilidad[Responsable Falla],"Matrix Tech",disponibilidad[Jer - Boyacá],"SI")</f>
        <v>0</v>
      </c>
      <c r="Q19" s="14">
        <f t="shared" si="3"/>
        <v>0</v>
      </c>
      <c r="R19" s="12">
        <f>SUMIFS(disponibilidad[Tiempo falla 
(en Mintuos)],disponibilidad[Mes],$B19,disponibilidad[[Tipo de afectación ]],"caÍda total",disponibilidad[Responsable Falla],"Aliados o terceros",disponibilidad[Acertemos - Cauca],"SI")</f>
        <v>0</v>
      </c>
      <c r="S19" s="14">
        <f t="shared" si="4"/>
        <v>0</v>
      </c>
      <c r="X19" s="272" t="s">
        <v>179</v>
      </c>
      <c r="Y19" s="273">
        <f>VLOOKUP($Y$7,$B$8:$R$17,12,FALSE)</f>
        <v>100</v>
      </c>
    </row>
  </sheetData>
  <mergeCells count="20">
    <mergeCell ref="L5:N5"/>
    <mergeCell ref="O5:O7"/>
    <mergeCell ref="K5:K6"/>
    <mergeCell ref="P5:Q5"/>
    <mergeCell ref="R5:S5"/>
    <mergeCell ref="P6:P7"/>
    <mergeCell ref="Q6:Q7"/>
    <mergeCell ref="R6:R7"/>
    <mergeCell ref="S6:S7"/>
    <mergeCell ref="B5:B7"/>
    <mergeCell ref="C5:C6"/>
    <mergeCell ref="D5:E5"/>
    <mergeCell ref="F5:F7"/>
    <mergeCell ref="G5:J5"/>
    <mergeCell ref="C1:D3"/>
    <mergeCell ref="E1:K1"/>
    <mergeCell ref="N1:P1"/>
    <mergeCell ref="E2:K2"/>
    <mergeCell ref="E3:K3"/>
    <mergeCell ref="N3:P3"/>
  </mergeCells>
  <conditionalFormatting sqref="F8:F19">
    <cfRule type="cellIs" dxfId="67" priority="5" operator="lessThan">
      <formula>99.7</formula>
    </cfRule>
    <cfRule type="cellIs" dxfId="66" priority="6" operator="greaterThanOrEqual">
      <formula>99.7</formula>
    </cfRule>
  </conditionalFormatting>
  <conditionalFormatting sqref="K8:K19">
    <cfRule type="cellIs" dxfId="65" priority="3" operator="lessThan">
      <formula>99.7</formula>
    </cfRule>
    <cfRule type="cellIs" dxfId="64" priority="4" operator="greaterThanOrEqual">
      <formula>99.7</formula>
    </cfRule>
  </conditionalFormatting>
  <conditionalFormatting sqref="O8:O19">
    <cfRule type="cellIs" dxfId="63" priority="1" operator="lessThan">
      <formula>99.7</formula>
    </cfRule>
    <cfRule type="cellIs" dxfId="62" priority="2" operator="greaterThanOrEqual">
      <formula>99.7</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E849684-5E01-4AC6-939F-6D30A92BF447}">
          <x14:formula1>
            <xm:f>Maestro!$A$8:$A$19</xm:f>
          </x14:formula1>
          <xm:sqref>Y7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A0C6-7D5C-46F1-B553-51AFEE8CFEFF}">
  <sheetPr codeName="Hoja6"/>
  <dimension ref="B1:G146"/>
  <sheetViews>
    <sheetView workbookViewId="0">
      <pane ySplit="1" topLeftCell="A122" activePane="bottomLeft" state="frozen"/>
      <selection pane="bottomLeft" activeCell="D122" sqref="D122"/>
    </sheetView>
  </sheetViews>
  <sheetFormatPr defaultColWidth="11.42578125" defaultRowHeight="15"/>
  <cols>
    <col min="2" max="2" width="13.42578125" customWidth="1"/>
    <col min="3" max="3" width="20.140625" customWidth="1"/>
    <col min="4" max="4" width="13" style="1" customWidth="1"/>
    <col min="5" max="5" width="120.42578125" customWidth="1"/>
    <col min="6" max="6" width="24.5703125" style="6" customWidth="1"/>
    <col min="7" max="7" width="25.7109375" style="6" customWidth="1"/>
  </cols>
  <sheetData>
    <row r="1" spans="2:7" ht="18.75">
      <c r="B1" s="83" t="s">
        <v>181</v>
      </c>
      <c r="C1" s="83" t="s">
        <v>182</v>
      </c>
      <c r="D1" s="83" t="s">
        <v>183</v>
      </c>
      <c r="E1" s="83" t="s">
        <v>184</v>
      </c>
      <c r="F1" s="83" t="s">
        <v>185</v>
      </c>
      <c r="G1" s="84" t="s">
        <v>186</v>
      </c>
    </row>
    <row r="2" spans="2:7">
      <c r="B2" s="82"/>
      <c r="C2" s="87">
        <v>44602</v>
      </c>
      <c r="D2" s="86" t="s">
        <v>187</v>
      </c>
      <c r="E2" s="82" t="s">
        <v>188</v>
      </c>
      <c r="F2" s="90" t="s">
        <v>189</v>
      </c>
      <c r="G2" s="93" t="s">
        <v>190</v>
      </c>
    </row>
    <row r="3" spans="2:7" ht="30">
      <c r="B3" s="88">
        <v>329393</v>
      </c>
      <c r="C3" s="87">
        <v>44602</v>
      </c>
      <c r="D3" s="86" t="s">
        <v>191</v>
      </c>
      <c r="E3" s="89" t="s">
        <v>192</v>
      </c>
      <c r="F3" s="90" t="s">
        <v>193</v>
      </c>
      <c r="G3" s="93" t="s">
        <v>194</v>
      </c>
    </row>
    <row r="4" spans="2:7">
      <c r="B4" s="82"/>
      <c r="C4" s="87">
        <v>44603</v>
      </c>
      <c r="D4" s="86" t="s">
        <v>187</v>
      </c>
      <c r="E4" s="82" t="s">
        <v>195</v>
      </c>
      <c r="F4" s="90" t="s">
        <v>196</v>
      </c>
      <c r="G4" s="93" t="s">
        <v>190</v>
      </c>
    </row>
    <row r="5" spans="2:7">
      <c r="B5" s="82"/>
      <c r="C5" s="87">
        <v>44603</v>
      </c>
      <c r="D5" s="86" t="s">
        <v>187</v>
      </c>
      <c r="E5" s="82" t="s">
        <v>188</v>
      </c>
      <c r="F5" s="90" t="s">
        <v>197</v>
      </c>
      <c r="G5" s="93" t="s">
        <v>198</v>
      </c>
    </row>
    <row r="6" spans="2:7">
      <c r="B6" s="82"/>
      <c r="C6" s="87">
        <v>44604</v>
      </c>
      <c r="D6" s="86" t="s">
        <v>187</v>
      </c>
      <c r="E6" s="82" t="s">
        <v>199</v>
      </c>
      <c r="F6" s="90" t="s">
        <v>200</v>
      </c>
      <c r="G6" s="93" t="s">
        <v>190</v>
      </c>
    </row>
    <row r="7" spans="2:7">
      <c r="B7" s="82"/>
      <c r="C7" s="91">
        <v>44606</v>
      </c>
      <c r="D7" s="86" t="s">
        <v>201</v>
      </c>
      <c r="E7" s="82" t="s">
        <v>202</v>
      </c>
      <c r="F7" s="92" t="s">
        <v>200</v>
      </c>
      <c r="G7" s="93" t="s">
        <v>194</v>
      </c>
    </row>
    <row r="8" spans="2:7" ht="30">
      <c r="B8" s="82"/>
      <c r="C8" s="91">
        <v>44606</v>
      </c>
      <c r="D8" s="86" t="s">
        <v>203</v>
      </c>
      <c r="E8" s="89" t="s">
        <v>204</v>
      </c>
      <c r="F8" s="92" t="s">
        <v>205</v>
      </c>
      <c r="G8" s="93" t="s">
        <v>194</v>
      </c>
    </row>
    <row r="9" spans="2:7" ht="30">
      <c r="B9" s="82"/>
      <c r="C9" s="91">
        <v>44606</v>
      </c>
      <c r="D9" s="86" t="s">
        <v>203</v>
      </c>
      <c r="E9" s="95" t="s">
        <v>206</v>
      </c>
      <c r="F9" s="92" t="s">
        <v>207</v>
      </c>
      <c r="G9" s="85" t="s">
        <v>194</v>
      </c>
    </row>
    <row r="10" spans="2:7">
      <c r="B10" s="82"/>
      <c r="C10" s="91">
        <v>44606</v>
      </c>
      <c r="D10" s="86" t="s">
        <v>203</v>
      </c>
      <c r="E10" s="82" t="s">
        <v>208</v>
      </c>
      <c r="F10" s="92" t="s">
        <v>209</v>
      </c>
      <c r="G10" s="85" t="s">
        <v>210</v>
      </c>
    </row>
    <row r="11" spans="2:7">
      <c r="B11" s="82"/>
      <c r="C11" s="91">
        <v>44606</v>
      </c>
      <c r="D11" s="86" t="s">
        <v>191</v>
      </c>
      <c r="E11" s="82" t="s">
        <v>211</v>
      </c>
      <c r="F11" s="90" t="s">
        <v>200</v>
      </c>
      <c r="G11" s="96" t="s">
        <v>194</v>
      </c>
    </row>
    <row r="12" spans="2:7" ht="30">
      <c r="B12" s="82"/>
      <c r="C12" s="91">
        <v>44606</v>
      </c>
      <c r="D12" s="86" t="s">
        <v>191</v>
      </c>
      <c r="E12" s="95" t="s">
        <v>212</v>
      </c>
      <c r="F12" s="90" t="s">
        <v>213</v>
      </c>
      <c r="G12" s="96" t="s">
        <v>194</v>
      </c>
    </row>
    <row r="13" spans="2:7" ht="45">
      <c r="B13" s="82"/>
      <c r="C13" s="91">
        <v>44242</v>
      </c>
      <c r="D13" s="86" t="s">
        <v>201</v>
      </c>
      <c r="E13" s="89" t="s">
        <v>214</v>
      </c>
      <c r="F13" s="90" t="s">
        <v>189</v>
      </c>
      <c r="G13" s="96" t="s">
        <v>194</v>
      </c>
    </row>
    <row r="14" spans="2:7">
      <c r="B14" s="82"/>
      <c r="C14" s="91">
        <v>44608</v>
      </c>
      <c r="D14" s="86" t="s">
        <v>203</v>
      </c>
      <c r="E14" s="82" t="s">
        <v>215</v>
      </c>
      <c r="F14" s="90" t="s">
        <v>216</v>
      </c>
      <c r="G14" s="93" t="s">
        <v>190</v>
      </c>
    </row>
    <row r="15" spans="2:7">
      <c r="B15" s="82"/>
      <c r="C15" s="91">
        <v>44608</v>
      </c>
      <c r="D15" s="86" t="s">
        <v>201</v>
      </c>
      <c r="E15" s="82" t="s">
        <v>217</v>
      </c>
      <c r="F15" s="90" t="s">
        <v>200</v>
      </c>
      <c r="G15" s="93" t="s">
        <v>194</v>
      </c>
    </row>
    <row r="16" spans="2:7">
      <c r="B16" s="82"/>
      <c r="C16" s="91">
        <v>44608</v>
      </c>
      <c r="D16" s="86" t="s">
        <v>203</v>
      </c>
      <c r="E16" s="82" t="s">
        <v>218</v>
      </c>
      <c r="F16" s="90" t="s">
        <v>219</v>
      </c>
      <c r="G16" s="93" t="s">
        <v>194</v>
      </c>
    </row>
    <row r="17" spans="2:7" ht="75">
      <c r="B17" s="86"/>
      <c r="C17" s="98">
        <v>44609</v>
      </c>
      <c r="D17" s="86" t="s">
        <v>203</v>
      </c>
      <c r="E17" s="97" t="s">
        <v>220</v>
      </c>
      <c r="F17" s="90" t="s">
        <v>221</v>
      </c>
      <c r="G17" s="93" t="s">
        <v>194</v>
      </c>
    </row>
    <row r="18" spans="2:7">
      <c r="B18" s="82"/>
      <c r="C18" s="98">
        <v>44609</v>
      </c>
      <c r="D18" s="86" t="s">
        <v>222</v>
      </c>
      <c r="E18" s="82" t="s">
        <v>223</v>
      </c>
      <c r="F18" s="92" t="s">
        <v>224</v>
      </c>
      <c r="G18" s="93" t="s">
        <v>190</v>
      </c>
    </row>
    <row r="19" spans="2:7">
      <c r="B19" s="82"/>
      <c r="C19" s="91">
        <v>44608</v>
      </c>
      <c r="D19" s="86" t="s">
        <v>201</v>
      </c>
      <c r="E19" s="82" t="s">
        <v>225</v>
      </c>
      <c r="F19" s="92" t="s">
        <v>226</v>
      </c>
      <c r="G19" s="85"/>
    </row>
    <row r="20" spans="2:7">
      <c r="B20" s="99"/>
      <c r="C20" s="100">
        <v>44607</v>
      </c>
      <c r="D20" s="86" t="s">
        <v>201</v>
      </c>
      <c r="E20" s="99" t="s">
        <v>227</v>
      </c>
      <c r="F20" s="110" t="s">
        <v>228</v>
      </c>
      <c r="G20" s="101" t="s">
        <v>229</v>
      </c>
    </row>
    <row r="21" spans="2:7">
      <c r="B21" s="82"/>
      <c r="C21" s="91">
        <v>44608</v>
      </c>
      <c r="D21" s="107" t="s">
        <v>201</v>
      </c>
      <c r="E21" s="82" t="s">
        <v>230</v>
      </c>
      <c r="F21" s="94" t="s">
        <v>196</v>
      </c>
      <c r="G21" s="94" t="s">
        <v>229</v>
      </c>
    </row>
    <row r="22" spans="2:7">
      <c r="B22" s="82"/>
      <c r="C22" s="91">
        <v>44608</v>
      </c>
      <c r="D22" s="107" t="s">
        <v>201</v>
      </c>
      <c r="E22" s="82" t="s">
        <v>231</v>
      </c>
      <c r="F22" s="94" t="s">
        <v>232</v>
      </c>
      <c r="G22" s="94" t="s">
        <v>229</v>
      </c>
    </row>
    <row r="23" spans="2:7">
      <c r="B23" s="82"/>
      <c r="C23" s="91">
        <v>44610</v>
      </c>
      <c r="D23" s="107" t="s">
        <v>201</v>
      </c>
      <c r="E23" s="82" t="s">
        <v>233</v>
      </c>
      <c r="F23" s="94" t="s">
        <v>196</v>
      </c>
      <c r="G23" s="94" t="s">
        <v>229</v>
      </c>
    </row>
    <row r="24" spans="2:7">
      <c r="B24" s="99"/>
      <c r="C24" s="100">
        <v>44610</v>
      </c>
      <c r="D24" s="108" t="s">
        <v>201</v>
      </c>
      <c r="E24" s="99" t="s">
        <v>234</v>
      </c>
      <c r="F24" s="111" t="s">
        <v>235</v>
      </c>
      <c r="G24" s="94" t="s">
        <v>229</v>
      </c>
    </row>
    <row r="25" spans="2:7">
      <c r="B25" s="99"/>
      <c r="C25" s="100">
        <v>44610</v>
      </c>
      <c r="D25" s="104" t="s">
        <v>201</v>
      </c>
      <c r="E25" s="99" t="s">
        <v>236</v>
      </c>
      <c r="F25" s="111" t="s">
        <v>189</v>
      </c>
      <c r="G25" s="6" t="s">
        <v>194</v>
      </c>
    </row>
    <row r="26" spans="2:7">
      <c r="B26" s="82"/>
      <c r="C26" s="102">
        <v>44612</v>
      </c>
      <c r="D26" s="104" t="s">
        <v>201</v>
      </c>
      <c r="E26" s="82" t="s">
        <v>237</v>
      </c>
      <c r="F26" s="94" t="s">
        <v>238</v>
      </c>
      <c r="G26" s="86" t="s">
        <v>190</v>
      </c>
    </row>
    <row r="27" spans="2:7">
      <c r="B27" s="99"/>
      <c r="C27" s="103">
        <v>44613</v>
      </c>
      <c r="D27" s="104" t="s">
        <v>201</v>
      </c>
      <c r="E27" s="99" t="s">
        <v>239</v>
      </c>
      <c r="F27" s="111" t="s">
        <v>240</v>
      </c>
      <c r="G27" s="104" t="s">
        <v>190</v>
      </c>
    </row>
    <row r="28" spans="2:7" ht="30">
      <c r="B28" s="99"/>
      <c r="C28" s="100">
        <v>44613</v>
      </c>
      <c r="D28" s="104" t="s">
        <v>201</v>
      </c>
      <c r="E28" s="105" t="s">
        <v>241</v>
      </c>
      <c r="F28" s="104" t="s">
        <v>193</v>
      </c>
      <c r="G28" s="104" t="s">
        <v>210</v>
      </c>
    </row>
    <row r="29" spans="2:7">
      <c r="B29" s="82"/>
      <c r="C29" s="91">
        <v>44613</v>
      </c>
      <c r="D29" s="104" t="s">
        <v>201</v>
      </c>
      <c r="E29" s="82" t="s">
        <v>242</v>
      </c>
      <c r="F29" s="86" t="s">
        <v>205</v>
      </c>
      <c r="G29" s="86" t="s">
        <v>194</v>
      </c>
    </row>
    <row r="30" spans="2:7">
      <c r="B30" s="82"/>
      <c r="C30" s="91">
        <v>44613</v>
      </c>
      <c r="D30" s="104" t="s">
        <v>201</v>
      </c>
      <c r="E30" s="82" t="s">
        <v>243</v>
      </c>
      <c r="F30" s="94" t="s">
        <v>244</v>
      </c>
      <c r="G30" s="86" t="s">
        <v>194</v>
      </c>
    </row>
    <row r="31" spans="2:7" ht="30">
      <c r="B31" s="82"/>
      <c r="C31" s="91">
        <v>44613</v>
      </c>
      <c r="D31" s="104" t="s">
        <v>201</v>
      </c>
      <c r="E31" s="105" t="s">
        <v>245</v>
      </c>
      <c r="F31" s="94" t="s">
        <v>200</v>
      </c>
      <c r="G31" s="104" t="s">
        <v>229</v>
      </c>
    </row>
    <row r="32" spans="2:7" ht="30">
      <c r="B32" s="82"/>
      <c r="C32" s="91">
        <v>44614</v>
      </c>
      <c r="D32" s="104" t="s">
        <v>201</v>
      </c>
      <c r="E32" s="112" t="s">
        <v>246</v>
      </c>
      <c r="F32" s="86" t="s">
        <v>247</v>
      </c>
      <c r="G32" s="86" t="s">
        <v>210</v>
      </c>
    </row>
    <row r="33" spans="2:7">
      <c r="B33" s="82"/>
      <c r="C33" s="91">
        <v>44614</v>
      </c>
      <c r="D33" s="104" t="s">
        <v>201</v>
      </c>
      <c r="E33" s="82" t="s">
        <v>248</v>
      </c>
      <c r="F33" s="94" t="s">
        <v>196</v>
      </c>
      <c r="G33" s="86" t="s">
        <v>194</v>
      </c>
    </row>
    <row r="34" spans="2:7">
      <c r="B34" s="82">
        <v>334861</v>
      </c>
      <c r="C34" s="91">
        <v>44614</v>
      </c>
      <c r="D34" s="104" t="s">
        <v>201</v>
      </c>
      <c r="E34" s="82" t="s">
        <v>249</v>
      </c>
      <c r="F34" s="94" t="s">
        <v>250</v>
      </c>
      <c r="G34" s="86" t="s">
        <v>194</v>
      </c>
    </row>
    <row r="35" spans="2:7">
      <c r="B35" s="82"/>
      <c r="C35" s="91">
        <v>44614</v>
      </c>
      <c r="D35" s="104" t="s">
        <v>201</v>
      </c>
      <c r="E35" s="82" t="s">
        <v>251</v>
      </c>
      <c r="F35" s="94" t="s">
        <v>213</v>
      </c>
      <c r="G35" s="86" t="s">
        <v>190</v>
      </c>
    </row>
    <row r="36" spans="2:7">
      <c r="B36" s="82"/>
      <c r="C36" s="91">
        <v>44614</v>
      </c>
      <c r="D36" s="104" t="s">
        <v>201</v>
      </c>
      <c r="E36" s="82" t="s">
        <v>252</v>
      </c>
      <c r="F36" s="106" t="s">
        <v>244</v>
      </c>
      <c r="G36" s="86" t="s">
        <v>190</v>
      </c>
    </row>
    <row r="37" spans="2:7">
      <c r="B37" s="82"/>
      <c r="C37" s="91">
        <v>44614</v>
      </c>
      <c r="D37" s="104" t="s">
        <v>201</v>
      </c>
      <c r="E37" s="82" t="s">
        <v>253</v>
      </c>
      <c r="F37" s="106" t="s">
        <v>200</v>
      </c>
      <c r="G37" s="86" t="s">
        <v>229</v>
      </c>
    </row>
    <row r="38" spans="2:7">
      <c r="B38" s="82">
        <v>328939</v>
      </c>
      <c r="C38" s="91">
        <v>44615</v>
      </c>
      <c r="D38" s="104" t="s">
        <v>203</v>
      </c>
      <c r="E38" s="82"/>
      <c r="F38" s="106" t="s">
        <v>254</v>
      </c>
      <c r="G38" s="86" t="s">
        <v>194</v>
      </c>
    </row>
    <row r="39" spans="2:7">
      <c r="B39" s="82"/>
      <c r="C39" s="91">
        <v>44615</v>
      </c>
      <c r="D39" s="104" t="s">
        <v>201</v>
      </c>
      <c r="E39" s="82" t="s">
        <v>255</v>
      </c>
      <c r="F39" s="94" t="s">
        <v>200</v>
      </c>
      <c r="G39" s="86" t="s">
        <v>190</v>
      </c>
    </row>
    <row r="40" spans="2:7">
      <c r="B40" s="82"/>
      <c r="C40" s="91">
        <v>44615</v>
      </c>
      <c r="D40" s="104" t="s">
        <v>201</v>
      </c>
      <c r="E40" s="82" t="s">
        <v>256</v>
      </c>
      <c r="F40" s="86" t="s">
        <v>200</v>
      </c>
      <c r="G40" s="86" t="s">
        <v>257</v>
      </c>
    </row>
    <row r="41" spans="2:7">
      <c r="B41" s="82"/>
      <c r="C41" s="91">
        <v>44615</v>
      </c>
      <c r="D41" s="86" t="s">
        <v>201</v>
      </c>
      <c r="E41" s="82" t="s">
        <v>258</v>
      </c>
      <c r="F41" s="86" t="s">
        <v>200</v>
      </c>
      <c r="G41" s="86" t="s">
        <v>257</v>
      </c>
    </row>
    <row r="42" spans="2:7">
      <c r="B42" s="82"/>
      <c r="C42" s="91">
        <v>44615</v>
      </c>
      <c r="D42" s="86" t="s">
        <v>201</v>
      </c>
      <c r="E42" s="82" t="s">
        <v>259</v>
      </c>
      <c r="F42" s="86" t="s">
        <v>213</v>
      </c>
      <c r="G42" s="86" t="s">
        <v>194</v>
      </c>
    </row>
    <row r="43" spans="2:7">
      <c r="B43" s="82"/>
      <c r="C43" s="91">
        <v>44616</v>
      </c>
      <c r="D43" s="86" t="s">
        <v>201</v>
      </c>
      <c r="E43" s="82" t="s">
        <v>260</v>
      </c>
      <c r="F43" s="86" t="s">
        <v>196</v>
      </c>
      <c r="G43" s="86" t="s">
        <v>190</v>
      </c>
    </row>
    <row r="44" spans="2:7">
      <c r="B44" s="82"/>
      <c r="C44" s="91">
        <v>44617</v>
      </c>
      <c r="D44" s="86" t="s">
        <v>201</v>
      </c>
      <c r="E44" s="82" t="s">
        <v>261</v>
      </c>
      <c r="F44" s="94" t="s">
        <v>197</v>
      </c>
      <c r="G44" s="86" t="s">
        <v>194</v>
      </c>
    </row>
    <row r="45" spans="2:7">
      <c r="B45" s="82"/>
      <c r="C45" s="91">
        <v>44620</v>
      </c>
      <c r="D45" s="86" t="s">
        <v>191</v>
      </c>
      <c r="E45" s="82" t="s">
        <v>262</v>
      </c>
      <c r="F45" s="86" t="s">
        <v>200</v>
      </c>
      <c r="G45" s="86" t="s">
        <v>194</v>
      </c>
    </row>
    <row r="46" spans="2:7">
      <c r="B46" s="82"/>
      <c r="C46" s="91">
        <v>44621</v>
      </c>
      <c r="D46" s="86" t="s">
        <v>201</v>
      </c>
      <c r="E46" s="82" t="s">
        <v>263</v>
      </c>
      <c r="F46" s="94" t="s">
        <v>200</v>
      </c>
      <c r="G46" s="86" t="s">
        <v>257</v>
      </c>
    </row>
    <row r="47" spans="2:7">
      <c r="B47" s="82"/>
      <c r="C47" s="91">
        <v>44621</v>
      </c>
      <c r="D47" s="86" t="s">
        <v>201</v>
      </c>
      <c r="E47" s="82" t="s">
        <v>264</v>
      </c>
      <c r="F47" s="94" t="s">
        <v>197</v>
      </c>
      <c r="G47" s="86" t="s">
        <v>190</v>
      </c>
    </row>
    <row r="48" spans="2:7">
      <c r="B48" s="82"/>
      <c r="C48" s="91">
        <v>44622</v>
      </c>
      <c r="D48" s="86" t="s">
        <v>201</v>
      </c>
      <c r="E48" s="82" t="s">
        <v>265</v>
      </c>
      <c r="F48" s="94" t="s">
        <v>213</v>
      </c>
      <c r="G48" s="86" t="s">
        <v>229</v>
      </c>
    </row>
    <row r="49" spans="2:7">
      <c r="B49" s="82"/>
      <c r="C49" s="91">
        <v>44622</v>
      </c>
      <c r="D49" s="86" t="s">
        <v>201</v>
      </c>
      <c r="E49" s="82" t="s">
        <v>266</v>
      </c>
      <c r="F49" s="94" t="s">
        <v>213</v>
      </c>
      <c r="G49" s="86" t="s">
        <v>229</v>
      </c>
    </row>
    <row r="50" spans="2:7">
      <c r="B50" s="82"/>
      <c r="C50" s="91">
        <v>44622</v>
      </c>
      <c r="D50" s="86" t="s">
        <v>222</v>
      </c>
      <c r="E50" s="82" t="s">
        <v>267</v>
      </c>
      <c r="F50" s="94" t="s">
        <v>268</v>
      </c>
      <c r="G50" s="86" t="s">
        <v>194</v>
      </c>
    </row>
    <row r="51" spans="2:7">
      <c r="B51" s="82"/>
      <c r="C51" s="91">
        <v>44623</v>
      </c>
      <c r="D51" s="86" t="s">
        <v>203</v>
      </c>
      <c r="E51" s="82" t="s">
        <v>269</v>
      </c>
      <c r="F51" s="94" t="s">
        <v>268</v>
      </c>
      <c r="G51" s="86" t="s">
        <v>194</v>
      </c>
    </row>
    <row r="52" spans="2:7">
      <c r="B52" s="82"/>
      <c r="C52" s="91">
        <v>44623</v>
      </c>
      <c r="D52" s="86" t="s">
        <v>201</v>
      </c>
      <c r="E52" s="82" t="s">
        <v>270</v>
      </c>
      <c r="F52" s="94" t="s">
        <v>196</v>
      </c>
      <c r="G52" s="86" t="s">
        <v>194</v>
      </c>
    </row>
    <row r="53" spans="2:7">
      <c r="B53" s="82"/>
      <c r="C53" s="91">
        <v>44623</v>
      </c>
      <c r="D53" s="86" t="s">
        <v>201</v>
      </c>
      <c r="E53" s="82" t="s">
        <v>271</v>
      </c>
      <c r="F53" s="94" t="s">
        <v>200</v>
      </c>
      <c r="G53" s="86" t="s">
        <v>194</v>
      </c>
    </row>
    <row r="54" spans="2:7">
      <c r="B54" s="82"/>
      <c r="C54" s="91">
        <v>44623</v>
      </c>
      <c r="D54" s="86" t="s">
        <v>201</v>
      </c>
      <c r="E54" s="82" t="s">
        <v>272</v>
      </c>
      <c r="F54" s="86" t="s">
        <v>273</v>
      </c>
      <c r="G54" s="86" t="s">
        <v>229</v>
      </c>
    </row>
    <row r="55" spans="2:7">
      <c r="B55" s="82"/>
      <c r="C55" s="91">
        <v>44623</v>
      </c>
      <c r="D55" s="86" t="s">
        <v>201</v>
      </c>
      <c r="E55" s="82" t="s">
        <v>274</v>
      </c>
      <c r="F55" s="86" t="s">
        <v>197</v>
      </c>
      <c r="G55" s="86" t="s">
        <v>229</v>
      </c>
    </row>
    <row r="56" spans="2:7">
      <c r="B56" s="82">
        <v>361532</v>
      </c>
      <c r="C56" s="91">
        <v>44624</v>
      </c>
      <c r="D56" s="86" t="s">
        <v>203</v>
      </c>
      <c r="E56" s="82" t="s">
        <v>275</v>
      </c>
      <c r="F56" s="94" t="s">
        <v>205</v>
      </c>
      <c r="G56" s="86" t="s">
        <v>194</v>
      </c>
    </row>
    <row r="57" spans="2:7">
      <c r="B57" s="82"/>
      <c r="C57" s="91">
        <v>44627</v>
      </c>
      <c r="D57" s="86" t="s">
        <v>201</v>
      </c>
      <c r="E57" s="82" t="s">
        <v>276</v>
      </c>
      <c r="F57" s="94" t="s">
        <v>273</v>
      </c>
      <c r="G57" s="86" t="s">
        <v>229</v>
      </c>
    </row>
    <row r="58" spans="2:7">
      <c r="B58" s="82"/>
      <c r="C58" s="91">
        <v>44627</v>
      </c>
      <c r="D58" s="86" t="s">
        <v>201</v>
      </c>
      <c r="E58" s="82" t="s">
        <v>277</v>
      </c>
      <c r="F58" s="94" t="s">
        <v>273</v>
      </c>
      <c r="G58" s="86" t="s">
        <v>229</v>
      </c>
    </row>
    <row r="59" spans="2:7">
      <c r="B59" s="82"/>
      <c r="C59" s="91">
        <v>44628</v>
      </c>
      <c r="D59" s="86" t="s">
        <v>191</v>
      </c>
      <c r="E59" s="82" t="s">
        <v>278</v>
      </c>
      <c r="F59" s="94" t="s">
        <v>279</v>
      </c>
      <c r="G59" s="86" t="s">
        <v>194</v>
      </c>
    </row>
    <row r="60" spans="2:7">
      <c r="B60" s="82"/>
      <c r="C60" s="91">
        <v>44629</v>
      </c>
      <c r="D60" s="86" t="s">
        <v>201</v>
      </c>
      <c r="E60" s="82" t="s">
        <v>280</v>
      </c>
      <c r="F60" s="94" t="s">
        <v>200</v>
      </c>
      <c r="G60" s="86" t="s">
        <v>229</v>
      </c>
    </row>
    <row r="61" spans="2:7">
      <c r="B61" s="82"/>
      <c r="C61" s="91">
        <v>44629</v>
      </c>
      <c r="D61" s="86" t="s">
        <v>201</v>
      </c>
      <c r="E61" s="82" t="s">
        <v>281</v>
      </c>
      <c r="F61" s="94" t="s">
        <v>200</v>
      </c>
      <c r="G61" s="86" t="s">
        <v>229</v>
      </c>
    </row>
    <row r="62" spans="2:7">
      <c r="B62" s="82"/>
      <c r="C62" s="91">
        <v>44629</v>
      </c>
      <c r="D62" s="86" t="s">
        <v>191</v>
      </c>
      <c r="E62" s="82" t="s">
        <v>278</v>
      </c>
      <c r="F62" s="94" t="s">
        <v>282</v>
      </c>
      <c r="G62" s="86" t="s">
        <v>194</v>
      </c>
    </row>
    <row r="63" spans="2:7">
      <c r="B63" s="82"/>
      <c r="C63" s="91">
        <v>44629</v>
      </c>
      <c r="D63" s="86" t="s">
        <v>203</v>
      </c>
      <c r="E63" s="82" t="s">
        <v>283</v>
      </c>
      <c r="F63" s="86" t="s">
        <v>284</v>
      </c>
      <c r="G63" s="86" t="s">
        <v>190</v>
      </c>
    </row>
    <row r="64" spans="2:7">
      <c r="B64" s="82"/>
      <c r="C64" s="91">
        <v>44630</v>
      </c>
      <c r="D64" s="86" t="s">
        <v>191</v>
      </c>
      <c r="E64" s="82" t="s">
        <v>278</v>
      </c>
      <c r="F64" s="94" t="s">
        <v>285</v>
      </c>
      <c r="G64" s="86" t="s">
        <v>194</v>
      </c>
    </row>
    <row r="65" spans="2:7">
      <c r="B65" s="82"/>
      <c r="C65" s="91">
        <v>44630</v>
      </c>
      <c r="D65" s="86" t="s">
        <v>203</v>
      </c>
      <c r="E65" s="82" t="s">
        <v>286</v>
      </c>
      <c r="F65" s="94" t="s">
        <v>207</v>
      </c>
      <c r="G65" s="86" t="s">
        <v>194</v>
      </c>
    </row>
    <row r="66" spans="2:7">
      <c r="B66" s="82"/>
      <c r="C66" s="91">
        <v>44630</v>
      </c>
      <c r="D66" s="86" t="s">
        <v>201</v>
      </c>
      <c r="E66" s="82" t="s">
        <v>287</v>
      </c>
      <c r="F66" s="94" t="s">
        <v>205</v>
      </c>
      <c r="G66" s="86" t="s">
        <v>194</v>
      </c>
    </row>
    <row r="67" spans="2:7">
      <c r="B67" s="99"/>
      <c r="C67" s="91">
        <v>44630</v>
      </c>
      <c r="D67" s="86" t="s">
        <v>201</v>
      </c>
      <c r="E67" s="82" t="s">
        <v>288</v>
      </c>
      <c r="F67" s="86" t="s">
        <v>219</v>
      </c>
      <c r="G67" s="86" t="s">
        <v>229</v>
      </c>
    </row>
    <row r="68" spans="2:7">
      <c r="B68" s="82"/>
      <c r="C68" s="103">
        <v>44630</v>
      </c>
      <c r="D68" s="104" t="s">
        <v>201</v>
      </c>
      <c r="E68" s="99" t="s">
        <v>289</v>
      </c>
      <c r="F68" s="104" t="s">
        <v>196</v>
      </c>
      <c r="G68" s="86" t="s">
        <v>194</v>
      </c>
    </row>
    <row r="69" spans="2:7">
      <c r="B69" s="82"/>
      <c r="C69" s="103">
        <v>44631</v>
      </c>
      <c r="D69" s="86" t="s">
        <v>191</v>
      </c>
      <c r="E69" s="82" t="s">
        <v>290</v>
      </c>
      <c r="F69" s="86" t="s">
        <v>213</v>
      </c>
      <c r="G69" s="86" t="s">
        <v>194</v>
      </c>
    </row>
    <row r="70" spans="2:7">
      <c r="B70" s="82"/>
      <c r="C70" s="103">
        <v>44631</v>
      </c>
      <c r="D70" s="86" t="s">
        <v>201</v>
      </c>
      <c r="E70" s="82" t="s">
        <v>291</v>
      </c>
      <c r="F70" s="86" t="s">
        <v>193</v>
      </c>
      <c r="G70" s="86" t="s">
        <v>229</v>
      </c>
    </row>
    <row r="71" spans="2:7">
      <c r="B71" s="82"/>
      <c r="C71" s="103">
        <v>44631</v>
      </c>
      <c r="D71" s="86" t="s">
        <v>201</v>
      </c>
      <c r="E71" s="82" t="s">
        <v>292</v>
      </c>
      <c r="F71" s="86" t="s">
        <v>293</v>
      </c>
      <c r="G71" s="86" t="s">
        <v>229</v>
      </c>
    </row>
    <row r="72" spans="2:7">
      <c r="B72" s="82"/>
      <c r="C72" s="103">
        <v>44631</v>
      </c>
      <c r="D72" s="86" t="s">
        <v>201</v>
      </c>
      <c r="E72" s="82" t="s">
        <v>294</v>
      </c>
      <c r="F72" s="86" t="s">
        <v>295</v>
      </c>
      <c r="G72" s="86" t="s">
        <v>229</v>
      </c>
    </row>
    <row r="73" spans="2:7">
      <c r="B73" s="82"/>
      <c r="C73" s="103">
        <v>44631</v>
      </c>
      <c r="D73" s="86" t="s">
        <v>201</v>
      </c>
      <c r="E73" s="82" t="s">
        <v>296</v>
      </c>
      <c r="F73" s="86" t="s">
        <v>279</v>
      </c>
      <c r="G73" s="86" t="s">
        <v>194</v>
      </c>
    </row>
    <row r="74" spans="2:7">
      <c r="B74" s="82"/>
      <c r="C74" s="102">
        <v>43904</v>
      </c>
      <c r="D74" s="86" t="s">
        <v>191</v>
      </c>
      <c r="E74" s="82" t="s">
        <v>296</v>
      </c>
      <c r="F74" s="86" t="s">
        <v>189</v>
      </c>
      <c r="G74" s="86" t="s">
        <v>194</v>
      </c>
    </row>
    <row r="75" spans="2:7">
      <c r="B75" s="82"/>
      <c r="C75" s="102">
        <v>43904</v>
      </c>
      <c r="D75" s="86" t="s">
        <v>203</v>
      </c>
      <c r="E75" s="82" t="s">
        <v>297</v>
      </c>
      <c r="F75" s="86" t="s">
        <v>200</v>
      </c>
      <c r="G75" s="86" t="s">
        <v>194</v>
      </c>
    </row>
    <row r="76" spans="2:7">
      <c r="B76" s="82"/>
      <c r="C76" s="102">
        <v>43904</v>
      </c>
      <c r="D76" s="86" t="s">
        <v>201</v>
      </c>
      <c r="E76" s="82" t="s">
        <v>298</v>
      </c>
      <c r="F76" s="86" t="s">
        <v>193</v>
      </c>
      <c r="G76" s="86" t="s">
        <v>194</v>
      </c>
    </row>
    <row r="77" spans="2:7">
      <c r="B77" s="82"/>
      <c r="C77" s="102">
        <v>43904</v>
      </c>
      <c r="D77" s="86" t="s">
        <v>201</v>
      </c>
      <c r="E77" s="82" t="s">
        <v>299</v>
      </c>
      <c r="F77" s="86" t="s">
        <v>196</v>
      </c>
      <c r="G77" s="86" t="s">
        <v>190</v>
      </c>
    </row>
    <row r="78" spans="2:7">
      <c r="B78" s="82"/>
      <c r="C78" s="102">
        <v>43905</v>
      </c>
      <c r="D78" s="86" t="s">
        <v>201</v>
      </c>
      <c r="E78" s="82" t="s">
        <v>300</v>
      </c>
      <c r="F78" s="86" t="s">
        <v>196</v>
      </c>
      <c r="G78" s="86" t="s">
        <v>229</v>
      </c>
    </row>
    <row r="79" spans="2:7">
      <c r="B79" s="82"/>
      <c r="C79" s="102">
        <v>43905</v>
      </c>
      <c r="D79" s="86" t="s">
        <v>201</v>
      </c>
      <c r="E79" s="82" t="s">
        <v>301</v>
      </c>
      <c r="F79" s="86" t="s">
        <v>302</v>
      </c>
      <c r="G79" s="86" t="s">
        <v>229</v>
      </c>
    </row>
    <row r="80" spans="2:7">
      <c r="B80" s="82"/>
      <c r="C80" s="102">
        <v>43906</v>
      </c>
      <c r="D80" s="86" t="s">
        <v>201</v>
      </c>
      <c r="E80" s="82" t="s">
        <v>303</v>
      </c>
      <c r="F80" s="86" t="s">
        <v>196</v>
      </c>
      <c r="G80" s="86" t="s">
        <v>229</v>
      </c>
    </row>
    <row r="81" spans="2:7">
      <c r="B81" s="82"/>
      <c r="C81" s="102">
        <v>43906</v>
      </c>
      <c r="D81" s="86" t="s">
        <v>201</v>
      </c>
      <c r="E81" s="82" t="s">
        <v>304</v>
      </c>
      <c r="F81" s="86" t="s">
        <v>193</v>
      </c>
      <c r="G81" s="86" t="s">
        <v>194</v>
      </c>
    </row>
    <row r="82" spans="2:7">
      <c r="B82" s="82"/>
      <c r="C82" s="102">
        <v>43906</v>
      </c>
      <c r="D82" s="86" t="s">
        <v>201</v>
      </c>
      <c r="E82" s="82" t="s">
        <v>305</v>
      </c>
      <c r="F82" s="86" t="s">
        <v>196</v>
      </c>
      <c r="G82" s="86" t="s">
        <v>190</v>
      </c>
    </row>
    <row r="83" spans="2:7">
      <c r="B83" s="82"/>
      <c r="C83" s="102">
        <v>43906</v>
      </c>
      <c r="D83" s="86" t="s">
        <v>201</v>
      </c>
      <c r="E83" s="82" t="s">
        <v>305</v>
      </c>
      <c r="F83" s="86" t="s">
        <v>196</v>
      </c>
      <c r="G83" s="86" t="s">
        <v>194</v>
      </c>
    </row>
    <row r="84" spans="2:7">
      <c r="B84" s="82"/>
      <c r="C84" s="102">
        <v>44637</v>
      </c>
      <c r="D84" s="86" t="s">
        <v>201</v>
      </c>
      <c r="E84" s="82" t="s">
        <v>306</v>
      </c>
      <c r="F84" s="94" t="s">
        <v>193</v>
      </c>
      <c r="G84" s="86" t="s">
        <v>194</v>
      </c>
    </row>
    <row r="85" spans="2:7">
      <c r="B85" s="82"/>
      <c r="C85" s="102">
        <v>44637</v>
      </c>
      <c r="D85" s="86" t="s">
        <v>201</v>
      </c>
      <c r="E85" s="82" t="s">
        <v>307</v>
      </c>
      <c r="F85" s="86" t="s">
        <v>197</v>
      </c>
      <c r="G85" s="86" t="s">
        <v>229</v>
      </c>
    </row>
    <row r="86" spans="2:7">
      <c r="B86" s="82"/>
      <c r="C86" s="102">
        <v>44637</v>
      </c>
      <c r="D86" s="86" t="s">
        <v>187</v>
      </c>
      <c r="E86" s="82" t="s">
        <v>308</v>
      </c>
      <c r="F86" s="86" t="s">
        <v>193</v>
      </c>
      <c r="G86" s="86" t="s">
        <v>190</v>
      </c>
    </row>
    <row r="87" spans="2:7">
      <c r="B87" s="82"/>
      <c r="C87" s="102">
        <v>44637</v>
      </c>
      <c r="D87" s="86" t="s">
        <v>191</v>
      </c>
      <c r="E87" s="82" t="s">
        <v>309</v>
      </c>
      <c r="F87" s="86" t="s">
        <v>197</v>
      </c>
      <c r="G87" s="86" t="s">
        <v>190</v>
      </c>
    </row>
    <row r="88" spans="2:7">
      <c r="B88" s="82"/>
      <c r="C88" s="102">
        <v>44637</v>
      </c>
      <c r="D88" s="86" t="s">
        <v>201</v>
      </c>
      <c r="E88" s="82" t="s">
        <v>310</v>
      </c>
      <c r="F88" s="86" t="s">
        <v>197</v>
      </c>
      <c r="G88" s="86" t="s">
        <v>190</v>
      </c>
    </row>
    <row r="89" spans="2:7">
      <c r="B89" s="82"/>
      <c r="C89" s="102">
        <v>44638</v>
      </c>
      <c r="D89" s="86" t="s">
        <v>201</v>
      </c>
      <c r="E89" s="82" t="s">
        <v>311</v>
      </c>
      <c r="F89" s="94" t="s">
        <v>200</v>
      </c>
      <c r="G89" s="86" t="s">
        <v>229</v>
      </c>
    </row>
    <row r="90" spans="2:7">
      <c r="B90" s="82"/>
      <c r="C90" s="102">
        <v>44638</v>
      </c>
      <c r="D90" s="86" t="s">
        <v>201</v>
      </c>
      <c r="E90" s="82" t="s">
        <v>312</v>
      </c>
      <c r="F90" s="94" t="s">
        <v>196</v>
      </c>
      <c r="G90" s="86" t="s">
        <v>229</v>
      </c>
    </row>
    <row r="91" spans="2:7">
      <c r="B91" s="82"/>
      <c r="C91" s="102">
        <v>44642</v>
      </c>
      <c r="D91" s="86" t="s">
        <v>201</v>
      </c>
      <c r="E91" s="82" t="s">
        <v>313</v>
      </c>
      <c r="F91" s="94" t="s">
        <v>314</v>
      </c>
      <c r="G91" s="86" t="s">
        <v>194</v>
      </c>
    </row>
    <row r="92" spans="2:7">
      <c r="B92" s="82"/>
      <c r="C92" s="102">
        <v>44643</v>
      </c>
      <c r="D92" s="86" t="s">
        <v>201</v>
      </c>
      <c r="E92" s="82" t="s">
        <v>315</v>
      </c>
      <c r="F92" s="94" t="s">
        <v>196</v>
      </c>
      <c r="G92" s="86" t="s">
        <v>190</v>
      </c>
    </row>
    <row r="93" spans="2:7">
      <c r="B93" s="82"/>
      <c r="C93" s="102">
        <v>44643</v>
      </c>
      <c r="D93" s="86" t="s">
        <v>201</v>
      </c>
      <c r="E93" s="82" t="s">
        <v>316</v>
      </c>
      <c r="F93" s="94" t="s">
        <v>197</v>
      </c>
      <c r="G93" s="86" t="s">
        <v>229</v>
      </c>
    </row>
    <row r="94" spans="2:7">
      <c r="B94" s="82"/>
      <c r="C94" s="102">
        <v>44644</v>
      </c>
      <c r="D94" s="86" t="s">
        <v>201</v>
      </c>
      <c r="E94" s="82" t="s">
        <v>317</v>
      </c>
      <c r="F94" s="94" t="s">
        <v>196</v>
      </c>
      <c r="G94" s="86" t="s">
        <v>229</v>
      </c>
    </row>
    <row r="95" spans="2:7">
      <c r="B95" s="82"/>
      <c r="C95" s="102">
        <v>44644</v>
      </c>
      <c r="D95" s="86" t="s">
        <v>201</v>
      </c>
      <c r="E95" s="82" t="s">
        <v>318</v>
      </c>
      <c r="F95" s="94" t="s">
        <v>193</v>
      </c>
      <c r="G95" s="86" t="s">
        <v>229</v>
      </c>
    </row>
    <row r="96" spans="2:7">
      <c r="B96" s="82"/>
      <c r="C96" s="102">
        <v>44645</v>
      </c>
      <c r="D96" s="86" t="s">
        <v>201</v>
      </c>
      <c r="E96" s="82" t="s">
        <v>319</v>
      </c>
      <c r="F96" s="94" t="s">
        <v>196</v>
      </c>
      <c r="G96" s="86" t="s">
        <v>229</v>
      </c>
    </row>
    <row r="97" spans="2:7">
      <c r="B97" s="82"/>
      <c r="C97" s="102">
        <v>44645</v>
      </c>
      <c r="D97" s="86" t="s">
        <v>201</v>
      </c>
      <c r="E97" s="82" t="s">
        <v>320</v>
      </c>
      <c r="F97" s="94" t="s">
        <v>196</v>
      </c>
      <c r="G97" s="86" t="s">
        <v>229</v>
      </c>
    </row>
    <row r="98" spans="2:7">
      <c r="B98" s="82"/>
      <c r="C98" s="102">
        <v>44646</v>
      </c>
      <c r="D98" s="86" t="s">
        <v>201</v>
      </c>
      <c r="E98" s="82" t="s">
        <v>321</v>
      </c>
      <c r="F98" s="94" t="s">
        <v>193</v>
      </c>
      <c r="G98" s="86" t="s">
        <v>229</v>
      </c>
    </row>
    <row r="99" spans="2:7">
      <c r="B99" s="82" t="s">
        <v>322</v>
      </c>
      <c r="C99" s="102">
        <v>44647</v>
      </c>
      <c r="D99" s="86" t="s">
        <v>191</v>
      </c>
      <c r="E99" s="82" t="s">
        <v>323</v>
      </c>
      <c r="F99" s="94" t="s">
        <v>279</v>
      </c>
      <c r="G99" s="94" t="s">
        <v>324</v>
      </c>
    </row>
    <row r="100" spans="2:7">
      <c r="B100" s="82"/>
      <c r="C100" s="102">
        <v>44648</v>
      </c>
      <c r="D100" s="86" t="s">
        <v>201</v>
      </c>
      <c r="E100" s="82" t="s">
        <v>325</v>
      </c>
      <c r="F100" s="94" t="s">
        <v>197</v>
      </c>
      <c r="G100" s="94" t="s">
        <v>326</v>
      </c>
    </row>
    <row r="101" spans="2:7">
      <c r="B101" s="82"/>
      <c r="C101" s="102">
        <v>44649</v>
      </c>
      <c r="D101" s="86" t="s">
        <v>201</v>
      </c>
      <c r="E101" s="82" t="s">
        <v>327</v>
      </c>
      <c r="F101" s="94" t="s">
        <v>196</v>
      </c>
      <c r="G101" s="94" t="s">
        <v>328</v>
      </c>
    </row>
    <row r="102" spans="2:7">
      <c r="B102" s="82"/>
      <c r="C102" s="102">
        <v>44649</v>
      </c>
      <c r="D102" s="86" t="s">
        <v>201</v>
      </c>
      <c r="E102" s="82" t="s">
        <v>329</v>
      </c>
      <c r="F102" s="94" t="s">
        <v>196</v>
      </c>
      <c r="G102" s="94" t="s">
        <v>328</v>
      </c>
    </row>
    <row r="103" spans="2:7">
      <c r="B103" s="82"/>
      <c r="C103" s="102">
        <v>44650</v>
      </c>
      <c r="D103" s="86" t="s">
        <v>201</v>
      </c>
      <c r="E103" s="82" t="s">
        <v>330</v>
      </c>
      <c r="F103" s="94" t="s">
        <v>331</v>
      </c>
      <c r="G103" s="94" t="s">
        <v>328</v>
      </c>
    </row>
    <row r="104" spans="2:7">
      <c r="B104" s="82"/>
      <c r="C104" s="102">
        <v>44651</v>
      </c>
      <c r="D104" s="86" t="s">
        <v>201</v>
      </c>
      <c r="E104" s="82" t="s">
        <v>329</v>
      </c>
      <c r="F104" s="94" t="s">
        <v>196</v>
      </c>
      <c r="G104" s="94" t="s">
        <v>332</v>
      </c>
    </row>
    <row r="105" spans="2:7">
      <c r="B105" s="82"/>
      <c r="C105" s="102">
        <v>44651</v>
      </c>
      <c r="D105" s="86" t="s">
        <v>201</v>
      </c>
      <c r="E105" s="82" t="s">
        <v>333</v>
      </c>
      <c r="F105" s="94" t="s">
        <v>197</v>
      </c>
      <c r="G105" s="94" t="s">
        <v>328</v>
      </c>
    </row>
    <row r="106" spans="2:7">
      <c r="B106" s="82"/>
      <c r="C106" s="102">
        <v>44652</v>
      </c>
      <c r="D106" s="86" t="s">
        <v>201</v>
      </c>
      <c r="E106" s="82" t="s">
        <v>334</v>
      </c>
      <c r="F106" s="94" t="s">
        <v>200</v>
      </c>
      <c r="G106" s="94" t="s">
        <v>328</v>
      </c>
    </row>
    <row r="107" spans="2:7">
      <c r="B107" s="82"/>
      <c r="C107" s="102">
        <v>44653</v>
      </c>
      <c r="D107" s="86" t="s">
        <v>201</v>
      </c>
      <c r="E107" s="82" t="s">
        <v>335</v>
      </c>
      <c r="F107" s="94" t="s">
        <v>336</v>
      </c>
      <c r="G107" s="94" t="s">
        <v>328</v>
      </c>
    </row>
    <row r="108" spans="2:7">
      <c r="B108" s="82"/>
      <c r="C108" s="102">
        <v>44653</v>
      </c>
      <c r="D108" s="86" t="s">
        <v>337</v>
      </c>
      <c r="E108" s="82" t="s">
        <v>338</v>
      </c>
      <c r="F108" s="94" t="s">
        <v>339</v>
      </c>
      <c r="G108" s="94" t="s">
        <v>190</v>
      </c>
    </row>
    <row r="109" spans="2:7">
      <c r="B109" s="82"/>
      <c r="C109" s="102">
        <v>44657</v>
      </c>
      <c r="D109" s="86" t="s">
        <v>201</v>
      </c>
      <c r="E109" s="82" t="s">
        <v>340</v>
      </c>
      <c r="F109" s="94" t="s">
        <v>197</v>
      </c>
      <c r="G109" s="94" t="s">
        <v>328</v>
      </c>
    </row>
    <row r="110" spans="2:7">
      <c r="B110" s="82"/>
      <c r="C110" s="102">
        <v>44657</v>
      </c>
      <c r="D110" s="86" t="s">
        <v>201</v>
      </c>
      <c r="E110" s="82" t="s">
        <v>341</v>
      </c>
      <c r="F110" s="94" t="s">
        <v>196</v>
      </c>
      <c r="G110" s="94" t="s">
        <v>328</v>
      </c>
    </row>
    <row r="111" spans="2:7">
      <c r="B111" s="82"/>
      <c r="C111" s="102">
        <v>44657</v>
      </c>
      <c r="D111" s="86" t="s">
        <v>201</v>
      </c>
      <c r="E111" s="82" t="s">
        <v>342</v>
      </c>
      <c r="F111" s="94" t="s">
        <v>196</v>
      </c>
      <c r="G111" s="94" t="s">
        <v>328</v>
      </c>
    </row>
    <row r="112" spans="2:7">
      <c r="B112" s="82"/>
      <c r="C112" s="102">
        <v>44659</v>
      </c>
      <c r="D112" s="86" t="s">
        <v>201</v>
      </c>
      <c r="E112" s="82" t="s">
        <v>343</v>
      </c>
      <c r="F112" s="94" t="s">
        <v>200</v>
      </c>
      <c r="G112" s="94" t="s">
        <v>328</v>
      </c>
    </row>
    <row r="113" spans="2:7">
      <c r="B113" s="82"/>
      <c r="C113" s="102">
        <v>44659</v>
      </c>
      <c r="D113" s="86" t="s">
        <v>201</v>
      </c>
      <c r="E113" s="82" t="s">
        <v>344</v>
      </c>
      <c r="F113" s="94" t="s">
        <v>200</v>
      </c>
      <c r="G113" s="94" t="s">
        <v>328</v>
      </c>
    </row>
    <row r="114" spans="2:7">
      <c r="B114" s="82"/>
      <c r="C114" s="102">
        <v>44662</v>
      </c>
      <c r="D114" s="86" t="s">
        <v>201</v>
      </c>
      <c r="E114" s="82" t="s">
        <v>345</v>
      </c>
      <c r="F114" s="94" t="s">
        <v>197</v>
      </c>
      <c r="G114" s="94" t="s">
        <v>328</v>
      </c>
    </row>
    <row r="115" spans="2:7">
      <c r="B115" s="82"/>
      <c r="C115" s="102">
        <v>44662</v>
      </c>
      <c r="D115" s="86" t="s">
        <v>201</v>
      </c>
      <c r="E115" s="82" t="s">
        <v>346</v>
      </c>
      <c r="F115" s="94" t="s">
        <v>295</v>
      </c>
      <c r="G115" s="94" t="s">
        <v>328</v>
      </c>
    </row>
    <row r="116" spans="2:7">
      <c r="B116" s="82"/>
      <c r="C116" s="102">
        <v>44669</v>
      </c>
      <c r="D116" s="86" t="s">
        <v>201</v>
      </c>
      <c r="E116" s="82" t="s">
        <v>347</v>
      </c>
      <c r="F116" s="94" t="s">
        <v>295</v>
      </c>
      <c r="G116" s="94" t="s">
        <v>328</v>
      </c>
    </row>
    <row r="117" spans="2:7">
      <c r="B117" s="82"/>
      <c r="C117" s="102">
        <v>44671</v>
      </c>
      <c r="D117" s="86" t="s">
        <v>201</v>
      </c>
      <c r="E117" s="82" t="s">
        <v>348</v>
      </c>
      <c r="F117" s="94" t="s">
        <v>349</v>
      </c>
      <c r="G117" s="94" t="s">
        <v>328</v>
      </c>
    </row>
    <row r="118" spans="2:7">
      <c r="B118" s="82"/>
      <c r="C118" s="102">
        <v>44673</v>
      </c>
      <c r="D118" s="86" t="s">
        <v>201</v>
      </c>
      <c r="E118" s="82" t="s">
        <v>347</v>
      </c>
      <c r="F118" s="94" t="s">
        <v>196</v>
      </c>
      <c r="G118" s="94" t="s">
        <v>328</v>
      </c>
    </row>
    <row r="119" spans="2:7">
      <c r="B119" s="82"/>
      <c r="C119" s="102">
        <v>44674</v>
      </c>
      <c r="D119" s="86" t="s">
        <v>191</v>
      </c>
      <c r="E119" s="82" t="s">
        <v>350</v>
      </c>
      <c r="F119" s="94" t="s">
        <v>273</v>
      </c>
      <c r="G119" s="94" t="s">
        <v>351</v>
      </c>
    </row>
    <row r="120" spans="2:7">
      <c r="B120" s="82"/>
      <c r="C120" s="102">
        <v>44676</v>
      </c>
      <c r="D120" s="86" t="s">
        <v>201</v>
      </c>
      <c r="E120" s="82" t="s">
        <v>352</v>
      </c>
      <c r="F120" s="94" t="s">
        <v>205</v>
      </c>
      <c r="G120" s="94" t="s">
        <v>328</v>
      </c>
    </row>
    <row r="121" spans="2:7">
      <c r="B121" s="82"/>
      <c r="C121" s="102">
        <v>44678</v>
      </c>
      <c r="D121" s="86" t="s">
        <v>201</v>
      </c>
      <c r="E121" s="82" t="s">
        <v>353</v>
      </c>
      <c r="F121" s="94" t="s">
        <v>196</v>
      </c>
      <c r="G121" s="94" t="s">
        <v>328</v>
      </c>
    </row>
    <row r="122" spans="2:7">
      <c r="B122" s="82"/>
      <c r="C122" s="102">
        <v>44684</v>
      </c>
      <c r="D122" s="86" t="s">
        <v>201</v>
      </c>
      <c r="E122" s="82" t="s">
        <v>354</v>
      </c>
      <c r="F122" s="94" t="s">
        <v>196</v>
      </c>
      <c r="G122" s="94" t="s">
        <v>328</v>
      </c>
    </row>
    <row r="123" spans="2:7">
      <c r="B123" s="82"/>
      <c r="C123" s="102">
        <v>44684</v>
      </c>
      <c r="D123" s="86" t="s">
        <v>201</v>
      </c>
      <c r="E123" s="82" t="s">
        <v>355</v>
      </c>
      <c r="F123" s="94" t="s">
        <v>200</v>
      </c>
      <c r="G123" s="94" t="s">
        <v>328</v>
      </c>
    </row>
    <row r="124" spans="2:7">
      <c r="B124" s="82"/>
      <c r="C124" s="109"/>
      <c r="D124" s="86"/>
      <c r="E124" s="82"/>
      <c r="F124" s="94"/>
      <c r="G124" s="94"/>
    </row>
    <row r="125" spans="2:7">
      <c r="B125" s="82"/>
      <c r="C125" s="109"/>
      <c r="D125" s="86"/>
      <c r="E125" s="82"/>
      <c r="F125" s="94"/>
      <c r="G125" s="94"/>
    </row>
    <row r="126" spans="2:7">
      <c r="B126" s="82"/>
      <c r="C126" s="109"/>
      <c r="D126" s="86"/>
      <c r="E126" s="82"/>
      <c r="F126" s="94"/>
      <c r="G126" s="94"/>
    </row>
    <row r="127" spans="2:7">
      <c r="B127" s="82"/>
      <c r="C127" s="109"/>
      <c r="D127" s="86"/>
      <c r="E127" s="82"/>
      <c r="F127" s="94"/>
      <c r="G127" s="94"/>
    </row>
    <row r="128" spans="2:7">
      <c r="B128" s="82"/>
      <c r="C128" s="109"/>
      <c r="D128" s="86"/>
      <c r="E128" s="82"/>
      <c r="F128" s="94"/>
      <c r="G128" s="94"/>
    </row>
    <row r="129" spans="2:7">
      <c r="B129" s="82"/>
      <c r="C129" s="109"/>
      <c r="D129" s="86"/>
      <c r="E129" s="82"/>
      <c r="F129" s="94"/>
      <c r="G129" s="94"/>
    </row>
    <row r="130" spans="2:7">
      <c r="B130" s="82"/>
      <c r="C130" s="109"/>
      <c r="D130" s="86"/>
      <c r="E130" s="82"/>
      <c r="F130" s="94"/>
      <c r="G130" s="94"/>
    </row>
    <row r="131" spans="2:7">
      <c r="B131" s="82"/>
      <c r="C131" s="109"/>
      <c r="D131" s="86"/>
      <c r="E131" s="82"/>
      <c r="F131" s="94"/>
      <c r="G131" s="94"/>
    </row>
    <row r="132" spans="2:7">
      <c r="B132" s="82"/>
      <c r="C132" s="109"/>
      <c r="D132" s="86"/>
      <c r="E132" s="82"/>
      <c r="F132" s="94"/>
      <c r="G132" s="94"/>
    </row>
    <row r="133" spans="2:7">
      <c r="B133" s="82"/>
      <c r="C133" s="109"/>
      <c r="D133" s="86"/>
      <c r="E133" s="82"/>
      <c r="F133" s="94"/>
      <c r="G133" s="94"/>
    </row>
    <row r="134" spans="2:7">
      <c r="B134" s="82"/>
      <c r="C134" s="109"/>
      <c r="D134" s="86"/>
      <c r="E134" s="82"/>
      <c r="F134" s="94"/>
      <c r="G134" s="94"/>
    </row>
    <row r="135" spans="2:7">
      <c r="B135" s="82"/>
      <c r="C135" s="109"/>
      <c r="D135" s="86"/>
      <c r="E135" s="82"/>
      <c r="F135" s="94"/>
      <c r="G135" s="94"/>
    </row>
    <row r="136" spans="2:7">
      <c r="B136" s="82"/>
      <c r="C136" s="109"/>
      <c r="D136" s="86"/>
      <c r="E136" s="82"/>
      <c r="F136" s="94"/>
      <c r="G136" s="94"/>
    </row>
    <row r="137" spans="2:7">
      <c r="B137" s="82"/>
      <c r="C137" s="109"/>
      <c r="D137" s="86"/>
      <c r="E137" s="82"/>
      <c r="F137" s="94"/>
      <c r="G137" s="94"/>
    </row>
    <row r="138" spans="2:7">
      <c r="B138" s="82"/>
      <c r="C138" s="109"/>
      <c r="D138" s="86"/>
      <c r="E138" s="82"/>
      <c r="F138" s="94"/>
      <c r="G138" s="94"/>
    </row>
    <row r="139" spans="2:7">
      <c r="B139" s="82"/>
      <c r="C139" s="109"/>
      <c r="D139" s="86"/>
      <c r="E139" s="82"/>
      <c r="F139" s="94"/>
      <c r="G139" s="94"/>
    </row>
    <row r="140" spans="2:7">
      <c r="B140" s="82"/>
      <c r="C140" s="109"/>
      <c r="D140" s="86"/>
      <c r="E140" s="82"/>
      <c r="F140" s="94"/>
      <c r="G140" s="94"/>
    </row>
    <row r="141" spans="2:7">
      <c r="B141" s="82"/>
      <c r="C141" s="109"/>
      <c r="D141" s="86"/>
      <c r="E141" s="82"/>
      <c r="F141" s="94"/>
      <c r="G141" s="94"/>
    </row>
    <row r="142" spans="2:7">
      <c r="B142" s="82"/>
      <c r="C142" s="109"/>
      <c r="D142" s="86"/>
      <c r="E142" s="82"/>
      <c r="F142" s="94"/>
      <c r="G142" s="94"/>
    </row>
    <row r="143" spans="2:7">
      <c r="B143" s="82"/>
      <c r="C143" s="109"/>
      <c r="D143" s="86"/>
      <c r="E143" s="82"/>
      <c r="F143" s="94"/>
      <c r="G143" s="94"/>
    </row>
    <row r="144" spans="2:7">
      <c r="B144" s="82"/>
      <c r="C144" s="109"/>
      <c r="D144" s="86"/>
      <c r="E144" s="82"/>
      <c r="F144" s="94"/>
      <c r="G144" s="94"/>
    </row>
    <row r="145" spans="2:7">
      <c r="B145" s="82"/>
      <c r="C145" s="109"/>
      <c r="D145" s="86"/>
      <c r="E145" s="82"/>
      <c r="F145" s="94"/>
      <c r="G145" s="94"/>
    </row>
    <row r="146" spans="2:7">
      <c r="B146" s="82"/>
      <c r="C146" s="109"/>
      <c r="D146" s="86"/>
      <c r="E146" s="82"/>
      <c r="F146" s="94"/>
      <c r="G146" s="94"/>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BCC23AA-8D6C-47FF-AAA1-EB5ACFC54371}">
          <x14:formula1>
            <xm:f>Maestro!$A$59:$A$104</xm:f>
          </x14:formula1>
          <xm:sqref>D2:D92</xm:sqref>
        </x14:dataValidation>
        <x14:dataValidation type="list" allowBlank="1" showInputMessage="1" showErrorMessage="1" xr:uid="{3C4E13FD-93EC-4CD3-AF70-AAABCE17E1CC}">
          <x14:formula1>
            <xm:f>Maestro!$D$60:$D$71</xm:f>
          </x14:formula1>
          <xm:sqref>G2:G31 G33:G98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A69E-62EA-46F9-B350-98373A198E55}">
  <sheetPr codeName="Hoja8"/>
  <dimension ref="B2:Y16"/>
  <sheetViews>
    <sheetView showGridLines="0" topLeftCell="D1" zoomScaleNormal="100" workbookViewId="0">
      <selection activeCell="N20" sqref="N20"/>
    </sheetView>
  </sheetViews>
  <sheetFormatPr defaultColWidth="11.42578125" defaultRowHeight="15"/>
  <cols>
    <col min="2" max="2" width="11.42578125" bestFit="1" customWidth="1"/>
    <col min="3" max="3" width="8.28515625" style="5" bestFit="1" customWidth="1"/>
    <col min="4" max="7" width="8" style="6" bestFit="1" customWidth="1"/>
    <col min="8" max="8" width="10" style="6" customWidth="1"/>
    <col min="9" max="14" width="7.7109375" style="6" customWidth="1"/>
    <col min="15" max="15" width="9" style="6" customWidth="1"/>
    <col min="16" max="21" width="8.42578125" customWidth="1"/>
    <col min="22" max="22" width="12.85546875" customWidth="1"/>
    <col min="23" max="23" width="7.5703125" customWidth="1"/>
    <col min="24" max="24" width="7.85546875" customWidth="1"/>
    <col min="25" max="25" width="6.85546875" customWidth="1"/>
  </cols>
  <sheetData>
    <row r="2" spans="2:25" ht="31.5" customHeight="1">
      <c r="B2" s="344" t="s">
        <v>9</v>
      </c>
      <c r="C2" s="344" t="s">
        <v>157</v>
      </c>
      <c r="D2" s="347" t="s">
        <v>158</v>
      </c>
      <c r="E2" s="348"/>
      <c r="F2" s="348"/>
      <c r="G2" s="348"/>
      <c r="H2" s="342" t="s">
        <v>159</v>
      </c>
      <c r="I2" s="347" t="s">
        <v>356</v>
      </c>
      <c r="J2" s="348"/>
      <c r="K2" s="348"/>
      <c r="L2" s="348"/>
      <c r="M2" s="348"/>
      <c r="N2" s="348"/>
      <c r="O2" s="342" t="s">
        <v>161</v>
      </c>
      <c r="P2" s="357" t="s">
        <v>357</v>
      </c>
      <c r="Q2" s="362"/>
      <c r="R2" s="362"/>
      <c r="S2" s="362"/>
      <c r="T2" s="362"/>
      <c r="U2" s="353" t="s">
        <v>161</v>
      </c>
      <c r="V2" s="356" t="s">
        <v>42</v>
      </c>
      <c r="W2" s="356"/>
      <c r="X2" s="357" t="s">
        <v>164</v>
      </c>
      <c r="Y2" s="357"/>
    </row>
    <row r="3" spans="2:25" ht="66" customHeight="1">
      <c r="B3" s="345"/>
      <c r="C3" s="346"/>
      <c r="D3" s="15" t="s">
        <v>16</v>
      </c>
      <c r="E3" s="15" t="s">
        <v>17</v>
      </c>
      <c r="F3" s="15" t="s">
        <v>358</v>
      </c>
      <c r="G3" s="15" t="s">
        <v>359</v>
      </c>
      <c r="H3" s="343"/>
      <c r="I3" s="15" t="s">
        <v>28</v>
      </c>
      <c r="J3" s="15" t="s">
        <v>360</v>
      </c>
      <c r="K3" s="15" t="s">
        <v>29</v>
      </c>
      <c r="L3" s="15" t="s">
        <v>30</v>
      </c>
      <c r="M3" s="15" t="s">
        <v>31</v>
      </c>
      <c r="N3" s="15" t="s">
        <v>361</v>
      </c>
      <c r="O3" s="343"/>
      <c r="P3" s="11" t="s">
        <v>360</v>
      </c>
      <c r="Q3" s="11" t="s">
        <v>29</v>
      </c>
      <c r="R3" s="11" t="s">
        <v>30</v>
      </c>
      <c r="S3" s="11" t="s">
        <v>31</v>
      </c>
      <c r="T3" s="11" t="s">
        <v>361</v>
      </c>
      <c r="U3" s="354"/>
      <c r="V3" s="358" t="s">
        <v>165</v>
      </c>
      <c r="W3" s="358" t="s">
        <v>166</v>
      </c>
      <c r="X3" s="360" t="s">
        <v>165</v>
      </c>
      <c r="Y3" s="360" t="s">
        <v>166</v>
      </c>
    </row>
    <row r="4" spans="2:25" s="19" customFormat="1" ht="18.75" customHeight="1">
      <c r="B4" s="346"/>
      <c r="C4" s="17" t="s">
        <v>167</v>
      </c>
      <c r="D4" s="58">
        <v>0.99</v>
      </c>
      <c r="E4" s="58">
        <v>0</v>
      </c>
      <c r="F4" s="58">
        <v>0</v>
      </c>
      <c r="G4" s="58">
        <v>0.01</v>
      </c>
      <c r="H4" s="349"/>
      <c r="I4" s="58">
        <v>0.59691968171361243</v>
      </c>
      <c r="J4" s="58">
        <v>8.6519543324238002E-2</v>
      </c>
      <c r="K4" s="58">
        <v>2.5875233863530901E-2</v>
      </c>
      <c r="L4" s="58">
        <v>0.18998598548728418</v>
      </c>
      <c r="M4" s="58">
        <v>0.10042974084606994</v>
      </c>
      <c r="N4" s="58">
        <v>2.6981476526458293E-4</v>
      </c>
      <c r="O4" s="59">
        <f>SUM(I4:N4)</f>
        <v>1</v>
      </c>
      <c r="P4" s="18"/>
      <c r="Q4" s="18"/>
      <c r="R4" s="18"/>
      <c r="S4" s="18"/>
      <c r="T4" s="18"/>
      <c r="U4" s="355"/>
      <c r="V4" s="359"/>
      <c r="W4" s="359"/>
      <c r="X4" s="361"/>
      <c r="Y4" s="361"/>
    </row>
    <row r="5" spans="2:25">
      <c r="B5" s="7" t="s">
        <v>37</v>
      </c>
      <c r="C5" s="8">
        <f>VLOOKUP(B5,Maestro!$A$7:$D$19,4,FALSE)</f>
        <v>44640</v>
      </c>
      <c r="D5" s="9">
        <f>+(($C5-(SUMIFS(disponibilidad[Tiempo falla 
(en Mintuos)],disponibilidad[JADE],"SI",disponibilidad[Mes],$B5,disponibilidad[[Tipo de afectación ]],"caÍda total",disponibilidad[Responsable Falla],"Matrix Tech",disponibilidad[Gana Gana - Tolima],"SI")))/$C5)*100</f>
        <v>99.955197132634737</v>
      </c>
      <c r="E5" s="9">
        <f>+(($C5-(SUMIFS(disponibilidad[Tiempo falla 
(en Mintuos)],disponibilidad[JADE],"SI",disponibilidad[Mes],$B5,disponibilidad[[Tipo de afectación ]],"caÍda total",disponibilidad[Responsable Falla],"Matrix Tech",disponibilidad[Gana Gana - Tolima],"SI")))/$C5)*100</f>
        <v>99.955197132634737</v>
      </c>
      <c r="F5" s="9">
        <f>+(($C5-(SUMIFS(disponibilidad[Tiempo falla 
(en Mintuos)],disponibilidad[JADE],"SI",disponibilidad[Mes],$B5,disponibilidad[[Tipo de afectación ]],"caÍda total",disponibilidad[Responsable Falla],"Matrix Tech",disponibilidad[Gana Gana - Tolima],"SI")))/$C5)*100</f>
        <v>99.955197132634737</v>
      </c>
      <c r="G5" s="9">
        <f>+(($C5-(SUMIFS(disponibilidad[Tiempo falla 
(en Mintuos)],disponibilidad[JADE],"SI",disponibilidad[Mes],$B5,disponibilidad[[Tipo de afectación ]],"caÍda total",disponibilidad[Responsable Falla],"Matrix Tech",disponibilidad[Gana Gana - Tolima],"SI")))/$C5)*100</f>
        <v>99.955197132634737</v>
      </c>
      <c r="H5" s="13">
        <f>SUMPRODUCT($D$4:$G$4,D5:G5)/$O$4</f>
        <v>99.955197132634723</v>
      </c>
      <c r="I5" s="9">
        <f>+(($C5-(SUMIFS(disponibilidad[Tiempo falla 
(en Mintuos)],disponibilidad[Apuestas - Chance],"SI",disponibilidad[Mes],$B5,disponibilidad[[Tipo de afectación ]],"caÍda total",disponibilidad[Responsable Falla],"Matrix Tech",disponibilidad[Gana Gana - Tolima],"SI")))/$C5)*100</f>
        <v>99.955197132634737</v>
      </c>
      <c r="J5" s="9" t="e">
        <f>+(($C5-(SUMIFS(disponibilidad[Tiempo falla 
(en Mintuos)],#REF!,"SI",disponibilidad[Mes],$B5,disponibilidad[[Tipo de afectación ]],"caÍda total",disponibilidad[Responsable Falla],"Matrix Tech",disponibilidad[Gana Gana - Tolima],"SI")))/$C5)*100</f>
        <v>#REF!</v>
      </c>
      <c r="K5" s="9">
        <f>+(($C5-(SUMIFS(disponibilidad[Tiempo falla 
(en Mintuos)],disponibilidad[PAGOS],"SI",disponibilidad[Mes],$B5,disponibilidad[[Tipo de afectación ]],"caÍda total",disponibilidad[Responsable Falla],"Matrix Tech",disponibilidad[Gana Gana - Tolima],"SI")))/$C5)*100</f>
        <v>99.955197132634737</v>
      </c>
      <c r="L5" s="9">
        <f>+(($C5-(SUMIFS(disponibilidad[Tiempo falla 
(en Mintuos)],disponibilidad[RECAUDOS],"SI",disponibilidad[Mes],$B5,disponibilidad[[Tipo de afectación ]],"caÍda total",disponibilidad[Responsable Falla],"Matrix Tech",disponibilidad[Gana Gana - Tolima],"SI")))/$C5)*100</f>
        <v>99.955197132634737</v>
      </c>
      <c r="M5" s="9">
        <f>+(($C5-(SUMIFS(disponibilidad[Tiempo falla 
(en Mintuos)],disponibilidad[RECARGAS],"SI",disponibilidad[Mes],$B5,disponibilidad[[Tipo de afectación ]],"caÍda total",disponibilidad[Responsable Falla],"Matrix Tech",disponibilidad[Gana Gana - Tolima],"SI")))/$C5)*100</f>
        <v>99.955197132634737</v>
      </c>
      <c r="N5" s="9" t="e">
        <f>+(($C5-(SUMIFS(disponibilidad[Tiempo falla 
(en Mintuos)],#REF!,"SI",disponibilidad[Mes],$B5,disponibilidad[[Tipo de afectación ]],"caÍda total",disponibilidad[Responsable Falla],"Matrix Tech",disponibilidad[Gana Gana - Tolima],"SI")))/$C5)*100</f>
        <v>#REF!</v>
      </c>
      <c r="O5" s="13" t="e">
        <f>SUMPRODUCT($I$4:$N$4,I5:N5)/$O$4</f>
        <v>#REF!</v>
      </c>
      <c r="P5" s="9" t="e">
        <f>+(($C5-(SUMIFS(disponibilidad[Tiempo falla 
(en Mintuos)],#REF!,"SI",disponibilidad[Mes],$B5,disponibilidad[[Tipo de afectación ]],"caÍda total",disponibilidad[Responsable Falla],"Aliados o terceros",disponibilidad[Gana Gana - Tolima],"SI")))/$C5)*100</f>
        <v>#REF!</v>
      </c>
      <c r="Q5" s="9">
        <f>+(($C5-(SUMIFS(disponibilidad[Tiempo falla 
(en Mintuos)],disponibilidad[PAGOS],"SI",disponibilidad[Mes],$B5,disponibilidad[[Tipo de afectación ]],"caÍda total",disponibilidad[Responsable Falla],"Aliados o terceros",disponibilidad[Gana Gana - Tolima],"SI")))/$C5)*100</f>
        <v>100</v>
      </c>
      <c r="R5" s="9">
        <f>+(($C5-(SUMIFS(disponibilidad[Tiempo falla 
(en Mintuos)],disponibilidad[RECAUDOS],"SI",disponibilidad[Mes],$B5,disponibilidad[[Tipo de afectación ]],"caÍda total",disponibilidad[Responsable Falla],"Aliados o terceros",disponibilidad[Gana Gana - Tolima],"SI")))/$C5)*100</f>
        <v>100</v>
      </c>
      <c r="S5" s="9">
        <f>+(($C5-(SUMIFS(disponibilidad[Tiempo falla 
(en Mintuos)],disponibilidad[RECARGAS],"SI",disponibilidad[Mes],$B5,disponibilidad[[Tipo de afectación ]],"caÍda total",disponibilidad[Responsable Falla],"Aliados o terceros",disponibilidad[Gana Gana - Tolima],"SI")))/$C5)*100</f>
        <v>100</v>
      </c>
      <c r="T5" s="9" t="e">
        <f>+(($C5-(SUMIFS(disponibilidad[Tiempo falla 
(en Mintuos)],#REF!,"SI",disponibilidad[Mes],$B5,disponibilidad[[Tipo de afectación ]],"caÍda total",disponibilidad[Responsable Falla],"Aliados o terceros",disponibilidad[Gana Gana - Tolima],"SI")))/$C5)*100</f>
        <v>#REF!</v>
      </c>
      <c r="U5" s="13" t="e">
        <f t="shared" ref="U5:U16" si="0">AVERAGE(P5:T5)</f>
        <v>#REF!</v>
      </c>
      <c r="V5" s="12">
        <f>SUMIFS(disponibilidad[Tiempo falla 
(en Mintuos)],disponibilidad[Mes],$B5,disponibilidad[[Tipo de afectación ]],"caÍda total",disponibilidad[Responsable Falla],"Matrix Tech",disponibilidad[Gana Gana - Tolima],"SI")</f>
        <v>19.999999991850927</v>
      </c>
      <c r="W5" s="14">
        <f>+$V$5/$C$5</f>
        <v>4.4802867365257453E-4</v>
      </c>
      <c r="X5" s="12">
        <f>SUMIFS(disponibilidad[Tiempo falla 
(en Mintuos)],disponibilidad[Mes],$B5,disponibilidad[[Tipo de afectación ]],"caÍda total",disponibilidad[Responsable Falla],"Aliados o terceros",disponibilidad[Acertemos - Cauca],"SI")</f>
        <v>0</v>
      </c>
      <c r="Y5" s="14">
        <f t="shared" ref="Y5:Y16" si="1">+$X$5/$C$5</f>
        <v>0</v>
      </c>
    </row>
    <row r="6" spans="2:25">
      <c r="B6" s="10" t="s">
        <v>91</v>
      </c>
      <c r="C6" s="8">
        <f>VLOOKUP(B6,Maestro!$A$7:$D$19,4,FALSE)</f>
        <v>41760</v>
      </c>
      <c r="D6" s="9">
        <f>+(($C6-(SUMIFS(disponibilidad[Tiempo falla 
(en Mintuos)],disponibilidad[JADE],"SI",disponibilidad[Mes],$B6,disponibilidad[[Tipo de afectación ]],"caÍda total",disponibilidad[Responsable Falla],"Matrix Tech",disponibilidad[Gana Gana - Tolima],"SI")))/$C6)*100</f>
        <v>99.940134099622441</v>
      </c>
      <c r="E6" s="9">
        <f>+(($C6-(SUMIFS(disponibilidad[Tiempo falla 
(en Mintuos)],disponibilidad[JADE],"SI",disponibilidad[Mes],$B6,disponibilidad[[Tipo de afectación ]],"caÍda total",disponibilidad[Responsable Falla],"Matrix Tech",disponibilidad[Gana Gana - Tolima],"SI")))/$C6)*100</f>
        <v>99.940134099622441</v>
      </c>
      <c r="F6" s="9">
        <f>+(($C6-(SUMIFS(disponibilidad[Tiempo falla 
(en Mintuos)],disponibilidad[JADE],"SI",disponibilidad[Mes],$B6,disponibilidad[[Tipo de afectación ]],"caÍda total",disponibilidad[Responsable Falla],"Matrix Tech",disponibilidad[Gana Gana - Tolima],"SI")))/$C6)*100</f>
        <v>99.940134099622441</v>
      </c>
      <c r="G6" s="9">
        <f>+(($C6-(SUMIFS(disponibilidad[Tiempo falla 
(en Mintuos)],disponibilidad[JADE],"SI",disponibilidad[Mes],$B6,disponibilidad[[Tipo de afectación ]],"caÍda total",disponibilidad[Responsable Falla],"Matrix Tech",disponibilidad[Gana Gana - Tolima],"SI")))/$C6)*100</f>
        <v>99.940134099622441</v>
      </c>
      <c r="H6" s="13">
        <f t="shared" ref="H6:H16" si="2">SUMPRODUCT($D$4:$G$4,D6:G6)/$O$4</f>
        <v>99.940134099622441</v>
      </c>
      <c r="I6" s="9">
        <f>+(($C6-(SUMIFS(disponibilidad[Tiempo falla 
(en Mintuos)],disponibilidad[Apuestas - Chance],"SI",disponibilidad[Mes],$B6,disponibilidad[[Tipo de afectación ]],"caÍda total",disponibilidad[Responsable Falla],"Matrix Tech",disponibilidad[Gana Gana - Tolima],"SI")))/$C6)*100</f>
        <v>99.940134099622441</v>
      </c>
      <c r="J6" s="9" t="e">
        <f>+(($C6-(SUMIFS(disponibilidad[Tiempo falla 
(en Mintuos)],#REF!,"SI",disponibilidad[Mes],$B6,disponibilidad[[Tipo de afectación ]],"caÍda total",disponibilidad[Responsable Falla],"Matrix Tech",disponibilidad[Gana Gana - Tolima],"SI")))/$C6)*100</f>
        <v>#REF!</v>
      </c>
      <c r="K6" s="9">
        <f>+(($C6-(SUMIFS(disponibilidad[Tiempo falla 
(en Mintuos)],disponibilidad[PAGOS],"SI",disponibilidad[Mes],$B6,disponibilidad[[Tipo de afectación ]],"caÍda total",disponibilidad[Responsable Falla],"Matrix Tech",disponibilidad[Gana Gana - Tolima],"SI")))/$C6)*100</f>
        <v>99.940134099622441</v>
      </c>
      <c r="L6" s="9">
        <f>+(($C6-(SUMIFS(disponibilidad[Tiempo falla 
(en Mintuos)],disponibilidad[RECAUDOS],"SI",disponibilidad[Mes],$B6,disponibilidad[[Tipo de afectación ]],"caÍda total",disponibilidad[Responsable Falla],"Matrix Tech",disponibilidad[Gana Gana - Tolima],"SI")))/$C6)*100</f>
        <v>99.940134099622441</v>
      </c>
      <c r="M6" s="9">
        <f>+(($C6-(SUMIFS(disponibilidad[Tiempo falla 
(en Mintuos)],disponibilidad[RECARGAS],"SI",disponibilidad[Mes],$B6,disponibilidad[[Tipo de afectación ]],"caÍda total",disponibilidad[Responsable Falla],"Matrix Tech",disponibilidad[Gana Gana - Tolima],"SI")))/$C6)*100</f>
        <v>99.940134099622441</v>
      </c>
      <c r="N6" s="9" t="e">
        <f>+(($C6-(SUMIFS(disponibilidad[Tiempo falla 
(en Mintuos)],#REF!,"SI",disponibilidad[Mes],$B6,disponibilidad[[Tipo de afectación ]],"caÍda total",disponibilidad[Responsable Falla],"Matrix Tech",disponibilidad[Gana Gana - Tolima],"SI")))/$C6)*100</f>
        <v>#REF!</v>
      </c>
      <c r="O6" s="13" t="e">
        <f t="shared" ref="O6:O16" si="3">SUMPRODUCT($I$4:$N$4,I6:N6)/$O$4</f>
        <v>#REF!</v>
      </c>
      <c r="P6" s="9" t="e">
        <f>+(($C6-(SUMIFS(disponibilidad[Tiempo falla 
(en Mintuos)],#REF!,"SI",disponibilidad[Mes],$B6,disponibilidad[[Tipo de afectación ]],"caÍda total",disponibilidad[Responsable Falla],"Aliados o terceros",disponibilidad[Gana Gana - Tolima],"SI")))/$C6)*100</f>
        <v>#REF!</v>
      </c>
      <c r="Q6" s="9">
        <f>+(($C6-(SUMIFS(disponibilidad[Tiempo falla 
(en Mintuos)],disponibilidad[PAGOS],"SI",disponibilidad[Mes],$B6,disponibilidad[[Tipo de afectación ]],"caÍda total",disponibilidad[Responsable Falla],"Aliados o terceros",disponibilidad[Gana Gana - Tolima],"SI")))/$C6)*100</f>
        <v>100</v>
      </c>
      <c r="R6" s="9">
        <f>+(($C6-(SUMIFS(disponibilidad[Tiempo falla 
(en Mintuos)],disponibilidad[RECAUDOS],"SI",disponibilidad[Mes],$B6,disponibilidad[[Tipo de afectación ]],"caÍda total",disponibilidad[Responsable Falla],"Aliados o terceros",disponibilidad[Gana Gana - Tolima],"SI")))/$C6)*100</f>
        <v>100</v>
      </c>
      <c r="S6" s="9">
        <f>+(($C6-(SUMIFS(disponibilidad[Tiempo falla 
(en Mintuos)],disponibilidad[RECARGAS],"SI",disponibilidad[Mes],$B6,disponibilidad[[Tipo de afectación ]],"caÍda total",disponibilidad[Responsable Falla],"Aliados o terceros",disponibilidad[Gana Gana - Tolima],"SI")))/$C6)*100</f>
        <v>100</v>
      </c>
      <c r="T6" s="9" t="e">
        <f>+(($C6-(SUMIFS(disponibilidad[Tiempo falla 
(en Mintuos)],#REF!,"SI",disponibilidad[Mes],$B6,disponibilidad[[Tipo de afectación ]],"caÍda total",disponibilidad[Responsable Falla],"Aliados o terceros",disponibilidad[Gana Gana - Tolima],"SI")))/$C6)*100</f>
        <v>#REF!</v>
      </c>
      <c r="U6" s="13" t="e">
        <f t="shared" si="0"/>
        <v>#REF!</v>
      </c>
      <c r="V6" s="12">
        <f>SUMIFS(disponibilidad[Tiempo falla 
(en Mintuos)],disponibilidad[Mes],$B6,disponibilidad[[Tipo de afectación ]],"caÍda total",disponibilidad[Responsable Falla],"Matrix Tech",disponibilidad[Gana Gana - Tolima],"SI")</f>
        <v>24.999999997671694</v>
      </c>
      <c r="W6" s="14">
        <f t="shared" ref="W6:W16" si="4">+V6/C6</f>
        <v>5.9865900377566313E-4</v>
      </c>
      <c r="X6" s="12">
        <f>SUMIFS(disponibilidad[Tiempo falla 
(en Mintuos)],disponibilidad[Mes],$B6,disponibilidad[[Tipo de afectación ]],"caÍda total",disponibilidad[Responsable Falla],"Aliados o terceros",disponibilidad[Acertemos - Cauca],"SI")</f>
        <v>0</v>
      </c>
      <c r="Y6" s="14">
        <f t="shared" si="1"/>
        <v>0</v>
      </c>
    </row>
    <row r="7" spans="2:25">
      <c r="B7" s="10" t="s">
        <v>148</v>
      </c>
      <c r="C7" s="8">
        <f>VLOOKUP(B7,Maestro!$A$7:$D$19,4,FALSE)</f>
        <v>44640</v>
      </c>
      <c r="D7" s="9">
        <f>+(($C7-(SUMIFS(disponibilidad[Tiempo falla 
(en Mintuos)],disponibilidad[JADE],"SI",disponibilidad[Mes],$B7,disponibilidad[[Tipo de afectación ]],"caÍda total",disponibilidad[Responsable Falla],"Matrix Tech",disponibilidad[Gana Gana - Tolima],"SI")))/$C7)*100</f>
        <v>100</v>
      </c>
      <c r="E7" s="9">
        <f>+(($C7-(SUMIFS(disponibilidad[Tiempo falla 
(en Mintuos)],disponibilidad[JADE],"SI",disponibilidad[Mes],$B7,disponibilidad[[Tipo de afectación ]],"caÍda total",disponibilidad[Responsable Falla],"Matrix Tech",disponibilidad[Gana Gana - Tolima],"SI")))/$C7)*100</f>
        <v>100</v>
      </c>
      <c r="F7" s="9">
        <f>+(($C7-(SUMIFS(disponibilidad[Tiempo falla 
(en Mintuos)],disponibilidad[JADE],"SI",disponibilidad[Mes],$B7,disponibilidad[[Tipo de afectación ]],"caÍda total",disponibilidad[Responsable Falla],"Matrix Tech",disponibilidad[Gana Gana - Tolima],"SI")))/$C7)*100</f>
        <v>100</v>
      </c>
      <c r="G7" s="9">
        <f>+(($C7-(SUMIFS(disponibilidad[Tiempo falla 
(en Mintuos)],disponibilidad[JADE],"SI",disponibilidad[Mes],$B7,disponibilidad[[Tipo de afectación ]],"caÍda total",disponibilidad[Responsable Falla],"Matrix Tech",disponibilidad[Gana Gana - Tolima],"SI")))/$C7)*100</f>
        <v>100</v>
      </c>
      <c r="H7" s="13">
        <f t="shared" si="2"/>
        <v>100</v>
      </c>
      <c r="I7" s="9">
        <f>+(($C7-(SUMIFS(disponibilidad[Tiempo falla 
(en Mintuos)],disponibilidad[Apuestas - Chance],"SI",disponibilidad[Mes],$B7,disponibilidad[[Tipo de afectación ]],"caÍda total",disponibilidad[Responsable Falla],"Matrix Tech",disponibilidad[Gana Gana - Tolima],"SI")))/$C7)*100</f>
        <v>100</v>
      </c>
      <c r="J7" s="9" t="e">
        <f>+(($C7-(SUMIFS(disponibilidad[Tiempo falla 
(en Mintuos)],#REF!,"SI",disponibilidad[Mes],$B7,disponibilidad[[Tipo de afectación ]],"caÍda total",disponibilidad[Responsable Falla],"Matrix Tech",disponibilidad[Gana Gana - Tolima],"SI")))/$C7)*100</f>
        <v>#REF!</v>
      </c>
      <c r="K7" s="9">
        <f>+(($C7-(SUMIFS(disponibilidad[Tiempo falla 
(en Mintuos)],disponibilidad[PAGOS],"SI",disponibilidad[Mes],$B7,disponibilidad[[Tipo de afectación ]],"caÍda total",disponibilidad[Responsable Falla],"Matrix Tech",disponibilidad[Gana Gana - Tolima],"SI")))/$C7)*100</f>
        <v>100</v>
      </c>
      <c r="L7" s="9">
        <f>+(($C7-(SUMIFS(disponibilidad[Tiempo falla 
(en Mintuos)],disponibilidad[RECAUDOS],"SI",disponibilidad[Mes],$B7,disponibilidad[[Tipo de afectación ]],"caÍda total",disponibilidad[Responsable Falla],"Matrix Tech",disponibilidad[Gana Gana - Tolima],"SI")))/$C7)*100</f>
        <v>100</v>
      </c>
      <c r="M7" s="9">
        <f>+(($C7-(SUMIFS(disponibilidad[Tiempo falla 
(en Mintuos)],disponibilidad[RECARGAS],"SI",disponibilidad[Mes],$B7,disponibilidad[[Tipo de afectación ]],"caÍda total",disponibilidad[Responsable Falla],"Matrix Tech",disponibilidad[Gana Gana - Tolima],"SI")))/$C7)*100</f>
        <v>100</v>
      </c>
      <c r="N7" s="9" t="e">
        <f>+(($C7-(SUMIFS(disponibilidad[Tiempo falla 
(en Mintuos)],#REF!,"SI",disponibilidad[Mes],$B7,disponibilidad[[Tipo de afectación ]],"caÍda total",disponibilidad[Responsable Falla],"Matrix Tech",disponibilidad[Gana Gana - Tolima],"SI")))/$C7)*100</f>
        <v>#REF!</v>
      </c>
      <c r="O7" s="13" t="e">
        <f t="shared" si="3"/>
        <v>#REF!</v>
      </c>
      <c r="P7" s="9" t="e">
        <f>+(($C7-(SUMIFS(disponibilidad[Tiempo falla 
(en Mintuos)],#REF!,"SI",disponibilidad[Mes],$B7,disponibilidad[[Tipo de afectación ]],"caÍda total",disponibilidad[Responsable Falla],"Aliados o terceros",disponibilidad[Gana Gana - Tolima],"SI")))/$C7)*100</f>
        <v>#REF!</v>
      </c>
      <c r="Q7" s="9">
        <f>+(($C7-(SUMIFS(disponibilidad[Tiempo falla 
(en Mintuos)],disponibilidad[PAGOS],"SI",disponibilidad[Mes],$B7,disponibilidad[[Tipo de afectación ]],"caÍda total",disponibilidad[Responsable Falla],"Aliados o terceros",disponibilidad[Gana Gana - Tolima],"SI")))/$C7)*100</f>
        <v>100</v>
      </c>
      <c r="R7" s="9">
        <f>+(($C7-(SUMIFS(disponibilidad[Tiempo falla 
(en Mintuos)],disponibilidad[RECAUDOS],"SI",disponibilidad[Mes],$B7,disponibilidad[[Tipo de afectación ]],"caÍda total",disponibilidad[Responsable Falla],"Aliados o terceros",disponibilidad[Gana Gana - Tolima],"SI")))/$C7)*100</f>
        <v>100</v>
      </c>
      <c r="S7" s="9">
        <f>+(($C7-(SUMIFS(disponibilidad[Tiempo falla 
(en Mintuos)],disponibilidad[RECARGAS],"SI",disponibilidad[Mes],$B7,disponibilidad[[Tipo de afectación ]],"caÍda total",disponibilidad[Responsable Falla],"Aliados o terceros",disponibilidad[Gana Gana - Tolima],"SI")))/$C7)*100</f>
        <v>100</v>
      </c>
      <c r="T7" s="9" t="e">
        <f>+(($C7-(SUMIFS(disponibilidad[Tiempo falla 
(en Mintuos)],#REF!,"SI",disponibilidad[Mes],$B7,disponibilidad[[Tipo de afectación ]],"caÍda total",disponibilidad[Responsable Falla],"Aliados o terceros",disponibilidad[Gana Gana - Tolima],"SI")))/$C7)*100</f>
        <v>#REF!</v>
      </c>
      <c r="U7" s="13" t="e">
        <f t="shared" si="0"/>
        <v>#REF!</v>
      </c>
      <c r="V7" s="12">
        <f>SUMIFS(disponibilidad[Tiempo falla 
(en Mintuos)],disponibilidad[Mes],$B7,disponibilidad[[Tipo de afectación ]],"caÍda total",disponibilidad[Responsable Falla],"Matrix Tech",disponibilidad[Gana Gana - Tolima],"SI")</f>
        <v>0</v>
      </c>
      <c r="W7" s="14">
        <f t="shared" si="4"/>
        <v>0</v>
      </c>
      <c r="X7" s="12">
        <f>SUMIFS(disponibilidad[Tiempo falla 
(en Mintuos)],disponibilidad[Mes],$B7,disponibilidad[[Tipo de afectación ]],"caÍda total",disponibilidad[Responsable Falla],"Aliados o terceros",disponibilidad[Acertemos - Cauca],"SI")</f>
        <v>0</v>
      </c>
      <c r="Y7" s="14">
        <f t="shared" si="1"/>
        <v>0</v>
      </c>
    </row>
    <row r="8" spans="2:25">
      <c r="B8" s="10" t="s">
        <v>170</v>
      </c>
      <c r="C8" s="8">
        <f>VLOOKUP(B8,Maestro!$A$7:$D$19,4,FALSE)</f>
        <v>43200</v>
      </c>
      <c r="D8" s="9">
        <f>+(($C8-(SUMIFS(disponibilidad[Tiempo falla 
(en Mintuos)],disponibilidad[JADE],"SI",disponibilidad[Mes],$B8,disponibilidad[[Tipo de afectación ]],"caÍda total",disponibilidad[Responsable Falla],"Matrix Tech",disponibilidad[Gana Gana - Tolima],"SI")))/$C8)*100</f>
        <v>100</v>
      </c>
      <c r="E8" s="9">
        <f>+(($C8-(SUMIFS(disponibilidad[Tiempo falla 
(en Mintuos)],disponibilidad[JADE],"SI",disponibilidad[Mes],$B8,disponibilidad[[Tipo de afectación ]],"caÍda total",disponibilidad[Responsable Falla],"Matrix Tech",disponibilidad[Gana Gana - Tolima],"SI")))/$C8)*100</f>
        <v>100</v>
      </c>
      <c r="F8" s="9">
        <f>+(($C8-(SUMIFS(disponibilidad[Tiempo falla 
(en Mintuos)],disponibilidad[JADE],"SI",disponibilidad[Mes],$B8,disponibilidad[[Tipo de afectación ]],"caÍda total",disponibilidad[Responsable Falla],"Matrix Tech",disponibilidad[Gana Gana - Tolima],"SI")))/$C8)*100</f>
        <v>100</v>
      </c>
      <c r="G8" s="9">
        <f>+(($C8-(SUMIFS(disponibilidad[Tiempo falla 
(en Mintuos)],disponibilidad[JADE],"SI",disponibilidad[Mes],$B8,disponibilidad[[Tipo de afectación ]],"caÍda total",disponibilidad[Responsable Falla],"Matrix Tech",disponibilidad[Gana Gana - Tolima],"SI")))/$C8)*100</f>
        <v>100</v>
      </c>
      <c r="H8" s="13">
        <f t="shared" si="2"/>
        <v>100</v>
      </c>
      <c r="I8" s="9">
        <f>+(($C8-(SUMIFS(disponibilidad[Tiempo falla 
(en Mintuos)],disponibilidad[Apuestas - Chance],"SI",disponibilidad[Mes],$B8,disponibilidad[[Tipo de afectación ]],"caÍda total",disponibilidad[Responsable Falla],"Matrix Tech",disponibilidad[Gana Gana - Tolima],"SI")))/$C8)*100</f>
        <v>100</v>
      </c>
      <c r="J8" s="9" t="e">
        <f>+(($C8-(SUMIFS(disponibilidad[Tiempo falla 
(en Mintuos)],#REF!,"SI",disponibilidad[Mes],$B8,disponibilidad[[Tipo de afectación ]],"caÍda total",disponibilidad[Responsable Falla],"Matrix Tech",disponibilidad[Gana Gana - Tolima],"SI")))/$C8)*100</f>
        <v>#REF!</v>
      </c>
      <c r="K8" s="9">
        <f>+(($C8-(SUMIFS(disponibilidad[Tiempo falla 
(en Mintuos)],disponibilidad[PAGOS],"SI",disponibilidad[Mes],$B8,disponibilidad[[Tipo de afectación ]],"caÍda total",disponibilidad[Responsable Falla],"Matrix Tech",disponibilidad[Gana Gana - Tolima],"SI")))/$C8)*100</f>
        <v>100</v>
      </c>
      <c r="L8" s="9">
        <f>+(($C8-(SUMIFS(disponibilidad[Tiempo falla 
(en Mintuos)],disponibilidad[RECAUDOS],"SI",disponibilidad[Mes],$B8,disponibilidad[[Tipo de afectación ]],"caÍda total",disponibilidad[Responsable Falla],"Matrix Tech",disponibilidad[Gana Gana - Tolima],"SI")))/$C8)*100</f>
        <v>100</v>
      </c>
      <c r="M8" s="9">
        <f>+(($C8-(SUMIFS(disponibilidad[Tiempo falla 
(en Mintuos)],disponibilidad[RECARGAS],"SI",disponibilidad[Mes],$B8,disponibilidad[[Tipo de afectación ]],"caÍda total",disponibilidad[Responsable Falla],"Matrix Tech",disponibilidad[Gana Gana - Tolima],"SI")))/$C8)*100</f>
        <v>100</v>
      </c>
      <c r="N8" s="9" t="e">
        <f>+(($C8-(SUMIFS(disponibilidad[Tiempo falla 
(en Mintuos)],#REF!,"SI",disponibilidad[Mes],$B8,disponibilidad[[Tipo de afectación ]],"caÍda total",disponibilidad[Responsable Falla],"Matrix Tech",disponibilidad[Gana Gana - Tolima],"SI")))/$C8)*100</f>
        <v>#REF!</v>
      </c>
      <c r="O8" s="13" t="e">
        <f t="shared" si="3"/>
        <v>#REF!</v>
      </c>
      <c r="P8" s="9" t="e">
        <f>+(($C8-(SUMIFS(disponibilidad[Tiempo falla 
(en Mintuos)],#REF!,"SI",disponibilidad[Mes],$B8,disponibilidad[[Tipo de afectación ]],"caÍda total",disponibilidad[Responsable Falla],"Aliados o terceros",disponibilidad[Gana Gana - Tolima],"SI")))/$C8)*100</f>
        <v>#REF!</v>
      </c>
      <c r="Q8" s="9">
        <f>+(($C8-(SUMIFS(disponibilidad[Tiempo falla 
(en Mintuos)],disponibilidad[PAGOS],"SI",disponibilidad[Mes],$B8,disponibilidad[[Tipo de afectación ]],"caÍda total",disponibilidad[Responsable Falla],"Aliados o terceros",disponibilidad[Gana Gana - Tolima],"SI")))/$C8)*100</f>
        <v>100</v>
      </c>
      <c r="R8" s="9">
        <f>+(($C8-(SUMIFS(disponibilidad[Tiempo falla 
(en Mintuos)],disponibilidad[RECAUDOS],"SI",disponibilidad[Mes],$B8,disponibilidad[[Tipo de afectación ]],"caÍda total",disponibilidad[Responsable Falla],"Aliados o terceros",disponibilidad[Gana Gana - Tolima],"SI")))/$C8)*100</f>
        <v>100</v>
      </c>
      <c r="S8" s="9">
        <f>+(($C8-(SUMIFS(disponibilidad[Tiempo falla 
(en Mintuos)],disponibilidad[RECARGAS],"SI",disponibilidad[Mes],$B8,disponibilidad[[Tipo de afectación ]],"caÍda total",disponibilidad[Responsable Falla],"Aliados o terceros",disponibilidad[Gana Gana - Tolima],"SI")))/$C8)*100</f>
        <v>100</v>
      </c>
      <c r="T8" s="9" t="e">
        <f>+(($C8-(SUMIFS(disponibilidad[Tiempo falla 
(en Mintuos)],#REF!,"SI",disponibilidad[Mes],$B8,disponibilidad[[Tipo de afectación ]],"caÍda total",disponibilidad[Responsable Falla],"Aliados o terceros",disponibilidad[Gana Gana - Tolima],"SI")))/$C8)*100</f>
        <v>#REF!</v>
      </c>
      <c r="U8" s="13" t="e">
        <f t="shared" si="0"/>
        <v>#REF!</v>
      </c>
      <c r="V8" s="12">
        <f>SUMIFS(disponibilidad[Tiempo falla 
(en Mintuos)],disponibilidad[Mes],$B8,disponibilidad[[Tipo de afectación ]],"caÍda total",disponibilidad[Responsable Falla],"Matrix Tech",disponibilidad[Gana Gana - Tolima],"SI")</f>
        <v>0</v>
      </c>
      <c r="W8" s="14">
        <f t="shared" si="4"/>
        <v>0</v>
      </c>
      <c r="X8" s="12">
        <f>SUMIFS(disponibilidad[Tiempo falla 
(en Mintuos)],disponibilidad[Mes],$B8,disponibilidad[[Tipo de afectación ]],"caÍda total",disponibilidad[Responsable Falla],"Aliados o terceros",disponibilidad[Acertemos - Cauca],"SI")</f>
        <v>0</v>
      </c>
      <c r="Y8" s="14">
        <f t="shared" si="1"/>
        <v>0</v>
      </c>
    </row>
    <row r="9" spans="2:25">
      <c r="B9" s="10" t="s">
        <v>169</v>
      </c>
      <c r="C9" s="8">
        <f>VLOOKUP(B9,Maestro!$A$7:$D$19,4,FALSE)</f>
        <v>44640</v>
      </c>
      <c r="D9" s="9">
        <f>+(($C9-(SUMIFS(disponibilidad[Tiempo falla 
(en Mintuos)],disponibilidad[JADE],"SI",disponibilidad[Mes],$B9,disponibilidad[[Tipo de afectación ]],"caÍda total",disponibilidad[Responsable Falla],"Matrix Tech",disponibilidad[Gana Gana - Tolima],"SI")))/$C9)*100</f>
        <v>100</v>
      </c>
      <c r="E9" s="9">
        <f>+(($C9-(SUMIFS(disponibilidad[Tiempo falla 
(en Mintuos)],disponibilidad[JADE],"SI",disponibilidad[Mes],$B9,disponibilidad[[Tipo de afectación ]],"caÍda total",disponibilidad[Responsable Falla],"Matrix Tech",disponibilidad[Gana Gana - Tolima],"SI")))/$C9)*100</f>
        <v>100</v>
      </c>
      <c r="F9" s="9">
        <f>+(($C9-(SUMIFS(disponibilidad[Tiempo falla 
(en Mintuos)],disponibilidad[JADE],"SI",disponibilidad[Mes],$B9,disponibilidad[[Tipo de afectación ]],"caÍda total",disponibilidad[Responsable Falla],"Matrix Tech",disponibilidad[Gana Gana - Tolima],"SI")))/$C9)*100</f>
        <v>100</v>
      </c>
      <c r="G9" s="9">
        <f>+(($C9-(SUMIFS(disponibilidad[Tiempo falla 
(en Mintuos)],disponibilidad[JADE],"SI",disponibilidad[Mes],$B9,disponibilidad[[Tipo de afectación ]],"caÍda total",disponibilidad[Responsable Falla],"Matrix Tech",disponibilidad[Gana Gana - Tolima],"SI")))/$C9)*100</f>
        <v>100</v>
      </c>
      <c r="H9" s="13">
        <f t="shared" si="2"/>
        <v>100</v>
      </c>
      <c r="I9" s="9">
        <f>+(($C9-(SUMIFS(disponibilidad[Tiempo falla 
(en Mintuos)],disponibilidad[Apuestas - Chance],"SI",disponibilidad[Mes],$B9,disponibilidad[[Tipo de afectación ]],"caÍda total",disponibilidad[Responsable Falla],"Matrix Tech",disponibilidad[Gana Gana - Tolima],"SI")))/$C9)*100</f>
        <v>100</v>
      </c>
      <c r="J9" s="9" t="e">
        <f>+(($C9-(SUMIFS(disponibilidad[Tiempo falla 
(en Mintuos)],#REF!,"SI",disponibilidad[Mes],$B9,disponibilidad[[Tipo de afectación ]],"caÍda total",disponibilidad[Responsable Falla],"Matrix Tech",disponibilidad[Gana Gana - Tolima],"SI")))/$C9)*100</f>
        <v>#REF!</v>
      </c>
      <c r="K9" s="9">
        <f>+(($C9-(SUMIFS(disponibilidad[Tiempo falla 
(en Mintuos)],disponibilidad[PAGOS],"SI",disponibilidad[Mes],$B9,disponibilidad[[Tipo de afectación ]],"caÍda total",disponibilidad[Responsable Falla],"Matrix Tech",disponibilidad[Gana Gana - Tolima],"SI")))/$C9)*100</f>
        <v>100</v>
      </c>
      <c r="L9" s="9">
        <f>+(($C9-(SUMIFS(disponibilidad[Tiempo falla 
(en Mintuos)],disponibilidad[RECAUDOS],"SI",disponibilidad[Mes],$B9,disponibilidad[[Tipo de afectación ]],"caÍda total",disponibilidad[Responsable Falla],"Matrix Tech",disponibilidad[Gana Gana - Tolima],"SI")))/$C9)*100</f>
        <v>100</v>
      </c>
      <c r="M9" s="9">
        <f>+(($C9-(SUMIFS(disponibilidad[Tiempo falla 
(en Mintuos)],disponibilidad[RECARGAS],"SI",disponibilidad[Mes],$B9,disponibilidad[[Tipo de afectación ]],"caÍda total",disponibilidad[Responsable Falla],"Matrix Tech",disponibilidad[Gana Gana - Tolima],"SI")))/$C9)*100</f>
        <v>100</v>
      </c>
      <c r="N9" s="9" t="e">
        <f>+(($C9-(SUMIFS(disponibilidad[Tiempo falla 
(en Mintuos)],#REF!,"SI",disponibilidad[Mes],$B9,disponibilidad[[Tipo de afectación ]],"caÍda total",disponibilidad[Responsable Falla],"Matrix Tech",disponibilidad[Gana Gana - Tolima],"SI")))/$C9)*100</f>
        <v>#REF!</v>
      </c>
      <c r="O9" s="13" t="e">
        <f t="shared" si="3"/>
        <v>#REF!</v>
      </c>
      <c r="P9" s="9" t="e">
        <f>+(($C9-(SUMIFS(disponibilidad[Tiempo falla 
(en Mintuos)],#REF!,"SI",disponibilidad[Mes],$B9,disponibilidad[[Tipo de afectación ]],"caÍda total",disponibilidad[Responsable Falla],"Aliados o terceros",disponibilidad[Gana Gana - Tolima],"SI")))/$C9)*100</f>
        <v>#REF!</v>
      </c>
      <c r="Q9" s="9">
        <f>+(($C9-(SUMIFS(disponibilidad[Tiempo falla 
(en Mintuos)],disponibilidad[PAGOS],"SI",disponibilidad[Mes],$B9,disponibilidad[[Tipo de afectación ]],"caÍda total",disponibilidad[Responsable Falla],"Aliados o terceros",disponibilidad[Gana Gana - Tolima],"SI")))/$C9)*100</f>
        <v>100</v>
      </c>
      <c r="R9" s="9">
        <f>+(($C9-(SUMIFS(disponibilidad[Tiempo falla 
(en Mintuos)],disponibilidad[RECAUDOS],"SI",disponibilidad[Mes],$B9,disponibilidad[[Tipo de afectación ]],"caÍda total",disponibilidad[Responsable Falla],"Aliados o terceros",disponibilidad[Gana Gana - Tolima],"SI")))/$C9)*100</f>
        <v>100</v>
      </c>
      <c r="S9" s="9">
        <f>+(($C9-(SUMIFS(disponibilidad[Tiempo falla 
(en Mintuos)],disponibilidad[RECARGAS],"SI",disponibilidad[Mes],$B9,disponibilidad[[Tipo de afectación ]],"caÍda total",disponibilidad[Responsable Falla],"Aliados o terceros",disponibilidad[Gana Gana - Tolima],"SI")))/$C9)*100</f>
        <v>100</v>
      </c>
      <c r="T9" s="9" t="e">
        <f>+(($C9-(SUMIFS(disponibilidad[Tiempo falla 
(en Mintuos)],#REF!,"SI",disponibilidad[Mes],$B9,disponibilidad[[Tipo de afectación ]],"caÍda total",disponibilidad[Responsable Falla],"Aliados o terceros",disponibilidad[Gana Gana - Tolima],"SI")))/$C9)*100</f>
        <v>#REF!</v>
      </c>
      <c r="U9" s="13" t="e">
        <f t="shared" si="0"/>
        <v>#REF!</v>
      </c>
      <c r="V9" s="12">
        <f>SUMIFS(disponibilidad[Tiempo falla 
(en Mintuos)],disponibilidad[Mes],$B9,disponibilidad[[Tipo de afectación ]],"caÍda total",disponibilidad[Responsable Falla],"Matrix Tech",disponibilidad[Gana Gana - Tolima],"SI")</f>
        <v>0</v>
      </c>
      <c r="W9" s="14">
        <f t="shared" si="4"/>
        <v>0</v>
      </c>
      <c r="X9" s="12">
        <f>SUMIFS(disponibilidad[Tiempo falla 
(en Mintuos)],disponibilidad[Mes],$B9,disponibilidad[[Tipo de afectación ]],"caÍda total",disponibilidad[Responsable Falla],"Aliados o terceros",disponibilidad[Acertemos - Cauca],"SI")</f>
        <v>0</v>
      </c>
      <c r="Y9" s="14">
        <f t="shared" si="1"/>
        <v>0</v>
      </c>
    </row>
    <row r="10" spans="2:25">
      <c r="B10" s="10" t="s">
        <v>172</v>
      </c>
      <c r="C10" s="8">
        <f>VLOOKUP(B10,Maestro!$A$7:$D$19,4,FALSE)</f>
        <v>43200</v>
      </c>
      <c r="D10" s="9">
        <f>+(($C10-(SUMIFS(disponibilidad[Tiempo falla 
(en Mintuos)],disponibilidad[JADE],"SI",disponibilidad[Mes],$B10,disponibilidad[[Tipo de afectación ]],"caÍda total",disponibilidad[Responsable Falla],"Matrix Tech",disponibilidad[Gana Gana - Tolima],"SI")))/$C10)*100</f>
        <v>100</v>
      </c>
      <c r="E10" s="9">
        <f>+(($C10-(SUMIFS(disponibilidad[Tiempo falla 
(en Mintuos)],disponibilidad[JADE],"SI",disponibilidad[Mes],$B10,disponibilidad[[Tipo de afectación ]],"caÍda total",disponibilidad[Responsable Falla],"Matrix Tech",disponibilidad[Gana Gana - Tolima],"SI")))/$C10)*100</f>
        <v>100</v>
      </c>
      <c r="F10" s="9">
        <f>+(($C10-(SUMIFS(disponibilidad[Tiempo falla 
(en Mintuos)],disponibilidad[JADE],"SI",disponibilidad[Mes],$B10,disponibilidad[[Tipo de afectación ]],"caÍda total",disponibilidad[Responsable Falla],"Matrix Tech",disponibilidad[Gana Gana - Tolima],"SI")))/$C10)*100</f>
        <v>100</v>
      </c>
      <c r="G10" s="9">
        <f>+(($C10-(SUMIFS(disponibilidad[Tiempo falla 
(en Mintuos)],disponibilidad[JADE],"SI",disponibilidad[Mes],$B10,disponibilidad[[Tipo de afectación ]],"caÍda total",disponibilidad[Responsable Falla],"Matrix Tech",disponibilidad[Gana Gana - Tolima],"SI")))/$C10)*100</f>
        <v>100</v>
      </c>
      <c r="H10" s="13">
        <f t="shared" si="2"/>
        <v>100</v>
      </c>
      <c r="I10" s="9">
        <f>+(($C10-(SUMIFS(disponibilidad[Tiempo falla 
(en Mintuos)],disponibilidad[Apuestas - Chance],"SI",disponibilidad[Mes],$B10,disponibilidad[[Tipo de afectación ]],"caÍda total",disponibilidad[Responsable Falla],"Matrix Tech",disponibilidad[Gana Gana - Tolima],"SI")))/$C10)*100</f>
        <v>100</v>
      </c>
      <c r="J10" s="9" t="e">
        <f>+(($C10-(SUMIFS(disponibilidad[Tiempo falla 
(en Mintuos)],#REF!,"SI",disponibilidad[Mes],$B10,disponibilidad[[Tipo de afectación ]],"caÍda total",disponibilidad[Responsable Falla],"Matrix Tech",disponibilidad[Gana Gana - Tolima],"SI")))/$C10)*100</f>
        <v>#REF!</v>
      </c>
      <c r="K10" s="9">
        <f>+(($C10-(SUMIFS(disponibilidad[Tiempo falla 
(en Mintuos)],disponibilidad[PAGOS],"SI",disponibilidad[Mes],$B10,disponibilidad[[Tipo de afectación ]],"caÍda total",disponibilidad[Responsable Falla],"Matrix Tech",disponibilidad[Gana Gana - Tolima],"SI")))/$C10)*100</f>
        <v>100</v>
      </c>
      <c r="L10" s="9">
        <f>+(($C10-(SUMIFS(disponibilidad[Tiempo falla 
(en Mintuos)],disponibilidad[RECAUDOS],"SI",disponibilidad[Mes],$B10,disponibilidad[[Tipo de afectación ]],"caÍda total",disponibilidad[Responsable Falla],"Matrix Tech",disponibilidad[Gana Gana - Tolima],"SI")))/$C10)*100</f>
        <v>100</v>
      </c>
      <c r="M10" s="9">
        <f>+(($C10-(SUMIFS(disponibilidad[Tiempo falla 
(en Mintuos)],disponibilidad[RECARGAS],"SI",disponibilidad[Mes],$B10,disponibilidad[[Tipo de afectación ]],"caÍda total",disponibilidad[Responsable Falla],"Matrix Tech",disponibilidad[Gana Gana - Tolima],"SI")))/$C10)*100</f>
        <v>100</v>
      </c>
      <c r="N10" s="9" t="e">
        <f>+(($C10-(SUMIFS(disponibilidad[Tiempo falla 
(en Mintuos)],#REF!,"SI",disponibilidad[Mes],$B10,disponibilidad[[Tipo de afectación ]],"caÍda total",disponibilidad[Responsable Falla],"Matrix Tech",disponibilidad[Gana Gana - Tolima],"SI")))/$C10)*100</f>
        <v>#REF!</v>
      </c>
      <c r="O10" s="13" t="e">
        <f t="shared" si="3"/>
        <v>#REF!</v>
      </c>
      <c r="P10" s="9" t="e">
        <f>+(($C10-(SUMIFS(disponibilidad[Tiempo falla 
(en Mintuos)],#REF!,"SI",disponibilidad[Mes],$B10,disponibilidad[[Tipo de afectación ]],"caÍda total",disponibilidad[Responsable Falla],"Aliados o terceros",disponibilidad[Gana Gana - Tolima],"SI")))/$C10)*100</f>
        <v>#REF!</v>
      </c>
      <c r="Q10" s="9">
        <f>+(($C10-(SUMIFS(disponibilidad[Tiempo falla 
(en Mintuos)],disponibilidad[PAGOS],"SI",disponibilidad[Mes],$B10,disponibilidad[[Tipo de afectación ]],"caÍda total",disponibilidad[Responsable Falla],"Aliados o terceros",disponibilidad[Gana Gana - Tolima],"SI")))/$C10)*100</f>
        <v>100</v>
      </c>
      <c r="R10" s="9">
        <f>+(($C10-(SUMIFS(disponibilidad[Tiempo falla 
(en Mintuos)],disponibilidad[RECAUDOS],"SI",disponibilidad[Mes],$B10,disponibilidad[[Tipo de afectación ]],"caÍda total",disponibilidad[Responsable Falla],"Aliados o terceros",disponibilidad[Gana Gana - Tolima],"SI")))/$C10)*100</f>
        <v>100</v>
      </c>
      <c r="S10" s="9">
        <f>+(($C10-(SUMIFS(disponibilidad[Tiempo falla 
(en Mintuos)],disponibilidad[RECARGAS],"SI",disponibilidad[Mes],$B10,disponibilidad[[Tipo de afectación ]],"caÍda total",disponibilidad[Responsable Falla],"Aliados o terceros",disponibilidad[Gana Gana - Tolima],"SI")))/$C10)*100</f>
        <v>100</v>
      </c>
      <c r="T10" s="9" t="e">
        <f>+(($C10-(SUMIFS(disponibilidad[Tiempo falla 
(en Mintuos)],#REF!,"SI",disponibilidad[Mes],$B10,disponibilidad[[Tipo de afectación ]],"caÍda total",disponibilidad[Responsable Falla],"Aliados o terceros",disponibilidad[Gana Gana - Tolima],"SI")))/$C10)*100</f>
        <v>#REF!</v>
      </c>
      <c r="U10" s="13" t="e">
        <f t="shared" si="0"/>
        <v>#REF!</v>
      </c>
      <c r="V10" s="12">
        <f>SUMIFS(disponibilidad[Tiempo falla 
(en Mintuos)],disponibilidad[Mes],$B10,disponibilidad[[Tipo de afectación ]],"caÍda total",disponibilidad[Responsable Falla],"Matrix Tech",disponibilidad[Gana Gana - Tolima],"SI")</f>
        <v>0</v>
      </c>
      <c r="W10" s="14">
        <f t="shared" si="4"/>
        <v>0</v>
      </c>
      <c r="X10" s="12">
        <f>SUMIFS(disponibilidad[Tiempo falla 
(en Mintuos)],disponibilidad[Mes],$B10,disponibilidad[[Tipo de afectación ]],"caÍda total",disponibilidad[Responsable Falla],"Aliados o terceros",disponibilidad[Acertemos - Cauca],"SI")</f>
        <v>0</v>
      </c>
      <c r="Y10" s="14">
        <f t="shared" si="1"/>
        <v>0</v>
      </c>
    </row>
    <row r="11" spans="2:25">
      <c r="B11" s="10" t="s">
        <v>173</v>
      </c>
      <c r="C11" s="8">
        <f>VLOOKUP(B11,Maestro!$A$7:$D$19,4,FALSE)</f>
        <v>44640</v>
      </c>
      <c r="D11" s="9">
        <f>+(($C11-(SUMIFS(disponibilidad[Tiempo falla 
(en Mintuos)],disponibilidad[JADE],"SI",disponibilidad[Mes],$B11,disponibilidad[[Tipo de afectación ]],"caÍda total",disponibilidad[Responsable Falla],"Matrix Tech",disponibilidad[Gana Gana - Tolima],"SI")))/$C11)*100</f>
        <v>100</v>
      </c>
      <c r="E11" s="9">
        <f>+(($C11-(SUMIFS(disponibilidad[Tiempo falla 
(en Mintuos)],disponibilidad[JADE],"SI",disponibilidad[Mes],$B11,disponibilidad[[Tipo de afectación ]],"caÍda total",disponibilidad[Responsable Falla],"Matrix Tech",disponibilidad[Gana Gana - Tolima],"SI")))/$C11)*100</f>
        <v>100</v>
      </c>
      <c r="F11" s="9">
        <f>+(($C11-(SUMIFS(disponibilidad[Tiempo falla 
(en Mintuos)],disponibilidad[JADE],"SI",disponibilidad[Mes],$B11,disponibilidad[[Tipo de afectación ]],"caÍda total",disponibilidad[Responsable Falla],"Matrix Tech",disponibilidad[Gana Gana - Tolima],"SI")))/$C11)*100</f>
        <v>100</v>
      </c>
      <c r="G11" s="9">
        <f>+(($C11-(SUMIFS(disponibilidad[Tiempo falla 
(en Mintuos)],disponibilidad[JADE],"SI",disponibilidad[Mes],$B11,disponibilidad[[Tipo de afectación ]],"caÍda total",disponibilidad[Responsable Falla],"Matrix Tech",disponibilidad[Gana Gana - Tolima],"SI")))/$C11)*100</f>
        <v>100</v>
      </c>
      <c r="H11" s="13">
        <f t="shared" si="2"/>
        <v>100</v>
      </c>
      <c r="I11" s="9">
        <f>+(($C11-(SUMIFS(disponibilidad[Tiempo falla 
(en Mintuos)],disponibilidad[Apuestas - Chance],"SI",disponibilidad[Mes],$B11,disponibilidad[[Tipo de afectación ]],"caÍda total",disponibilidad[Responsable Falla],"Matrix Tech",disponibilidad[Gana Gana - Tolima],"SI")))/$C11)*100</f>
        <v>100</v>
      </c>
      <c r="J11" s="9" t="e">
        <f>+(($C11-(SUMIFS(disponibilidad[Tiempo falla 
(en Mintuos)],#REF!,"SI",disponibilidad[Mes],$B11,disponibilidad[[Tipo de afectación ]],"caÍda total",disponibilidad[Responsable Falla],"Matrix Tech",disponibilidad[Gana Gana - Tolima],"SI")))/$C11)*100</f>
        <v>#REF!</v>
      </c>
      <c r="K11" s="9">
        <f>+(($C11-(SUMIFS(disponibilidad[Tiempo falla 
(en Mintuos)],disponibilidad[PAGOS],"SI",disponibilidad[Mes],$B11,disponibilidad[[Tipo de afectación ]],"caÍda total",disponibilidad[Responsable Falla],"Matrix Tech",disponibilidad[Gana Gana - Tolima],"SI")))/$C11)*100</f>
        <v>100</v>
      </c>
      <c r="L11" s="9">
        <f>+(($C11-(SUMIFS(disponibilidad[Tiempo falla 
(en Mintuos)],disponibilidad[RECAUDOS],"SI",disponibilidad[Mes],$B11,disponibilidad[[Tipo de afectación ]],"caÍda total",disponibilidad[Responsable Falla],"Matrix Tech",disponibilidad[Gana Gana - Tolima],"SI")))/$C11)*100</f>
        <v>100</v>
      </c>
      <c r="M11" s="9">
        <f>+(($C11-(SUMIFS(disponibilidad[Tiempo falla 
(en Mintuos)],disponibilidad[RECARGAS],"SI",disponibilidad[Mes],$B11,disponibilidad[[Tipo de afectación ]],"caÍda total",disponibilidad[Responsable Falla],"Matrix Tech",disponibilidad[Gana Gana - Tolima],"SI")))/$C11)*100</f>
        <v>100</v>
      </c>
      <c r="N11" s="9" t="e">
        <f>+(($C11-(SUMIFS(disponibilidad[Tiempo falla 
(en Mintuos)],#REF!,"SI",disponibilidad[Mes],$B11,disponibilidad[[Tipo de afectación ]],"caÍda total",disponibilidad[Responsable Falla],"Matrix Tech",disponibilidad[Gana Gana - Tolima],"SI")))/$C11)*100</f>
        <v>#REF!</v>
      </c>
      <c r="O11" s="13" t="e">
        <f t="shared" si="3"/>
        <v>#REF!</v>
      </c>
      <c r="P11" s="9" t="e">
        <f>+(($C11-(SUMIFS(disponibilidad[Tiempo falla 
(en Mintuos)],#REF!,"SI",disponibilidad[Mes],$B11,disponibilidad[[Tipo de afectación ]],"caÍda total",disponibilidad[Responsable Falla],"Aliados o terceros",disponibilidad[Gana Gana - Tolima],"SI")))/$C11)*100</f>
        <v>#REF!</v>
      </c>
      <c r="Q11" s="9">
        <f>+(($C11-(SUMIFS(disponibilidad[Tiempo falla 
(en Mintuos)],disponibilidad[PAGOS],"SI",disponibilidad[Mes],$B11,disponibilidad[[Tipo de afectación ]],"caÍda total",disponibilidad[Responsable Falla],"Aliados o terceros",disponibilidad[Gana Gana - Tolima],"SI")))/$C11)*100</f>
        <v>100</v>
      </c>
      <c r="R11" s="9">
        <f>+(($C11-(SUMIFS(disponibilidad[Tiempo falla 
(en Mintuos)],disponibilidad[RECAUDOS],"SI",disponibilidad[Mes],$B11,disponibilidad[[Tipo de afectación ]],"caÍda total",disponibilidad[Responsable Falla],"Aliados o terceros",disponibilidad[Gana Gana - Tolima],"SI")))/$C11)*100</f>
        <v>100</v>
      </c>
      <c r="S11" s="9">
        <f>+(($C11-(SUMIFS(disponibilidad[Tiempo falla 
(en Mintuos)],disponibilidad[RECARGAS],"SI",disponibilidad[Mes],$B11,disponibilidad[[Tipo de afectación ]],"caÍda total",disponibilidad[Responsable Falla],"Aliados o terceros",disponibilidad[Gana Gana - Tolima],"SI")))/$C11)*100</f>
        <v>100</v>
      </c>
      <c r="T11" s="9" t="e">
        <f>+(($C11-(SUMIFS(disponibilidad[Tiempo falla 
(en Mintuos)],#REF!,"SI",disponibilidad[Mes],$B11,disponibilidad[[Tipo de afectación ]],"caÍda total",disponibilidad[Responsable Falla],"Aliados o terceros",disponibilidad[Gana Gana - Tolima],"SI")))/$C11)*100</f>
        <v>#REF!</v>
      </c>
      <c r="U11" s="13" t="e">
        <f t="shared" si="0"/>
        <v>#REF!</v>
      </c>
      <c r="V11" s="12">
        <f>SUMIFS(disponibilidad[Tiempo falla 
(en Mintuos)],disponibilidad[Mes],$B11,disponibilidad[[Tipo de afectación ]],"caÍda total",disponibilidad[Responsable Falla],"Matrix Tech",disponibilidad[Gana Gana - Tolima],"SI")</f>
        <v>0</v>
      </c>
      <c r="W11" s="14">
        <f t="shared" si="4"/>
        <v>0</v>
      </c>
      <c r="X11" s="12">
        <f>SUMIFS(disponibilidad[Tiempo falla 
(en Mintuos)],disponibilidad[Mes],$B11,disponibilidad[[Tipo de afectación ]],"caÍda total",disponibilidad[Responsable Falla],"Aliados o terceros",disponibilidad[Acertemos - Cauca],"SI")</f>
        <v>0</v>
      </c>
      <c r="Y11" s="14">
        <f t="shared" si="1"/>
        <v>0</v>
      </c>
    </row>
    <row r="12" spans="2:25">
      <c r="B12" s="10" t="s">
        <v>174</v>
      </c>
      <c r="C12" s="8">
        <f>VLOOKUP(B12,Maestro!$A$7:$D$19,4,FALSE)</f>
        <v>44640</v>
      </c>
      <c r="D12" s="9">
        <f>+(($C12-(SUMIFS(disponibilidad[Tiempo falla 
(en Mintuos)],disponibilidad[JADE],"SI",disponibilidad[Mes],$B12,disponibilidad[[Tipo de afectación ]],"caÍda total",disponibilidad[Responsable Falla],"Matrix Tech",disponibilidad[Gana Gana - Tolima],"SI")))/$C12)*100</f>
        <v>100</v>
      </c>
      <c r="E12" s="9">
        <f>+(($C12-(SUMIFS(disponibilidad[Tiempo falla 
(en Mintuos)],disponibilidad[JADE],"SI",disponibilidad[Mes],$B12,disponibilidad[[Tipo de afectación ]],"caÍda total",disponibilidad[Responsable Falla],"Matrix Tech",disponibilidad[Gana Gana - Tolima],"SI")))/$C12)*100</f>
        <v>100</v>
      </c>
      <c r="F12" s="9">
        <f>+(($C12-(SUMIFS(disponibilidad[Tiempo falla 
(en Mintuos)],disponibilidad[JADE],"SI",disponibilidad[Mes],$B12,disponibilidad[[Tipo de afectación ]],"caÍda total",disponibilidad[Responsable Falla],"Matrix Tech",disponibilidad[Gana Gana - Tolima],"SI")))/$C12)*100</f>
        <v>100</v>
      </c>
      <c r="G12" s="9">
        <f>+(($C12-(SUMIFS(disponibilidad[Tiempo falla 
(en Mintuos)],disponibilidad[JADE],"SI",disponibilidad[Mes],$B12,disponibilidad[[Tipo de afectación ]],"caÍda total",disponibilidad[Responsable Falla],"Matrix Tech",disponibilidad[Gana Gana - Tolima],"SI")))/$C12)*100</f>
        <v>100</v>
      </c>
      <c r="H12" s="13">
        <f t="shared" si="2"/>
        <v>100</v>
      </c>
      <c r="I12" s="9">
        <f>+(($C12-(SUMIFS(disponibilidad[Tiempo falla 
(en Mintuos)],disponibilidad[Apuestas - Chance],"SI",disponibilidad[Mes],$B12,disponibilidad[[Tipo de afectación ]],"caÍda total",disponibilidad[Responsable Falla],"Matrix Tech",disponibilidad[Gana Gana - Tolima],"SI")))/$C12)*100</f>
        <v>100</v>
      </c>
      <c r="J12" s="9" t="e">
        <f>+(($C12-(SUMIFS(disponibilidad[Tiempo falla 
(en Mintuos)],#REF!,"SI",disponibilidad[Mes],$B12,disponibilidad[[Tipo de afectación ]],"caÍda total",disponibilidad[Responsable Falla],"Matrix Tech",disponibilidad[Gana Gana - Tolima],"SI")))/$C12)*100</f>
        <v>#REF!</v>
      </c>
      <c r="K12" s="9">
        <f>+(($C12-(SUMIFS(disponibilidad[Tiempo falla 
(en Mintuos)],disponibilidad[PAGOS],"SI",disponibilidad[Mes],$B12,disponibilidad[[Tipo de afectación ]],"caÍda total",disponibilidad[Responsable Falla],"Matrix Tech",disponibilidad[Gana Gana - Tolima],"SI")))/$C12)*100</f>
        <v>100</v>
      </c>
      <c r="L12" s="9">
        <f>+(($C12-(SUMIFS(disponibilidad[Tiempo falla 
(en Mintuos)],disponibilidad[RECAUDOS],"SI",disponibilidad[Mes],$B12,disponibilidad[[Tipo de afectación ]],"caÍda total",disponibilidad[Responsable Falla],"Matrix Tech",disponibilidad[Gana Gana - Tolima],"SI")))/$C12)*100</f>
        <v>100</v>
      </c>
      <c r="M12" s="9">
        <f>+(($C12-(SUMIFS(disponibilidad[Tiempo falla 
(en Mintuos)],disponibilidad[RECARGAS],"SI",disponibilidad[Mes],$B12,disponibilidad[[Tipo de afectación ]],"caÍda total",disponibilidad[Responsable Falla],"Matrix Tech",disponibilidad[Gana Gana - Tolima],"SI")))/$C12)*100</f>
        <v>100</v>
      </c>
      <c r="N12" s="9" t="e">
        <f>+(($C12-(SUMIFS(disponibilidad[Tiempo falla 
(en Mintuos)],#REF!,"SI",disponibilidad[Mes],$B12,disponibilidad[[Tipo de afectación ]],"caÍda total",disponibilidad[Responsable Falla],"Matrix Tech",disponibilidad[Gana Gana - Tolima],"SI")))/$C12)*100</f>
        <v>#REF!</v>
      </c>
      <c r="O12" s="13" t="e">
        <f t="shared" si="3"/>
        <v>#REF!</v>
      </c>
      <c r="P12" s="9" t="e">
        <f>+(($C12-(SUMIFS(disponibilidad[Tiempo falla 
(en Mintuos)],#REF!,"SI",disponibilidad[Mes],$B12,disponibilidad[[Tipo de afectación ]],"caÍda total",disponibilidad[Responsable Falla],"Aliados o terceros",disponibilidad[Gana Gana - Tolima],"SI")))/$C12)*100</f>
        <v>#REF!</v>
      </c>
      <c r="Q12" s="9">
        <f>+(($C12-(SUMIFS(disponibilidad[Tiempo falla 
(en Mintuos)],disponibilidad[PAGOS],"SI",disponibilidad[Mes],$B12,disponibilidad[[Tipo de afectación ]],"caÍda total",disponibilidad[Responsable Falla],"Aliados o terceros",disponibilidad[Gana Gana - Tolima],"SI")))/$C12)*100</f>
        <v>100</v>
      </c>
      <c r="R12" s="9">
        <f>+(($C12-(SUMIFS(disponibilidad[Tiempo falla 
(en Mintuos)],disponibilidad[RECAUDOS],"SI",disponibilidad[Mes],$B12,disponibilidad[[Tipo de afectación ]],"caÍda total",disponibilidad[Responsable Falla],"Aliados o terceros",disponibilidad[Gana Gana - Tolima],"SI")))/$C12)*100</f>
        <v>100</v>
      </c>
      <c r="S12" s="9">
        <f>+(($C12-(SUMIFS(disponibilidad[Tiempo falla 
(en Mintuos)],disponibilidad[RECARGAS],"SI",disponibilidad[Mes],$B12,disponibilidad[[Tipo de afectación ]],"caÍda total",disponibilidad[Responsable Falla],"Aliados o terceros",disponibilidad[Gana Gana - Tolima],"SI")))/$C12)*100</f>
        <v>100</v>
      </c>
      <c r="T12" s="9" t="e">
        <f>+(($C12-(SUMIFS(disponibilidad[Tiempo falla 
(en Mintuos)],#REF!,"SI",disponibilidad[Mes],$B12,disponibilidad[[Tipo de afectación ]],"caÍda total",disponibilidad[Responsable Falla],"Aliados o terceros",disponibilidad[Gana Gana - Tolima],"SI")))/$C12)*100</f>
        <v>#REF!</v>
      </c>
      <c r="U12" s="13" t="e">
        <f t="shared" si="0"/>
        <v>#REF!</v>
      </c>
      <c r="V12" s="12">
        <f>SUMIFS(disponibilidad[Tiempo falla 
(en Mintuos)],disponibilidad[Mes],$B12,disponibilidad[[Tipo de afectación ]],"caÍda total",disponibilidad[Responsable Falla],"Matrix Tech",disponibilidad[Gana Gana - Tolima],"SI")</f>
        <v>0</v>
      </c>
      <c r="W12" s="14">
        <f t="shared" si="4"/>
        <v>0</v>
      </c>
      <c r="X12" s="12">
        <f>SUMIFS(disponibilidad[Tiempo falla 
(en Mintuos)],disponibilidad[Mes],$B12,disponibilidad[[Tipo de afectación ]],"caÍda total",disponibilidad[Responsable Falla],"Aliados o terceros",disponibilidad[Acertemos - Cauca],"SI")</f>
        <v>0</v>
      </c>
      <c r="Y12" s="14">
        <f t="shared" si="1"/>
        <v>0</v>
      </c>
    </row>
    <row r="13" spans="2:25">
      <c r="B13" s="10" t="s">
        <v>175</v>
      </c>
      <c r="C13" s="8">
        <f>VLOOKUP(B13,Maestro!$A$7:$D$19,4,FALSE)</f>
        <v>43200</v>
      </c>
      <c r="D13" s="9">
        <f>+(($C13-(SUMIFS(disponibilidad[Tiempo falla 
(en Mintuos)],disponibilidad[JADE],"SI",disponibilidad[Mes],$B13,disponibilidad[[Tipo de afectación ]],"caÍda total",disponibilidad[Responsable Falla],"Matrix Tech",disponibilidad[Gana Gana - Tolima],"SI")))/$C13)*100</f>
        <v>100</v>
      </c>
      <c r="E13" s="9">
        <f>+(($C13-(SUMIFS(disponibilidad[Tiempo falla 
(en Mintuos)],disponibilidad[JADE],"SI",disponibilidad[Mes],$B13,disponibilidad[[Tipo de afectación ]],"caÍda total",disponibilidad[Responsable Falla],"Matrix Tech",disponibilidad[Gana Gana - Tolima],"SI")))/$C13)*100</f>
        <v>100</v>
      </c>
      <c r="F13" s="9">
        <f>+(($C13-(SUMIFS(disponibilidad[Tiempo falla 
(en Mintuos)],disponibilidad[JADE],"SI",disponibilidad[Mes],$B13,disponibilidad[[Tipo de afectación ]],"caÍda total",disponibilidad[Responsable Falla],"Matrix Tech",disponibilidad[Gana Gana - Tolima],"SI")))/$C13)*100</f>
        <v>100</v>
      </c>
      <c r="G13" s="9">
        <f>+(($C13-(SUMIFS(disponibilidad[Tiempo falla 
(en Mintuos)],disponibilidad[JADE],"SI",disponibilidad[Mes],$B13,disponibilidad[[Tipo de afectación ]],"caÍda total",disponibilidad[Responsable Falla],"Matrix Tech",disponibilidad[Gana Gana - Tolima],"SI")))/$C13)*100</f>
        <v>100</v>
      </c>
      <c r="H13" s="13">
        <f t="shared" si="2"/>
        <v>100</v>
      </c>
      <c r="I13" s="9">
        <f>+(($C13-(SUMIFS(disponibilidad[Tiempo falla 
(en Mintuos)],disponibilidad[Apuestas - Chance],"SI",disponibilidad[Mes],$B13,disponibilidad[[Tipo de afectación ]],"caÍda total",disponibilidad[Responsable Falla],"Matrix Tech",disponibilidad[Gana Gana - Tolima],"SI")))/$C13)*100</f>
        <v>100</v>
      </c>
      <c r="J13" s="9" t="e">
        <f>+(($C13-(SUMIFS(disponibilidad[Tiempo falla 
(en Mintuos)],#REF!,"SI",disponibilidad[Mes],$B13,disponibilidad[[Tipo de afectación ]],"caÍda total",disponibilidad[Responsable Falla],"Matrix Tech",disponibilidad[Gana Gana - Tolima],"SI")))/$C13)*100</f>
        <v>#REF!</v>
      </c>
      <c r="K13" s="9">
        <f>+(($C13-(SUMIFS(disponibilidad[Tiempo falla 
(en Mintuos)],disponibilidad[PAGOS],"SI",disponibilidad[Mes],$B13,disponibilidad[[Tipo de afectación ]],"caÍda total",disponibilidad[Responsable Falla],"Matrix Tech",disponibilidad[Gana Gana - Tolima],"SI")))/$C13)*100</f>
        <v>100</v>
      </c>
      <c r="L13" s="9">
        <f>+(($C13-(SUMIFS(disponibilidad[Tiempo falla 
(en Mintuos)],disponibilidad[RECAUDOS],"SI",disponibilidad[Mes],$B13,disponibilidad[[Tipo de afectación ]],"caÍda total",disponibilidad[Responsable Falla],"Matrix Tech",disponibilidad[Gana Gana - Tolima],"SI")))/$C13)*100</f>
        <v>100</v>
      </c>
      <c r="M13" s="9">
        <f>+(($C13-(SUMIFS(disponibilidad[Tiempo falla 
(en Mintuos)],disponibilidad[RECARGAS],"SI",disponibilidad[Mes],$B13,disponibilidad[[Tipo de afectación ]],"caÍda total",disponibilidad[Responsable Falla],"Matrix Tech",disponibilidad[Gana Gana - Tolima],"SI")))/$C13)*100</f>
        <v>100</v>
      </c>
      <c r="N13" s="9" t="e">
        <f>+(($C13-(SUMIFS(disponibilidad[Tiempo falla 
(en Mintuos)],#REF!,"SI",disponibilidad[Mes],$B13,disponibilidad[[Tipo de afectación ]],"caÍda total",disponibilidad[Responsable Falla],"Matrix Tech",disponibilidad[Gana Gana - Tolima],"SI")))/$C13)*100</f>
        <v>#REF!</v>
      </c>
      <c r="O13" s="13" t="e">
        <f t="shared" si="3"/>
        <v>#REF!</v>
      </c>
      <c r="P13" s="9" t="e">
        <f>+(($C13-(SUMIFS(disponibilidad[Tiempo falla 
(en Mintuos)],#REF!,"SI",disponibilidad[Mes],$B13,disponibilidad[[Tipo de afectación ]],"caÍda total",disponibilidad[Responsable Falla],"Aliados o terceros",disponibilidad[Gana Gana - Tolima],"SI")))/$C13)*100</f>
        <v>#REF!</v>
      </c>
      <c r="Q13" s="9">
        <f>+(($C13-(SUMIFS(disponibilidad[Tiempo falla 
(en Mintuos)],disponibilidad[PAGOS],"SI",disponibilidad[Mes],$B13,disponibilidad[[Tipo de afectación ]],"caÍda total",disponibilidad[Responsable Falla],"Aliados o terceros",disponibilidad[Gana Gana - Tolima],"SI")))/$C13)*100</f>
        <v>100</v>
      </c>
      <c r="R13" s="9">
        <f>+(($C13-(SUMIFS(disponibilidad[Tiempo falla 
(en Mintuos)],disponibilidad[RECAUDOS],"SI",disponibilidad[Mes],$B13,disponibilidad[[Tipo de afectación ]],"caÍda total",disponibilidad[Responsable Falla],"Aliados o terceros",disponibilidad[Gana Gana - Tolima],"SI")))/$C13)*100</f>
        <v>100</v>
      </c>
      <c r="S13" s="9">
        <f>+(($C13-(SUMIFS(disponibilidad[Tiempo falla 
(en Mintuos)],disponibilidad[RECARGAS],"SI",disponibilidad[Mes],$B13,disponibilidad[[Tipo de afectación ]],"caÍda total",disponibilidad[Responsable Falla],"Aliados o terceros",disponibilidad[Gana Gana - Tolima],"SI")))/$C13)*100</f>
        <v>100</v>
      </c>
      <c r="T13" s="9" t="e">
        <f>+(($C13-(SUMIFS(disponibilidad[Tiempo falla 
(en Mintuos)],#REF!,"SI",disponibilidad[Mes],$B13,disponibilidad[[Tipo de afectación ]],"caÍda total",disponibilidad[Responsable Falla],"Aliados o terceros",disponibilidad[Gana Gana - Tolima],"SI")))/$C13)*100</f>
        <v>#REF!</v>
      </c>
      <c r="U13" s="13" t="e">
        <f t="shared" si="0"/>
        <v>#REF!</v>
      </c>
      <c r="V13" s="12">
        <f>SUMIFS(disponibilidad[Tiempo falla 
(en Mintuos)],disponibilidad[Mes],$B13,disponibilidad[[Tipo de afectación ]],"caÍda total",disponibilidad[Responsable Falla],"Matrix Tech",disponibilidad[Gana Gana - Tolima],"SI")</f>
        <v>0</v>
      </c>
      <c r="W13" s="14">
        <f t="shared" si="4"/>
        <v>0</v>
      </c>
      <c r="X13" s="12">
        <f>SUMIFS(disponibilidad[Tiempo falla 
(en Mintuos)],disponibilidad[Mes],$B13,disponibilidad[[Tipo de afectación ]],"caÍda total",disponibilidad[Responsable Falla],"Aliados o terceros",disponibilidad[Acertemos - Cauca],"SI")</f>
        <v>0</v>
      </c>
      <c r="Y13" s="14">
        <f t="shared" si="1"/>
        <v>0</v>
      </c>
    </row>
    <row r="14" spans="2:25">
      <c r="B14" s="10" t="s">
        <v>176</v>
      </c>
      <c r="C14" s="8">
        <f>VLOOKUP(B14,Maestro!$A$7:$D$19,4,FALSE)</f>
        <v>44640</v>
      </c>
      <c r="D14" s="9">
        <f>+(($C14-(SUMIFS(disponibilidad[Tiempo falla 
(en Mintuos)],disponibilidad[JADE],"SI",disponibilidad[Mes],$B14,disponibilidad[[Tipo de afectación ]],"caÍda total",disponibilidad[Responsable Falla],"Matrix Tech",disponibilidad[Gana Gana - Tolima],"SI")))/$C14)*100</f>
        <v>100</v>
      </c>
      <c r="E14" s="9">
        <f>+(($C14-(SUMIFS(disponibilidad[Tiempo falla 
(en Mintuos)],disponibilidad[JADE],"SI",disponibilidad[Mes],$B14,disponibilidad[[Tipo de afectación ]],"caÍda total",disponibilidad[Responsable Falla],"Matrix Tech",disponibilidad[Gana Gana - Tolima],"SI")))/$C14)*100</f>
        <v>100</v>
      </c>
      <c r="F14" s="9">
        <f>+(($C14-(SUMIFS(disponibilidad[Tiempo falla 
(en Mintuos)],disponibilidad[JADE],"SI",disponibilidad[Mes],$B14,disponibilidad[[Tipo de afectación ]],"caÍda total",disponibilidad[Responsable Falla],"Matrix Tech",disponibilidad[Gana Gana - Tolima],"SI")))/$C14)*100</f>
        <v>100</v>
      </c>
      <c r="G14" s="9">
        <f>+(($C14-(SUMIFS(disponibilidad[Tiempo falla 
(en Mintuos)],disponibilidad[JADE],"SI",disponibilidad[Mes],$B14,disponibilidad[[Tipo de afectación ]],"caÍda total",disponibilidad[Responsable Falla],"Matrix Tech",disponibilidad[Gana Gana - Tolima],"SI")))/$C14)*100</f>
        <v>100</v>
      </c>
      <c r="H14" s="13">
        <f t="shared" si="2"/>
        <v>100</v>
      </c>
      <c r="I14" s="9">
        <f>+(($C14-(SUMIFS(disponibilidad[Tiempo falla 
(en Mintuos)],disponibilidad[Apuestas - Chance],"SI",disponibilidad[Mes],$B14,disponibilidad[[Tipo de afectación ]],"caÍda total",disponibilidad[Responsable Falla],"Matrix Tech",disponibilidad[Gana Gana - Tolima],"SI")))/$C14)*100</f>
        <v>100</v>
      </c>
      <c r="J14" s="9" t="e">
        <f>+(($C14-(SUMIFS(disponibilidad[Tiempo falla 
(en Mintuos)],#REF!,"SI",disponibilidad[Mes],$B14,disponibilidad[[Tipo de afectación ]],"caÍda total",disponibilidad[Responsable Falla],"Matrix Tech",disponibilidad[Gana Gana - Tolima],"SI")))/$C14)*100</f>
        <v>#REF!</v>
      </c>
      <c r="K14" s="9">
        <f>+(($C14-(SUMIFS(disponibilidad[Tiempo falla 
(en Mintuos)],disponibilidad[PAGOS],"SI",disponibilidad[Mes],$B14,disponibilidad[[Tipo de afectación ]],"caÍda total",disponibilidad[Responsable Falla],"Matrix Tech",disponibilidad[Gana Gana - Tolima],"SI")))/$C14)*100</f>
        <v>100</v>
      </c>
      <c r="L14" s="9">
        <f>+(($C14-(SUMIFS(disponibilidad[Tiempo falla 
(en Mintuos)],disponibilidad[RECAUDOS],"SI",disponibilidad[Mes],$B14,disponibilidad[[Tipo de afectación ]],"caÍda total",disponibilidad[Responsable Falla],"Matrix Tech",disponibilidad[Gana Gana - Tolima],"SI")))/$C14)*100</f>
        <v>100</v>
      </c>
      <c r="M14" s="9">
        <f>+(($C14-(SUMIFS(disponibilidad[Tiempo falla 
(en Mintuos)],disponibilidad[RECARGAS],"SI",disponibilidad[Mes],$B14,disponibilidad[[Tipo de afectación ]],"caÍda total",disponibilidad[Responsable Falla],"Matrix Tech",disponibilidad[Gana Gana - Tolima],"SI")))/$C14)*100</f>
        <v>100</v>
      </c>
      <c r="N14" s="9" t="e">
        <f>+(($C14-(SUMIFS(disponibilidad[Tiempo falla 
(en Mintuos)],#REF!,"SI",disponibilidad[Mes],$B14,disponibilidad[[Tipo de afectación ]],"caÍda total",disponibilidad[Responsable Falla],"Matrix Tech",disponibilidad[Gana Gana - Tolima],"SI")))/$C14)*100</f>
        <v>#REF!</v>
      </c>
      <c r="O14" s="13" t="e">
        <f t="shared" si="3"/>
        <v>#REF!</v>
      </c>
      <c r="P14" s="9" t="e">
        <f>+(($C14-(SUMIFS(disponibilidad[Tiempo falla 
(en Mintuos)],#REF!,"SI",disponibilidad[Mes],$B14,disponibilidad[[Tipo de afectación ]],"caÍda total",disponibilidad[Responsable Falla],"Aliados o terceros",disponibilidad[Gana Gana - Tolima],"SI")))/$C14)*100</f>
        <v>#REF!</v>
      </c>
      <c r="Q14" s="9">
        <f>+(($C14-(SUMIFS(disponibilidad[Tiempo falla 
(en Mintuos)],disponibilidad[PAGOS],"SI",disponibilidad[Mes],$B14,disponibilidad[[Tipo de afectación ]],"caÍda total",disponibilidad[Responsable Falla],"Aliados o terceros",disponibilidad[Gana Gana - Tolima],"SI")))/$C14)*100</f>
        <v>100</v>
      </c>
      <c r="R14" s="9">
        <f>+(($C14-(SUMIFS(disponibilidad[Tiempo falla 
(en Mintuos)],disponibilidad[RECAUDOS],"SI",disponibilidad[Mes],$B14,disponibilidad[[Tipo de afectación ]],"caÍda total",disponibilidad[Responsable Falla],"Aliados o terceros",disponibilidad[Gana Gana - Tolima],"SI")))/$C14)*100</f>
        <v>100</v>
      </c>
      <c r="S14" s="9">
        <f>+(($C14-(SUMIFS(disponibilidad[Tiempo falla 
(en Mintuos)],disponibilidad[RECARGAS],"SI",disponibilidad[Mes],$B14,disponibilidad[[Tipo de afectación ]],"caÍda total",disponibilidad[Responsable Falla],"Aliados o terceros",disponibilidad[Gana Gana - Tolima],"SI")))/$C14)*100</f>
        <v>100</v>
      </c>
      <c r="T14" s="9" t="e">
        <f>+(($C14-(SUMIFS(disponibilidad[Tiempo falla 
(en Mintuos)],#REF!,"SI",disponibilidad[Mes],$B14,disponibilidad[[Tipo de afectación ]],"caÍda total",disponibilidad[Responsable Falla],"Aliados o terceros",disponibilidad[Gana Gana - Tolima],"SI")))/$C14)*100</f>
        <v>#REF!</v>
      </c>
      <c r="U14" s="13" t="e">
        <f t="shared" si="0"/>
        <v>#REF!</v>
      </c>
      <c r="V14" s="12">
        <f>SUMIFS(disponibilidad[Tiempo falla 
(en Mintuos)],disponibilidad[Mes],$B14,disponibilidad[[Tipo de afectación ]],"caÍda total",disponibilidad[Responsable Falla],"Matrix Tech",disponibilidad[Gana Gana - Tolima],"SI")</f>
        <v>0</v>
      </c>
      <c r="W14" s="14">
        <f t="shared" si="4"/>
        <v>0</v>
      </c>
      <c r="X14" s="12">
        <f>SUMIFS(disponibilidad[Tiempo falla 
(en Mintuos)],disponibilidad[Mes],$B14,disponibilidad[[Tipo de afectación ]],"caÍda total",disponibilidad[Responsable Falla],"Aliados o terceros",disponibilidad[Gana Gana - Tolima],"SI")</f>
        <v>0</v>
      </c>
      <c r="Y14" s="14">
        <f t="shared" si="1"/>
        <v>0</v>
      </c>
    </row>
    <row r="15" spans="2:25">
      <c r="B15" s="10" t="s">
        <v>177</v>
      </c>
      <c r="C15" s="8">
        <f>VLOOKUP(B15,Maestro!$A$7:$D$19,4,FALSE)</f>
        <v>43200</v>
      </c>
      <c r="D15" s="9">
        <f>+(($C15-(SUMIFS(disponibilidad[Tiempo falla 
(en Mintuos)],disponibilidad[JADE],"SI",disponibilidad[Mes],$B15,disponibilidad[[Tipo de afectación ]],"caÍda total",disponibilidad[Responsable Falla],"Matrix Tech",disponibilidad[Gana Gana - Tolima],"SI")))/$C15)*100</f>
        <v>100</v>
      </c>
      <c r="E15" s="9">
        <f>+(($C15-(SUMIFS(disponibilidad[Tiempo falla 
(en Mintuos)],disponibilidad[JADE],"SI",disponibilidad[Mes],$B15,disponibilidad[[Tipo de afectación ]],"caÍda total",disponibilidad[Responsable Falla],"Matrix Tech",disponibilidad[Gana Gana - Tolima],"SI")))/$C15)*100</f>
        <v>100</v>
      </c>
      <c r="F15" s="9">
        <f>+(($C15-(SUMIFS(disponibilidad[Tiempo falla 
(en Mintuos)],disponibilidad[JADE],"SI",disponibilidad[Mes],$B15,disponibilidad[[Tipo de afectación ]],"caÍda total",disponibilidad[Responsable Falla],"Matrix Tech",disponibilidad[Gana Gana - Tolima],"SI")))/$C15)*100</f>
        <v>100</v>
      </c>
      <c r="G15" s="9">
        <f>+(($C15-(SUMIFS(disponibilidad[Tiempo falla 
(en Mintuos)],disponibilidad[JADE],"SI",disponibilidad[Mes],$B15,disponibilidad[[Tipo de afectación ]],"caÍda total",disponibilidad[Responsable Falla],"Matrix Tech",disponibilidad[Gana Gana - Tolima],"SI")))/$C15)*100</f>
        <v>100</v>
      </c>
      <c r="H15" s="13">
        <f t="shared" si="2"/>
        <v>100</v>
      </c>
      <c r="I15" s="9">
        <f>+(($C15-(SUMIFS(disponibilidad[Tiempo falla 
(en Mintuos)],disponibilidad[Apuestas - Chance],"SI",disponibilidad[Mes],$B15,disponibilidad[[Tipo de afectación ]],"caÍda total",disponibilidad[Responsable Falla],"Matrix Tech",disponibilidad[Gana Gana - Tolima],"SI")))/$C15)*100</f>
        <v>100</v>
      </c>
      <c r="J15" s="9" t="e">
        <f>+(($C15-(SUMIFS(disponibilidad[Tiempo falla 
(en Mintuos)],#REF!,"SI",disponibilidad[Mes],$B15,disponibilidad[[Tipo de afectación ]],"caÍda total",disponibilidad[Responsable Falla],"Matrix Tech",disponibilidad[Gana Gana - Tolima],"SI")))/$C15)*100</f>
        <v>#REF!</v>
      </c>
      <c r="K15" s="9">
        <f>+(($C15-(SUMIFS(disponibilidad[Tiempo falla 
(en Mintuos)],disponibilidad[PAGOS],"SI",disponibilidad[Mes],$B15,disponibilidad[[Tipo de afectación ]],"caÍda total",disponibilidad[Responsable Falla],"Matrix Tech",disponibilidad[Gana Gana - Tolima],"SI")))/$C15)*100</f>
        <v>100</v>
      </c>
      <c r="L15" s="9">
        <f>+(($C15-(SUMIFS(disponibilidad[Tiempo falla 
(en Mintuos)],disponibilidad[RECAUDOS],"SI",disponibilidad[Mes],$B15,disponibilidad[[Tipo de afectación ]],"caÍda total",disponibilidad[Responsable Falla],"Matrix Tech",disponibilidad[Gana Gana - Tolima],"SI")))/$C15)*100</f>
        <v>100</v>
      </c>
      <c r="M15" s="9">
        <f>+(($C15-(SUMIFS(disponibilidad[Tiempo falla 
(en Mintuos)],disponibilidad[RECARGAS],"SI",disponibilidad[Mes],$B15,disponibilidad[[Tipo de afectación ]],"caÍda total",disponibilidad[Responsable Falla],"Matrix Tech",disponibilidad[Gana Gana - Tolima],"SI")))/$C15)*100</f>
        <v>100</v>
      </c>
      <c r="N15" s="9" t="e">
        <f>+(($C15-(SUMIFS(disponibilidad[Tiempo falla 
(en Mintuos)],#REF!,"SI",disponibilidad[Mes],$B15,disponibilidad[[Tipo de afectación ]],"caÍda total",disponibilidad[Responsable Falla],"Matrix Tech",disponibilidad[Gana Gana - Tolima],"SI")))/$C15)*100</f>
        <v>#REF!</v>
      </c>
      <c r="O15" s="13" t="e">
        <f t="shared" si="3"/>
        <v>#REF!</v>
      </c>
      <c r="P15" s="9" t="e">
        <f>+(($C15-(SUMIFS(disponibilidad[Tiempo falla 
(en Mintuos)],#REF!,"SI",disponibilidad[Mes],$B15,disponibilidad[[Tipo de afectación ]],"caÍda total",disponibilidad[Responsable Falla],"Aliados o terceros",disponibilidad[Gana Gana - Tolima],"SI")))/$C15)*100</f>
        <v>#REF!</v>
      </c>
      <c r="Q15" s="9">
        <f>+(($C15-(SUMIFS(disponibilidad[Tiempo falla 
(en Mintuos)],disponibilidad[PAGOS],"SI",disponibilidad[Mes],$B15,disponibilidad[[Tipo de afectación ]],"caÍda total",disponibilidad[Responsable Falla],"Aliados o terceros",disponibilidad[Gana Gana - Tolima],"SI")))/$C15)*100</f>
        <v>100</v>
      </c>
      <c r="R15" s="9">
        <f>+(($C15-(SUMIFS(disponibilidad[Tiempo falla 
(en Mintuos)],disponibilidad[RECAUDOS],"SI",disponibilidad[Mes],$B15,disponibilidad[[Tipo de afectación ]],"caÍda total",disponibilidad[Responsable Falla],"Aliados o terceros",disponibilidad[Gana Gana - Tolima],"SI")))/$C15)*100</f>
        <v>100</v>
      </c>
      <c r="S15" s="9">
        <f>+(($C15-(SUMIFS(disponibilidad[Tiempo falla 
(en Mintuos)],disponibilidad[RECARGAS],"SI",disponibilidad[Mes],$B15,disponibilidad[[Tipo de afectación ]],"caÍda total",disponibilidad[Responsable Falla],"Aliados o terceros",disponibilidad[Gana Gana - Tolima],"SI")))/$C15)*100</f>
        <v>100</v>
      </c>
      <c r="T15" s="9" t="e">
        <f>+(($C15-(SUMIFS(disponibilidad[Tiempo falla 
(en Mintuos)],#REF!,"SI",disponibilidad[Mes],$B15,disponibilidad[[Tipo de afectación ]],"caÍda total",disponibilidad[Responsable Falla],"Aliados o terceros",disponibilidad[Gana Gana - Tolima],"SI")))/$C15)*100</f>
        <v>#REF!</v>
      </c>
      <c r="U15" s="13" t="e">
        <f t="shared" si="0"/>
        <v>#REF!</v>
      </c>
      <c r="V15" s="12">
        <f>SUMIFS(disponibilidad[Tiempo falla 
(en Mintuos)],disponibilidad[Mes],$B15,disponibilidad[[Tipo de afectación ]],"caÍda total",disponibilidad[Responsable Falla],"Matrix Tech",disponibilidad[Gana Gana - Tolima],"SI")</f>
        <v>0</v>
      </c>
      <c r="W15" s="14">
        <f t="shared" si="4"/>
        <v>0</v>
      </c>
      <c r="X15" s="12">
        <f>SUMIFS(disponibilidad[Tiempo falla 
(en Mintuos)],disponibilidad[Mes],$B15,disponibilidad[[Tipo de afectación ]],"caÍda total",disponibilidad[Responsable Falla],"Aliados o terceros",disponibilidad[Gana Gana - Tolima],"SI")</f>
        <v>0</v>
      </c>
      <c r="Y15" s="14">
        <f t="shared" si="1"/>
        <v>0</v>
      </c>
    </row>
    <row r="16" spans="2:25">
      <c r="B16" s="10" t="s">
        <v>178</v>
      </c>
      <c r="C16" s="8">
        <f>VLOOKUP(B16,Maestro!$A$7:$D$19,4,FALSE)</f>
        <v>44640</v>
      </c>
      <c r="D16" s="9">
        <f>+(($C16-(SUMIFS(disponibilidad[Tiempo falla 
(en Mintuos)],disponibilidad[JADE],"SI",disponibilidad[Mes],$B16,disponibilidad[[Tipo de afectación ]],"caÍda total",disponibilidad[Responsable Falla],"Matrix Tech",disponibilidad[Gana Gana - Tolima],"SI")))/$C16)*100</f>
        <v>100</v>
      </c>
      <c r="E16" s="9">
        <f>+(($C16-(SUMIFS(disponibilidad[Tiempo falla 
(en Mintuos)],disponibilidad[JADE],"SI",disponibilidad[Mes],$B16,disponibilidad[[Tipo de afectación ]],"caÍda total",disponibilidad[Responsable Falla],"Matrix Tech",disponibilidad[Gana Gana - Tolima],"SI")))/$C16)*100</f>
        <v>100</v>
      </c>
      <c r="F16" s="9">
        <f>+(($C16-(SUMIFS(disponibilidad[Tiempo falla 
(en Mintuos)],disponibilidad[JADE],"SI",disponibilidad[Mes],$B16,disponibilidad[[Tipo de afectación ]],"caÍda total",disponibilidad[Responsable Falla],"Matrix Tech",disponibilidad[Gana Gana - Tolima],"SI")))/$C16)*100</f>
        <v>100</v>
      </c>
      <c r="G16" s="9">
        <f>+(($C16-(SUMIFS(disponibilidad[Tiempo falla 
(en Mintuos)],disponibilidad[JADE],"SI",disponibilidad[Mes],$B16,disponibilidad[[Tipo de afectación ]],"caÍda total",disponibilidad[Responsable Falla],"Matrix Tech",disponibilidad[Gana Gana - Tolima],"SI")))/$C16)*100</f>
        <v>100</v>
      </c>
      <c r="H16" s="13">
        <f t="shared" si="2"/>
        <v>100</v>
      </c>
      <c r="I16" s="9">
        <f>+(($C16-(SUMIFS(disponibilidad[Tiempo falla 
(en Mintuos)],disponibilidad[Apuestas - Chance],"SI",disponibilidad[Mes],$B16,disponibilidad[[Tipo de afectación ]],"caÍda total",disponibilidad[Responsable Falla],"Matrix Tech",disponibilidad[Gana Gana - Tolima],"SI")))/$C16)*100</f>
        <v>100</v>
      </c>
      <c r="J16" s="9" t="e">
        <f>+(($C16-(SUMIFS(disponibilidad[Tiempo falla 
(en Mintuos)],#REF!,"SI",disponibilidad[Mes],$B16,disponibilidad[[Tipo de afectación ]],"caÍda total",disponibilidad[Responsable Falla],"Matrix Tech",disponibilidad[Gana Gana - Tolima],"SI")))/$C16)*100</f>
        <v>#REF!</v>
      </c>
      <c r="K16" s="9">
        <f>+(($C16-(SUMIFS(disponibilidad[Tiempo falla 
(en Mintuos)],disponibilidad[PAGOS],"SI",disponibilidad[Mes],$B16,disponibilidad[[Tipo de afectación ]],"caÍda total",disponibilidad[Responsable Falla],"Matrix Tech",disponibilidad[Gana Gana - Tolima],"SI")))/$C16)*100</f>
        <v>100</v>
      </c>
      <c r="L16" s="9">
        <f>+(($C16-(SUMIFS(disponibilidad[Tiempo falla 
(en Mintuos)],disponibilidad[RECAUDOS],"SI",disponibilidad[Mes],$B16,disponibilidad[[Tipo de afectación ]],"caÍda total",disponibilidad[Responsable Falla],"Matrix Tech",disponibilidad[Gana Gana - Tolima],"SI")))/$C16)*100</f>
        <v>100</v>
      </c>
      <c r="M16" s="9">
        <f>+(($C16-(SUMIFS(disponibilidad[Tiempo falla 
(en Mintuos)],disponibilidad[RECARGAS],"SI",disponibilidad[Mes],$B16,disponibilidad[[Tipo de afectación ]],"caÍda total",disponibilidad[Responsable Falla],"Matrix Tech",disponibilidad[Gana Gana - Tolima],"SI")))/$C16)*100</f>
        <v>100</v>
      </c>
      <c r="N16" s="9" t="e">
        <f>+(($C16-(SUMIFS(disponibilidad[Tiempo falla 
(en Mintuos)],#REF!,"SI",disponibilidad[Mes],$B16,disponibilidad[[Tipo de afectación ]],"caÍda total",disponibilidad[Responsable Falla],"Matrix Tech",disponibilidad[Gana Gana - Tolima],"SI")))/$C16)*100</f>
        <v>#REF!</v>
      </c>
      <c r="O16" s="13" t="e">
        <f t="shared" si="3"/>
        <v>#REF!</v>
      </c>
      <c r="P16" s="9" t="e">
        <f>+(($C16-(SUMIFS(disponibilidad[Tiempo falla 
(en Mintuos)],#REF!,"SI",disponibilidad[Mes],$B16,disponibilidad[[Tipo de afectación ]],"caÍda total",disponibilidad[Responsable Falla],"Aliados o terceros",disponibilidad[Gana Gana - Tolima],"SI")))/$C16)*100</f>
        <v>#REF!</v>
      </c>
      <c r="Q16" s="9">
        <f>+(($C16-(SUMIFS(disponibilidad[Tiempo falla 
(en Mintuos)],disponibilidad[PAGOS],"SI",disponibilidad[Mes],$B16,disponibilidad[[Tipo de afectación ]],"caÍda total",disponibilidad[Responsable Falla],"Aliados o terceros",disponibilidad[Gana Gana - Tolima],"SI")))/$C16)*100</f>
        <v>100</v>
      </c>
      <c r="R16" s="9">
        <f>+(($C16-(SUMIFS(disponibilidad[Tiempo falla 
(en Mintuos)],disponibilidad[RECAUDOS],"SI",disponibilidad[Mes],$B16,disponibilidad[[Tipo de afectación ]],"caÍda total",disponibilidad[Responsable Falla],"Aliados o terceros",disponibilidad[Gana Gana - Tolima],"SI")))/$C16)*100</f>
        <v>100</v>
      </c>
      <c r="S16" s="9">
        <f>+(($C16-(SUMIFS(disponibilidad[Tiempo falla 
(en Mintuos)],disponibilidad[RECARGAS],"SI",disponibilidad[Mes],$B16,disponibilidad[[Tipo de afectación ]],"caÍda total",disponibilidad[Responsable Falla],"Aliados o terceros",disponibilidad[Gana Gana - Tolima],"SI")))/$C16)*100</f>
        <v>100</v>
      </c>
      <c r="T16" s="9" t="e">
        <f>+(($C16-(SUMIFS(disponibilidad[Tiempo falla 
(en Mintuos)],#REF!,"SI",disponibilidad[Mes],$B16,disponibilidad[[Tipo de afectación ]],"caÍda total",disponibilidad[Responsable Falla],"Aliados o terceros",disponibilidad[Gana Gana - Tolima],"SI")))/$C16)*100</f>
        <v>#REF!</v>
      </c>
      <c r="U16" s="13" t="e">
        <f t="shared" si="0"/>
        <v>#REF!</v>
      </c>
      <c r="V16" s="12">
        <f>SUMIFS(disponibilidad[Tiempo falla 
(en Mintuos)],disponibilidad[Mes],$B16,disponibilidad[[Tipo de afectación ]],"caÍda total",disponibilidad[Responsable Falla],"Matrix Tech",disponibilidad[Gana Gana - Tolima],"SI")</f>
        <v>0</v>
      </c>
      <c r="W16" s="14">
        <f t="shared" si="4"/>
        <v>0</v>
      </c>
      <c r="X16" s="12">
        <f>SUMIFS(disponibilidad[Tiempo falla 
(en Mintuos)],disponibilidad[Mes],$B16,disponibilidad[[Tipo de afectación ]],"caÍda total",disponibilidad[Responsable Falla],"Aliados o terceros",disponibilidad[Gana Gana - Tolima],"SI")</f>
        <v>0</v>
      </c>
      <c r="Y16" s="14">
        <f t="shared" si="1"/>
        <v>0</v>
      </c>
    </row>
  </sheetData>
  <sheetProtection algorithmName="SHA-512" hashValue="tJrt0+p15eK4RulMfhndMQ5+tFTvDrxzVDzE1P3w/OVIZzFoU6+iXQFY/faVEFBuw0OjNWOaEZWKHocb+9oOXQ==" saltValue="aoR2i9F7YBd227vSWWRZGA==" spinCount="100000" sheet="1" objects="1" scenarios="1"/>
  <mergeCells count="14">
    <mergeCell ref="O2:O3"/>
    <mergeCell ref="B2:B4"/>
    <mergeCell ref="C2:C3"/>
    <mergeCell ref="D2:G2"/>
    <mergeCell ref="H2:H4"/>
    <mergeCell ref="I2:N2"/>
    <mergeCell ref="P2:T2"/>
    <mergeCell ref="U2:U4"/>
    <mergeCell ref="V2:W2"/>
    <mergeCell ref="X2:Y2"/>
    <mergeCell ref="V3:V4"/>
    <mergeCell ref="W3:W4"/>
    <mergeCell ref="X3:X4"/>
    <mergeCell ref="Y3:Y4"/>
  </mergeCells>
  <conditionalFormatting sqref="H5:H16">
    <cfRule type="cellIs" dxfId="61" priority="5" operator="lessThan">
      <formula>99.7</formula>
    </cfRule>
    <cfRule type="cellIs" dxfId="60" priority="6" operator="greaterThanOrEqual">
      <formula>99.7</formula>
    </cfRule>
  </conditionalFormatting>
  <conditionalFormatting sqref="O5:O16">
    <cfRule type="cellIs" dxfId="59" priority="3" operator="lessThan">
      <formula>99.7</formula>
    </cfRule>
    <cfRule type="cellIs" dxfId="58" priority="4" operator="greaterThanOrEqual">
      <formula>99.7</formula>
    </cfRule>
  </conditionalFormatting>
  <conditionalFormatting sqref="U5:U16">
    <cfRule type="cellIs" dxfId="57" priority="1" operator="lessThan">
      <formula>99.7</formula>
    </cfRule>
    <cfRule type="cellIs" dxfId="56" priority="2" operator="greaterThanOrEqual">
      <formula>99.7</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A934-FDBA-4544-BFA3-823921105CBB}">
  <dimension ref="B1:S89"/>
  <sheetViews>
    <sheetView workbookViewId="0">
      <selection activeCell="D77" sqref="D77"/>
    </sheetView>
  </sheetViews>
  <sheetFormatPr defaultColWidth="9.140625" defaultRowHeight="15"/>
  <cols>
    <col min="4" max="4" width="59.7109375" customWidth="1"/>
    <col min="5" max="5" width="24.7109375" customWidth="1"/>
  </cols>
  <sheetData>
    <row r="1" spans="3:18">
      <c r="C1" s="159" t="s">
        <v>176</v>
      </c>
      <c r="D1" s="196" t="s">
        <v>16</v>
      </c>
      <c r="E1" s="168">
        <v>715141</v>
      </c>
      <c r="F1" s="169">
        <v>45589.495833333334</v>
      </c>
      <c r="G1" s="169">
        <v>45589.585416666669</v>
      </c>
      <c r="H1" s="196" t="e">
        <f>+(disponibilidad[[#This Row],[Fecha y hora fin]]-disponibilidad[[#This Row],[Fecha y hora inicio]])*1440</f>
        <v>#VALUE!</v>
      </c>
    </row>
    <row r="3" spans="3:18" ht="17.25">
      <c r="O3" s="206" t="s">
        <v>362</v>
      </c>
    </row>
    <row r="4" spans="3:18" ht="15.75">
      <c r="C4" s="198" t="s">
        <v>176</v>
      </c>
      <c r="D4" s="199" t="s">
        <v>16</v>
      </c>
      <c r="E4" s="200" t="s">
        <v>363</v>
      </c>
      <c r="F4" s="201">
        <v>60.000000006984919</v>
      </c>
      <c r="O4" s="207" t="s">
        <v>364</v>
      </c>
      <c r="P4" s="208" t="s">
        <v>365</v>
      </c>
      <c r="Q4" s="208" t="s">
        <v>366</v>
      </c>
      <c r="R4" s="209" t="s">
        <v>367</v>
      </c>
    </row>
    <row r="5" spans="3:18">
      <c r="C5" s="202" t="s">
        <v>176</v>
      </c>
      <c r="D5" s="197" t="s">
        <v>368</v>
      </c>
      <c r="E5" s="197" t="s">
        <v>369</v>
      </c>
      <c r="F5" s="203">
        <v>9.9999999906867743</v>
      </c>
      <c r="O5" s="210" t="s">
        <v>370</v>
      </c>
      <c r="P5" s="211" t="s">
        <v>371</v>
      </c>
      <c r="Q5" s="211" t="s">
        <v>372</v>
      </c>
      <c r="R5" s="212" t="s">
        <v>373</v>
      </c>
    </row>
    <row r="6" spans="3:18">
      <c r="C6" s="204" t="s">
        <v>176</v>
      </c>
      <c r="D6" s="168" t="s">
        <v>374</v>
      </c>
      <c r="E6" s="168" t="s">
        <v>375</v>
      </c>
      <c r="F6" s="205">
        <v>175.00000000465661</v>
      </c>
      <c r="O6" s="210" t="s">
        <v>376</v>
      </c>
      <c r="P6" s="211" t="s">
        <v>377</v>
      </c>
      <c r="Q6" s="211" t="s">
        <v>378</v>
      </c>
      <c r="R6" s="212" t="s">
        <v>379</v>
      </c>
    </row>
    <row r="7" spans="3:18">
      <c r="C7" s="202" t="s">
        <v>176</v>
      </c>
      <c r="D7" s="197" t="s">
        <v>368</v>
      </c>
      <c r="E7" s="197" t="s">
        <v>380</v>
      </c>
      <c r="F7" s="203">
        <v>56.999999997206032</v>
      </c>
      <c r="O7" s="210" t="s">
        <v>381</v>
      </c>
      <c r="P7" s="211" t="s">
        <v>371</v>
      </c>
      <c r="Q7" s="211" t="s">
        <v>372</v>
      </c>
      <c r="R7" s="212" t="s">
        <v>373</v>
      </c>
    </row>
    <row r="8" spans="3:18">
      <c r="C8" s="204" t="s">
        <v>176</v>
      </c>
      <c r="D8" s="168" t="s">
        <v>382</v>
      </c>
      <c r="E8" s="168" t="s">
        <v>383</v>
      </c>
      <c r="F8" s="205">
        <v>42.000000000698492</v>
      </c>
      <c r="O8" s="210" t="s">
        <v>384</v>
      </c>
      <c r="P8" s="211" t="s">
        <v>385</v>
      </c>
      <c r="Q8" s="211" t="s">
        <v>386</v>
      </c>
      <c r="R8" s="212" t="s">
        <v>387</v>
      </c>
    </row>
    <row r="9" spans="3:18">
      <c r="C9" s="202" t="s">
        <v>176</v>
      </c>
      <c r="D9" s="170" t="s">
        <v>388</v>
      </c>
      <c r="E9" s="197" t="s">
        <v>389</v>
      </c>
      <c r="F9" s="203">
        <v>27.999999996973202</v>
      </c>
      <c r="O9" s="210" t="s">
        <v>390</v>
      </c>
      <c r="P9" s="211" t="s">
        <v>371</v>
      </c>
      <c r="Q9" s="211" t="s">
        <v>372</v>
      </c>
      <c r="R9" s="212" t="s">
        <v>373</v>
      </c>
    </row>
    <row r="10" spans="3:18">
      <c r="C10" s="204" t="s">
        <v>176</v>
      </c>
      <c r="D10" s="196" t="s">
        <v>92</v>
      </c>
      <c r="E10" s="168" t="s">
        <v>391</v>
      </c>
      <c r="F10" s="205">
        <v>61.999999992549419</v>
      </c>
      <c r="I10">
        <v>398</v>
      </c>
      <c r="O10" s="210" t="s">
        <v>392</v>
      </c>
      <c r="P10" s="211" t="s">
        <v>385</v>
      </c>
      <c r="Q10" s="211" t="s">
        <v>386</v>
      </c>
      <c r="R10" s="212" t="s">
        <v>387</v>
      </c>
    </row>
    <row r="11" spans="3:18">
      <c r="C11" s="202" t="s">
        <v>176</v>
      </c>
      <c r="D11" s="170" t="s">
        <v>92</v>
      </c>
      <c r="E11" s="197" t="s">
        <v>393</v>
      </c>
      <c r="F11" s="203">
        <v>9.9999999906867743</v>
      </c>
      <c r="O11" s="210" t="s">
        <v>394</v>
      </c>
      <c r="P11" s="211" t="s">
        <v>371</v>
      </c>
      <c r="Q11" s="211" t="s">
        <v>372</v>
      </c>
      <c r="R11" s="212" t="s">
        <v>373</v>
      </c>
    </row>
    <row r="12" spans="3:18">
      <c r="C12" s="204" t="s">
        <v>176</v>
      </c>
      <c r="D12" s="196" t="s">
        <v>16</v>
      </c>
      <c r="E12" s="168" t="s">
        <v>395</v>
      </c>
      <c r="F12" s="205">
        <v>114.00000000488944</v>
      </c>
      <c r="O12" s="210" t="s">
        <v>396</v>
      </c>
      <c r="P12" s="211" t="s">
        <v>371</v>
      </c>
      <c r="Q12" s="211" t="s">
        <v>372</v>
      </c>
      <c r="R12" s="212" t="s">
        <v>373</v>
      </c>
    </row>
    <row r="13" spans="3:18">
      <c r="C13" s="202" t="s">
        <v>176</v>
      </c>
      <c r="D13" s="170" t="s">
        <v>16</v>
      </c>
      <c r="E13" s="197" t="s">
        <v>397</v>
      </c>
      <c r="F13" s="203">
        <v>142.00000000186265</v>
      </c>
      <c r="K13">
        <v>398</v>
      </c>
      <c r="L13">
        <f>+K13/60</f>
        <v>6.6333333333333337</v>
      </c>
      <c r="O13" s="210" t="s">
        <v>398</v>
      </c>
      <c r="P13" s="211" t="s">
        <v>385</v>
      </c>
      <c r="Q13" s="211" t="s">
        <v>386</v>
      </c>
      <c r="R13" s="212" t="s">
        <v>387</v>
      </c>
    </row>
    <row r="14" spans="3:18">
      <c r="C14" s="204" t="s">
        <v>176</v>
      </c>
      <c r="D14" s="196" t="s">
        <v>16</v>
      </c>
      <c r="E14" s="168">
        <v>715121</v>
      </c>
      <c r="F14" s="205">
        <v>242.0000000030268</v>
      </c>
      <c r="K14">
        <v>574</v>
      </c>
      <c r="L14">
        <f>+K14/60</f>
        <v>9.5666666666666664</v>
      </c>
      <c r="O14" s="210" t="s">
        <v>399</v>
      </c>
      <c r="P14" s="211" t="s">
        <v>371</v>
      </c>
      <c r="Q14" s="211" t="s">
        <v>372</v>
      </c>
      <c r="R14" s="212" t="s">
        <v>373</v>
      </c>
    </row>
    <row r="15" spans="3:18">
      <c r="C15" s="202" t="s">
        <v>176</v>
      </c>
      <c r="D15" s="170" t="s">
        <v>16</v>
      </c>
      <c r="E15" s="197">
        <v>715145</v>
      </c>
      <c r="F15" s="203">
        <v>195.99999999976717</v>
      </c>
      <c r="O15" s="210" t="s">
        <v>400</v>
      </c>
      <c r="P15" s="211" t="s">
        <v>385</v>
      </c>
      <c r="Q15" s="211" t="s">
        <v>386</v>
      </c>
      <c r="R15" s="212" t="s">
        <v>387</v>
      </c>
    </row>
    <row r="16" spans="3:18">
      <c r="C16" s="204" t="s">
        <v>176</v>
      </c>
      <c r="D16" s="196" t="s">
        <v>16</v>
      </c>
      <c r="E16" s="168">
        <v>715128</v>
      </c>
      <c r="F16" s="205">
        <v>574.0000000060536</v>
      </c>
      <c r="O16" s="213" t="s">
        <v>401</v>
      </c>
      <c r="P16" s="214" t="s">
        <v>371</v>
      </c>
      <c r="Q16" s="214" t="s">
        <v>372</v>
      </c>
      <c r="R16" s="215" t="s">
        <v>373</v>
      </c>
    </row>
    <row r="17" spans="3:15">
      <c r="C17" s="202" t="s">
        <v>176</v>
      </c>
      <c r="D17" s="170" t="s">
        <v>16</v>
      </c>
      <c r="E17" s="197">
        <v>715144</v>
      </c>
      <c r="F17" s="203">
        <v>560.00000000232831</v>
      </c>
    </row>
    <row r="18" spans="3:15">
      <c r="C18" s="204" t="s">
        <v>176</v>
      </c>
      <c r="D18" s="196" t="s">
        <v>16</v>
      </c>
      <c r="E18" s="168">
        <v>715141</v>
      </c>
      <c r="F18" s="205">
        <v>129</v>
      </c>
    </row>
    <row r="19" spans="3:15">
      <c r="C19" s="231" t="s">
        <v>176</v>
      </c>
      <c r="D19" s="232" t="s">
        <v>402</v>
      </c>
      <c r="E19" s="233" t="s">
        <v>403</v>
      </c>
      <c r="F19" s="234">
        <v>14.00000000372529</v>
      </c>
    </row>
    <row r="22" spans="3:15" ht="15.75">
      <c r="D22" s="216" t="s">
        <v>404</v>
      </c>
      <c r="E22" s="228" t="s">
        <v>405</v>
      </c>
    </row>
    <row r="23" spans="3:15">
      <c r="D23" s="218" t="s">
        <v>21</v>
      </c>
      <c r="E23" s="229">
        <v>99.325268817175044</v>
      </c>
      <c r="F23">
        <v>99.072132616454539</v>
      </c>
      <c r="G23">
        <v>98.328405017881451</v>
      </c>
      <c r="H23">
        <v>99.610215053736837</v>
      </c>
      <c r="I23">
        <v>99.610215053736837</v>
      </c>
      <c r="J23">
        <v>99.614247311801819</v>
      </c>
      <c r="K23">
        <v>99.345698924703044</v>
      </c>
    </row>
    <row r="24" spans="3:15">
      <c r="D24" s="218" t="s">
        <v>406</v>
      </c>
      <c r="E24" s="229">
        <v>99.072132616454539</v>
      </c>
      <c r="F24">
        <v>99.072132616454539</v>
      </c>
      <c r="G24">
        <v>98.328405017881451</v>
      </c>
      <c r="H24">
        <v>99.610215053736837</v>
      </c>
      <c r="I24">
        <v>99.610215053736837</v>
      </c>
      <c r="J24">
        <v>99.614247311801819</v>
      </c>
      <c r="K24">
        <v>99.345698924703044</v>
      </c>
    </row>
    <row r="25" spans="3:15">
      <c r="D25" s="218" t="s">
        <v>407</v>
      </c>
      <c r="E25" s="229">
        <v>98.328405017881451</v>
      </c>
      <c r="F25">
        <v>99.072132616454539</v>
      </c>
      <c r="G25">
        <v>98.328405017881451</v>
      </c>
      <c r="H25">
        <v>99.610215053736837</v>
      </c>
      <c r="I25">
        <v>99.610215053736837</v>
      </c>
      <c r="J25">
        <v>99.614247311801819</v>
      </c>
      <c r="K25">
        <v>99.345698924703044</v>
      </c>
      <c r="N25" t="s">
        <v>408</v>
      </c>
      <c r="O25" s="220">
        <v>0.99180000000000001</v>
      </c>
    </row>
    <row r="26" spans="3:15">
      <c r="D26" s="218" t="s">
        <v>24</v>
      </c>
      <c r="E26" s="229">
        <v>99.610215053736837</v>
      </c>
      <c r="F26">
        <v>99.072132616454539</v>
      </c>
      <c r="G26">
        <v>98.328405017881451</v>
      </c>
      <c r="H26">
        <v>99.610215053736837</v>
      </c>
      <c r="I26">
        <v>99.610215053736837</v>
      </c>
      <c r="J26">
        <v>99.614247311801819</v>
      </c>
      <c r="K26">
        <v>99.345698924703044</v>
      </c>
      <c r="N26" t="s">
        <v>409</v>
      </c>
      <c r="O26" s="220">
        <v>7.7999999999999996E-3</v>
      </c>
    </row>
    <row r="27" spans="3:15">
      <c r="D27" s="218" t="s">
        <v>410</v>
      </c>
      <c r="E27" s="229">
        <v>99.171146953378923</v>
      </c>
      <c r="F27">
        <v>99.072132616454539</v>
      </c>
      <c r="G27">
        <v>98.328405017881451</v>
      </c>
      <c r="H27">
        <v>99.610215053736837</v>
      </c>
      <c r="I27">
        <v>99.610215053736837</v>
      </c>
      <c r="J27">
        <v>99.614247311801819</v>
      </c>
      <c r="K27">
        <v>99.345698924703044</v>
      </c>
    </row>
    <row r="28" spans="3:15">
      <c r="D28" s="218" t="s">
        <v>27</v>
      </c>
      <c r="E28" s="229">
        <v>98.359767025058261</v>
      </c>
      <c r="F28">
        <v>99.072132616454539</v>
      </c>
      <c r="G28">
        <v>98.328405017881451</v>
      </c>
      <c r="H28">
        <v>99.610215053736837</v>
      </c>
      <c r="I28">
        <v>99.610215053736837</v>
      </c>
      <c r="J28">
        <v>99.614247311801819</v>
      </c>
      <c r="K28">
        <v>99.345698924703044</v>
      </c>
    </row>
    <row r="29" spans="3:15">
      <c r="D29" s="219" t="s">
        <v>25</v>
      </c>
      <c r="E29" s="230">
        <v>99.345698924703044</v>
      </c>
      <c r="F29">
        <v>99.072132616454539</v>
      </c>
      <c r="G29">
        <v>98.328405017881451</v>
      </c>
      <c r="H29">
        <v>99.610215053736837</v>
      </c>
      <c r="I29">
        <v>99.610215053736837</v>
      </c>
      <c r="J29">
        <v>99.614247311801819</v>
      </c>
      <c r="K29">
        <v>99.345698924703044</v>
      </c>
    </row>
    <row r="36" spans="2:19">
      <c r="B36" t="s">
        <v>9</v>
      </c>
      <c r="C36" t="s">
        <v>411</v>
      </c>
    </row>
    <row r="37" spans="2:19">
      <c r="B37" s="131" t="s">
        <v>169</v>
      </c>
      <c r="C37" s="64">
        <v>99.991</v>
      </c>
    </row>
    <row r="38" spans="2:19">
      <c r="B38" s="132" t="s">
        <v>172</v>
      </c>
      <c r="C38" s="137">
        <v>99.986000000000004</v>
      </c>
    </row>
    <row r="39" spans="2:19">
      <c r="B39" s="140" t="s">
        <v>173</v>
      </c>
      <c r="C39" s="64">
        <v>100</v>
      </c>
    </row>
    <row r="40" spans="2:19">
      <c r="B40" s="132" t="s">
        <v>174</v>
      </c>
      <c r="C40" s="137">
        <v>100</v>
      </c>
    </row>
    <row r="41" spans="2:19">
      <c r="B41" s="140" t="s">
        <v>175</v>
      </c>
      <c r="C41" s="64">
        <v>99.891748236331779</v>
      </c>
      <c r="M41">
        <v>99.325268817175044</v>
      </c>
      <c r="N41">
        <v>99.072132616454539</v>
      </c>
      <c r="O41">
        <v>98.328405017881451</v>
      </c>
      <c r="P41">
        <v>99.610215053736837</v>
      </c>
      <c r="Q41">
        <v>99.171146953378923</v>
      </c>
      <c r="R41">
        <v>98.359767025058261</v>
      </c>
      <c r="S41">
        <v>99.345698924703044</v>
      </c>
    </row>
    <row r="42" spans="2:19">
      <c r="B42" s="194" t="s">
        <v>176</v>
      </c>
      <c r="C42" s="195">
        <v>99.184030807279299</v>
      </c>
    </row>
    <row r="57" spans="4:9" ht="15.75">
      <c r="D57" s="221" t="s">
        <v>412</v>
      </c>
      <c r="E57" s="217" t="s">
        <v>176</v>
      </c>
      <c r="H57" s="221" t="s">
        <v>413</v>
      </c>
      <c r="I57" s="217" t="s">
        <v>176</v>
      </c>
    </row>
    <row r="58" spans="4:9">
      <c r="D58" s="222" t="s">
        <v>414</v>
      </c>
      <c r="E58" s="223">
        <v>92</v>
      </c>
      <c r="H58" s="222" t="s">
        <v>415</v>
      </c>
      <c r="I58" s="223">
        <v>7</v>
      </c>
    </row>
    <row r="59" spans="4:9">
      <c r="D59" s="222" t="s">
        <v>416</v>
      </c>
      <c r="E59" s="223">
        <v>44</v>
      </c>
      <c r="H59" s="222" t="s">
        <v>417</v>
      </c>
      <c r="I59" s="223">
        <v>4</v>
      </c>
    </row>
    <row r="60" spans="4:9">
      <c r="D60" s="222" t="s">
        <v>418</v>
      </c>
      <c r="E60" s="223">
        <v>36</v>
      </c>
      <c r="H60" s="222" t="s">
        <v>419</v>
      </c>
      <c r="I60" s="223">
        <v>3</v>
      </c>
    </row>
    <row r="61" spans="4:9">
      <c r="D61" s="222" t="s">
        <v>420</v>
      </c>
      <c r="E61" s="223">
        <v>29</v>
      </c>
      <c r="H61" s="222" t="s">
        <v>421</v>
      </c>
      <c r="I61" s="223">
        <v>2</v>
      </c>
    </row>
    <row r="62" spans="4:9">
      <c r="D62" s="222" t="s">
        <v>422</v>
      </c>
      <c r="E62" s="223">
        <v>29</v>
      </c>
      <c r="H62" s="222" t="s">
        <v>423</v>
      </c>
      <c r="I62" s="223">
        <v>1</v>
      </c>
    </row>
    <row r="63" spans="4:9">
      <c r="D63" s="222" t="s">
        <v>424</v>
      </c>
      <c r="E63" s="223">
        <v>28</v>
      </c>
      <c r="H63" s="222" t="s">
        <v>425</v>
      </c>
      <c r="I63" s="223">
        <v>1</v>
      </c>
    </row>
    <row r="64" spans="4:9" ht="15.75">
      <c r="D64" s="222" t="s">
        <v>426</v>
      </c>
      <c r="E64" s="223">
        <v>19</v>
      </c>
      <c r="H64" s="226" t="s">
        <v>427</v>
      </c>
      <c r="I64" s="227">
        <v>18</v>
      </c>
    </row>
    <row r="65" spans="4:9">
      <c r="D65" s="222" t="s">
        <v>428</v>
      </c>
      <c r="E65" s="223">
        <v>12</v>
      </c>
      <c r="H65" s="222"/>
      <c r="I65" s="223"/>
    </row>
    <row r="66" spans="4:9">
      <c r="D66" s="222" t="s">
        <v>429</v>
      </c>
      <c r="E66" s="223">
        <v>10</v>
      </c>
    </row>
    <row r="67" spans="4:9">
      <c r="D67" s="222" t="s">
        <v>430</v>
      </c>
      <c r="E67" s="223">
        <v>10</v>
      </c>
    </row>
    <row r="68" spans="4:9">
      <c r="D68" s="222" t="s">
        <v>431</v>
      </c>
      <c r="E68" s="223">
        <v>9</v>
      </c>
    </row>
    <row r="69" spans="4:9">
      <c r="D69" s="222" t="s">
        <v>432</v>
      </c>
      <c r="E69" s="223">
        <v>8</v>
      </c>
    </row>
    <row r="70" spans="4:9">
      <c r="D70" s="224" t="s">
        <v>433</v>
      </c>
      <c r="E70" s="225">
        <v>8</v>
      </c>
    </row>
    <row r="77" spans="4:9" ht="18.75">
      <c r="D77" s="156" t="s">
        <v>10</v>
      </c>
      <c r="E77" s="235" t="s">
        <v>11</v>
      </c>
    </row>
    <row r="78" spans="4:9">
      <c r="D78" s="196" t="s">
        <v>434</v>
      </c>
      <c r="E78" s="168" t="s">
        <v>435</v>
      </c>
    </row>
    <row r="79" spans="4:9">
      <c r="D79" s="170" t="s">
        <v>436</v>
      </c>
      <c r="E79" s="197" t="s">
        <v>437</v>
      </c>
    </row>
    <row r="80" spans="4:9">
      <c r="D80" s="168" t="s">
        <v>438</v>
      </c>
      <c r="E80" s="168" t="s">
        <v>439</v>
      </c>
    </row>
    <row r="81" spans="4:5">
      <c r="D81" s="197" t="s">
        <v>440</v>
      </c>
      <c r="E81" s="197" t="s">
        <v>441</v>
      </c>
    </row>
    <row r="82" spans="4:5">
      <c r="D82" s="170" t="s">
        <v>442</v>
      </c>
      <c r="E82" s="197" t="s">
        <v>443</v>
      </c>
    </row>
    <row r="83" spans="4:5">
      <c r="D83" s="196" t="s">
        <v>444</v>
      </c>
      <c r="E83" s="168" t="s">
        <v>445</v>
      </c>
    </row>
    <row r="84" spans="4:5">
      <c r="D84" s="170" t="s">
        <v>446</v>
      </c>
      <c r="E84" s="197" t="s">
        <v>447</v>
      </c>
    </row>
    <row r="85" spans="4:5">
      <c r="D85" s="196" t="s">
        <v>448</v>
      </c>
      <c r="E85" s="168" t="s">
        <v>449</v>
      </c>
    </row>
    <row r="86" spans="4:5">
      <c r="D86" s="197" t="s">
        <v>440</v>
      </c>
      <c r="E86" s="197" t="s">
        <v>450</v>
      </c>
    </row>
    <row r="87" spans="4:5">
      <c r="D87" s="168" t="s">
        <v>440</v>
      </c>
      <c r="E87" s="168" t="s">
        <v>451</v>
      </c>
    </row>
    <row r="88" spans="4:5">
      <c r="D88" s="196" t="s">
        <v>452</v>
      </c>
      <c r="E88" s="168" t="s">
        <v>453</v>
      </c>
    </row>
    <row r="89" spans="4:5">
      <c r="D89" s="170" t="s">
        <v>446</v>
      </c>
      <c r="E89" s="197" t="s">
        <v>454</v>
      </c>
    </row>
  </sheetData>
  <conditionalFormatting sqref="C37:C42">
    <cfRule type="cellIs" dxfId="55" priority="1" operator="lessThan">
      <formula>99.7</formula>
    </cfRule>
    <cfRule type="cellIs" dxfId="54" priority="2" operator="greaterThanOrEqual">
      <formula>99.7</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AE94E-AAFB-4DA9-8C92-44FE34893A11}">
  <sheetPr codeName="Hoja12"/>
  <dimension ref="B2:Y16"/>
  <sheetViews>
    <sheetView showGridLines="0" zoomScale="74" zoomScaleNormal="74" workbookViewId="0">
      <selection activeCell="AA33" sqref="AA33"/>
    </sheetView>
  </sheetViews>
  <sheetFormatPr defaultColWidth="11.42578125" defaultRowHeight="15"/>
  <cols>
    <col min="2" max="2" width="11.42578125" bestFit="1" customWidth="1"/>
    <col min="3" max="3" width="8.28515625" style="5" bestFit="1" customWidth="1"/>
    <col min="4" max="7" width="8" style="6" bestFit="1" customWidth="1"/>
    <col min="8" max="8" width="10" style="6" customWidth="1"/>
    <col min="9" max="14" width="7.7109375" style="6" customWidth="1"/>
    <col min="15" max="15" width="9" style="6" customWidth="1"/>
    <col min="16" max="20" width="8.42578125" customWidth="1"/>
    <col min="21" max="21" width="10.42578125" customWidth="1"/>
    <col min="22" max="22" width="12.7109375" customWidth="1"/>
    <col min="23" max="23" width="7.5703125" customWidth="1"/>
    <col min="24" max="24" width="7.85546875" customWidth="1"/>
    <col min="25" max="25" width="6.85546875" customWidth="1"/>
  </cols>
  <sheetData>
    <row r="2" spans="2:25" ht="31.5" customHeight="1">
      <c r="B2" s="344" t="s">
        <v>9</v>
      </c>
      <c r="C2" s="344" t="s">
        <v>157</v>
      </c>
      <c r="D2" s="347" t="s">
        <v>158</v>
      </c>
      <c r="E2" s="348"/>
      <c r="F2" s="348"/>
      <c r="G2" s="348"/>
      <c r="H2" s="342" t="s">
        <v>159</v>
      </c>
      <c r="I2" s="347" t="s">
        <v>356</v>
      </c>
      <c r="J2" s="348"/>
      <c r="K2" s="348"/>
      <c r="L2" s="348"/>
      <c r="M2" s="348"/>
      <c r="N2" s="348"/>
      <c r="O2" s="342" t="s">
        <v>161</v>
      </c>
      <c r="P2" s="357" t="s">
        <v>162</v>
      </c>
      <c r="Q2" s="362"/>
      <c r="R2" s="362"/>
      <c r="S2" s="362"/>
      <c r="T2" s="362"/>
      <c r="U2" s="353" t="s">
        <v>161</v>
      </c>
      <c r="V2" s="356" t="s">
        <v>42</v>
      </c>
      <c r="W2" s="356"/>
      <c r="X2" s="357" t="s">
        <v>164</v>
      </c>
      <c r="Y2" s="357"/>
    </row>
    <row r="3" spans="2:25" ht="66" customHeight="1">
      <c r="B3" s="345"/>
      <c r="C3" s="346"/>
      <c r="D3" s="15" t="s">
        <v>16</v>
      </c>
      <c r="E3" s="15" t="s">
        <v>17</v>
      </c>
      <c r="F3" s="15" t="s">
        <v>358</v>
      </c>
      <c r="G3" s="15" t="s">
        <v>359</v>
      </c>
      <c r="H3" s="343"/>
      <c r="I3" s="15" t="s">
        <v>28</v>
      </c>
      <c r="J3" s="15" t="s">
        <v>360</v>
      </c>
      <c r="K3" s="15" t="s">
        <v>29</v>
      </c>
      <c r="L3" s="15" t="s">
        <v>30</v>
      </c>
      <c r="M3" s="15" t="s">
        <v>31</v>
      </c>
      <c r="N3" s="15" t="s">
        <v>361</v>
      </c>
      <c r="O3" s="343"/>
      <c r="P3" s="11" t="s">
        <v>360</v>
      </c>
      <c r="Q3" s="11" t="s">
        <v>29</v>
      </c>
      <c r="R3" s="11" t="s">
        <v>30</v>
      </c>
      <c r="S3" s="11" t="s">
        <v>31</v>
      </c>
      <c r="T3" s="11" t="s">
        <v>361</v>
      </c>
      <c r="U3" s="354"/>
      <c r="V3" s="358" t="s">
        <v>165</v>
      </c>
      <c r="W3" s="358" t="s">
        <v>166</v>
      </c>
      <c r="X3" s="360" t="s">
        <v>165</v>
      </c>
      <c r="Y3" s="360" t="s">
        <v>166</v>
      </c>
    </row>
    <row r="4" spans="2:25" s="19" customFormat="1" ht="18.75" customHeight="1">
      <c r="B4" s="346"/>
      <c r="C4" s="17" t="s">
        <v>167</v>
      </c>
      <c r="D4" s="58">
        <v>0.91</v>
      </c>
      <c r="E4" s="58">
        <v>0</v>
      </c>
      <c r="F4" s="58">
        <v>0.08</v>
      </c>
      <c r="G4" s="58">
        <v>0.01</v>
      </c>
      <c r="H4" s="349"/>
      <c r="I4" s="58">
        <v>0.40760288543945083</v>
      </c>
      <c r="J4" s="58">
        <v>0.13018464715856912</v>
      </c>
      <c r="K4" s="58">
        <v>0.20345016707533947</v>
      </c>
      <c r="L4" s="58">
        <v>3.8579448238213548E-2</v>
      </c>
      <c r="M4" s="58">
        <v>0.21975434045899275</v>
      </c>
      <c r="N4" s="58">
        <v>4.2851162943432055E-4</v>
      </c>
      <c r="O4" s="59">
        <f>SUM(I4:N4)</f>
        <v>1</v>
      </c>
      <c r="P4" s="18"/>
      <c r="Q4" s="18"/>
      <c r="R4" s="18"/>
      <c r="S4" s="18"/>
      <c r="T4" s="18"/>
      <c r="U4" s="355"/>
      <c r="V4" s="359"/>
      <c r="W4" s="359"/>
      <c r="X4" s="361"/>
      <c r="Y4" s="361"/>
    </row>
    <row r="5" spans="2:25">
      <c r="B5" s="7" t="s">
        <v>37</v>
      </c>
      <c r="C5" s="8">
        <f>VLOOKUP(B5,Maestro!$A$7:$D$19,4,FALSE)</f>
        <v>44640</v>
      </c>
      <c r="D5" s="9">
        <f>+(($C5-(SUMIFS(disponibilidad[Tiempo falla 
(en Mintuos)],disponibilidad[JADE],"SI",disponibilidad[Mes],$B5,disponibilidad[[Tipo de afectación ]],"caÍda total",disponibilidad[Responsable Falla],"Matrix Tech",disponibilidad[MatrixRedes],"SI")))/$C5)*100</f>
        <v>100</v>
      </c>
      <c r="E5" s="9">
        <f>+(($C5-(SUMIFS(disponibilidad[Tiempo falla 
(en Mintuos)],disponibilidad[JADE],"SI",disponibilidad[Mes],$B5,disponibilidad[[Tipo de afectación ]],"caÍda total",disponibilidad[Responsable Falla],"Matrix Tech",disponibilidad[MatrixRedes],"SI")))/$C5)*100</f>
        <v>100</v>
      </c>
      <c r="F5" s="9">
        <f>+(($C5-(SUMIFS(disponibilidad[Tiempo falla 
(en Mintuos)],disponibilidad[JADE],"SI",disponibilidad[Mes],$B5,disponibilidad[[Tipo de afectación ]],"caÍda total",disponibilidad[Responsable Falla],"Matrix Tech",disponibilidad[MatrixRedes],"SI")))/$C5)*100</f>
        <v>100</v>
      </c>
      <c r="G5" s="9">
        <f>+(($C5-(SUMIFS(disponibilidad[Tiempo falla 
(en Mintuos)],disponibilidad[JADE],"SI",disponibilidad[Mes],$B5,disponibilidad[[Tipo de afectación ]],"caÍda total",disponibilidad[Responsable Falla],"Matrix Tech",disponibilidad[MatrixRedes],"SI")))/$C5)*100</f>
        <v>100</v>
      </c>
      <c r="H5" s="13">
        <f>SUMPRODUCT($D$4:$G$4,D5:G5)/$O$4</f>
        <v>100</v>
      </c>
      <c r="I5" s="9">
        <f>+(($C5-(SUMIFS(disponibilidad[Tiempo falla 
(en Mintuos)],disponibilidad[Apuestas - Chance],"SI",disponibilidad[Mes],$B5,disponibilidad[[Tipo de afectación ]],"caÍda total",disponibilidad[Responsable Falla],"Matrix Tech",disponibilidad[MatrixRedes],"SI")))/$C5)*100</f>
        <v>100</v>
      </c>
      <c r="J5" s="9" t="e">
        <f>+(($C5-(SUMIFS(disponibilidad[Tiempo falla 
(en Mintuos)],#REF!,"SI",disponibilidad[Mes],$B5,disponibilidad[[Tipo de afectación ]],"caÍda total",disponibilidad[Responsable Falla],"Matrix Tech",disponibilidad[MatrixRedes],"SI")))/$C5)*100</f>
        <v>#REF!</v>
      </c>
      <c r="K5" s="9">
        <f>+(($C5-(SUMIFS(disponibilidad[Tiempo falla 
(en Mintuos)],disponibilidad[PAGOS],"SI",disponibilidad[Mes],$B5,disponibilidad[[Tipo de afectación ]],"caÍda total",disponibilidad[Responsable Falla],"Matrix Tech",disponibilidad[MatrixRedes],"SI")))/$C5)*100</f>
        <v>100</v>
      </c>
      <c r="L5" s="9">
        <f>+(($C5-(SUMIFS(disponibilidad[Tiempo falla 
(en Mintuos)],disponibilidad[RECAUDOS],"SI",disponibilidad[Mes],$B5,disponibilidad[[Tipo de afectación ]],"caÍda total",disponibilidad[Responsable Falla],"Matrix Tech",disponibilidad[MatrixRedes],"SI")))/$C5)*100</f>
        <v>100</v>
      </c>
      <c r="M5" s="9">
        <f>+(($C5-(SUMIFS(disponibilidad[Tiempo falla 
(en Mintuos)],disponibilidad[RECARGAS],"SI",disponibilidad[Mes],$B5,disponibilidad[[Tipo de afectación ]],"caÍda total",disponibilidad[Responsable Falla],"Matrix Tech",disponibilidad[MatrixRedes],"SI")))/$C5)*100</f>
        <v>100</v>
      </c>
      <c r="N5" s="9" t="e">
        <f>+(($C5-(SUMIFS(disponibilidad[Tiempo falla 
(en Mintuos)],#REF!,"SI",disponibilidad[Mes],$B5,disponibilidad[[Tipo de afectación ]],"caÍda total",disponibilidad[Responsable Falla],"Matrix Tech",disponibilidad[MatrixRedes],"SI")))/$C5)*100</f>
        <v>#REF!</v>
      </c>
      <c r="O5" s="13" t="e">
        <f>SUMPRODUCT($I$4:$N$4,I5:N5)/$O$4</f>
        <v>#REF!</v>
      </c>
      <c r="P5" s="9" t="e">
        <f>+(($C5-(SUMIFS(disponibilidad[Tiempo falla 
(en Mintuos)],#REF!,"SI",disponibilidad[Mes],$B5,disponibilidad[[Tipo de afectación ]],"caÍda total",disponibilidad[Responsable Falla],"Aliados o terceros",disponibilidad[MatrixRedes],"SI")))/$C5)*100</f>
        <v>#REF!</v>
      </c>
      <c r="Q5" s="9">
        <f>+(($C5-(SUMIFS(disponibilidad[Tiempo falla 
(en Mintuos)],disponibilidad[PAGOS],"SI",disponibilidad[Mes],$B5,disponibilidad[[Tipo de afectación ]],"caÍda total",disponibilidad[Responsable Falla],"Aliados o terceros",disponibilidad[MatrixRedes],"SI")))/$C5)*100</f>
        <v>100</v>
      </c>
      <c r="R5" s="9">
        <f>+(($C5-(SUMIFS(disponibilidad[Tiempo falla 
(en Mintuos)],disponibilidad[RECAUDOS],"SI",disponibilidad[Mes],$B5,disponibilidad[[Tipo de afectación ]],"caÍda total",disponibilidad[Responsable Falla],"Aliados o terceros",disponibilidad[MatrixRedes],"SI")))/$C5)*100</f>
        <v>100</v>
      </c>
      <c r="S5" s="9">
        <f>+(($C5-(SUMIFS(disponibilidad[Tiempo falla 
(en Mintuos)],disponibilidad[RECARGAS],"SI",disponibilidad[Mes],$B5,disponibilidad[[Tipo de afectación ]],"caÍda total",disponibilidad[Responsable Falla],"Aliados o terceros",disponibilidad[MatrixRedes],"SI")))/$C5)*100</f>
        <v>100</v>
      </c>
      <c r="T5" s="9" t="e">
        <f>+(($C5-(SUMIFS(disponibilidad[Tiempo falla 
(en Mintuos)],#REF!,"SI",disponibilidad[Mes],$B5,disponibilidad[[Tipo de afectación ]],"caÍda total",disponibilidad[Responsable Falla],"Aliados o terceros",disponibilidad[MatrixRedes],"SI")))/$C5)*100</f>
        <v>#REF!</v>
      </c>
      <c r="U5" s="13" t="e">
        <f t="shared" ref="U5:U16" si="0">AVERAGE(P5:T5)</f>
        <v>#REF!</v>
      </c>
      <c r="V5" s="12">
        <f>SUMIFS(disponibilidad[Tiempo falla 
(en Mintuos)],disponibilidad[Mes],$B5,disponibilidad[[Tipo de afectación ]],"caÍda total",disponibilidad[Responsable Falla],"Matrix Tech",disponibilidad[MatrixRedes],"SI")</f>
        <v>0</v>
      </c>
      <c r="W5" s="14">
        <f>+$V$5/$C$5</f>
        <v>0</v>
      </c>
      <c r="X5" s="12">
        <f>SUMIFS(disponibilidad[Tiempo falla 
(en Mintuos)],disponibilidad[Mes],$B5,disponibilidad[[Tipo de afectación ]],"caÍda total",disponibilidad[Responsable Falla],"Aliados o terceros",disponibilidad[Acertemos - Cauca],"SI")</f>
        <v>0</v>
      </c>
      <c r="Y5" s="14">
        <f t="shared" ref="Y5:Y16" si="1">+$X$5/$C$5</f>
        <v>0</v>
      </c>
    </row>
    <row r="6" spans="2:25">
      <c r="B6" s="10" t="s">
        <v>91</v>
      </c>
      <c r="C6" s="8">
        <f>VLOOKUP(B6,Maestro!$A$7:$D$19,4,FALSE)</f>
        <v>41760</v>
      </c>
      <c r="D6" s="9">
        <f>+(($C6-(SUMIFS(disponibilidad[Tiempo falla 
(en Mintuos)],disponibilidad[JADE],"SI",disponibilidad[Mes],$B6,disponibilidad[[Tipo de afectación ]],"caÍda total",disponibilidad[Responsable Falla],"Matrix Tech",disponibilidad[MatrixRedes],"SI")))/$C6)*100</f>
        <v>100</v>
      </c>
      <c r="E6" s="9">
        <f>+(($C6-(SUMIFS(disponibilidad[Tiempo falla 
(en Mintuos)],disponibilidad[JADE],"SI",disponibilidad[Mes],$B6,disponibilidad[[Tipo de afectación ]],"caÍda total",disponibilidad[Responsable Falla],"Matrix Tech",disponibilidad[MatrixRedes],"SI")))/$C6)*100</f>
        <v>100</v>
      </c>
      <c r="F6" s="9">
        <f>+(($C6-(SUMIFS(disponibilidad[Tiempo falla 
(en Mintuos)],disponibilidad[JADE],"SI",disponibilidad[Mes],$B6,disponibilidad[[Tipo de afectación ]],"caÍda total",disponibilidad[Responsable Falla],"Matrix Tech",disponibilidad[MatrixRedes],"SI")))/$C6)*100</f>
        <v>100</v>
      </c>
      <c r="G6" s="9">
        <f>+(($C6-(SUMIFS(disponibilidad[Tiempo falla 
(en Mintuos)],disponibilidad[JADE],"SI",disponibilidad[Mes],$B6,disponibilidad[[Tipo de afectación ]],"caÍda total",disponibilidad[Responsable Falla],"Matrix Tech",disponibilidad[MatrixRedes],"SI")))/$C6)*100</f>
        <v>100</v>
      </c>
      <c r="H6" s="13">
        <f t="shared" ref="H6:H16" si="2">SUMPRODUCT($D$4:$G$4,D6:G6)/$O$4</f>
        <v>100</v>
      </c>
      <c r="I6" s="9">
        <f>+(($C6-(SUMIFS(disponibilidad[Tiempo falla 
(en Mintuos)],disponibilidad[Apuestas - Chance],"SI",disponibilidad[Mes],$B6,disponibilidad[[Tipo de afectación ]],"caÍda total",disponibilidad[Responsable Falla],"Matrix Tech",disponibilidad[MatrixRedes],"SI")))/$C6)*100</f>
        <v>100</v>
      </c>
      <c r="J6" s="9" t="e">
        <f>+(($C6-(SUMIFS(disponibilidad[Tiempo falla 
(en Mintuos)],#REF!,"SI",disponibilidad[Mes],$B6,disponibilidad[[Tipo de afectación ]],"caÍda total",disponibilidad[Responsable Falla],"Matrix Tech",disponibilidad[MatrixRedes],"SI")))/$C6)*100</f>
        <v>#REF!</v>
      </c>
      <c r="K6" s="9">
        <f>+(($C6-(SUMIFS(disponibilidad[Tiempo falla 
(en Mintuos)],disponibilidad[PAGOS],"SI",disponibilidad[Mes],$B6,disponibilidad[[Tipo de afectación ]],"caÍda total",disponibilidad[Responsable Falla],"Matrix Tech",disponibilidad[MatrixRedes],"SI")))/$C6)*100</f>
        <v>100</v>
      </c>
      <c r="L6" s="9">
        <f>+(($C6-(SUMIFS(disponibilidad[Tiempo falla 
(en Mintuos)],disponibilidad[RECAUDOS],"SI",disponibilidad[Mes],$B6,disponibilidad[[Tipo de afectación ]],"caÍda total",disponibilidad[Responsable Falla],"Matrix Tech",disponibilidad[MatrixRedes],"SI")))/$C6)*100</f>
        <v>100</v>
      </c>
      <c r="M6" s="9">
        <f>+(($C6-(SUMIFS(disponibilidad[Tiempo falla 
(en Mintuos)],disponibilidad[RECARGAS],"SI",disponibilidad[Mes],$B6,disponibilidad[[Tipo de afectación ]],"caÍda total",disponibilidad[Responsable Falla],"Matrix Tech",disponibilidad[MatrixRedes],"SI")))/$C6)*100</f>
        <v>100</v>
      </c>
      <c r="N6" s="9" t="e">
        <f>+(($C6-(SUMIFS(disponibilidad[Tiempo falla 
(en Mintuos)],#REF!,"SI",disponibilidad[Mes],$B6,disponibilidad[[Tipo de afectación ]],"caÍda total",disponibilidad[Responsable Falla],"Matrix Tech",disponibilidad[MatrixRedes],"SI")))/$C6)*100</f>
        <v>#REF!</v>
      </c>
      <c r="O6" s="13" t="e">
        <f t="shared" ref="O6:O16" si="3">SUMPRODUCT($I$4:$N$4,I6:N6)/$O$4</f>
        <v>#REF!</v>
      </c>
      <c r="P6" s="9" t="e">
        <f>+(($C6-(SUMIFS(disponibilidad[Tiempo falla 
(en Mintuos)],#REF!,"SI",disponibilidad[Mes],$B6,disponibilidad[[Tipo de afectación ]],"caÍda total",disponibilidad[Responsable Falla],"Aliados o terceros",disponibilidad[MatrixRedes],"SI")))/$C6)*100</f>
        <v>#REF!</v>
      </c>
      <c r="Q6" s="9">
        <f>+(($C6-(SUMIFS(disponibilidad[Tiempo falla 
(en Mintuos)],disponibilidad[PAGOS],"SI",disponibilidad[Mes],$B6,disponibilidad[[Tipo de afectación ]],"caÍda total",disponibilidad[Responsable Falla],"Aliados o terceros",disponibilidad[MatrixRedes],"SI")))/$C6)*100</f>
        <v>100</v>
      </c>
      <c r="R6" s="9">
        <f>+(($C6-(SUMIFS(disponibilidad[Tiempo falla 
(en Mintuos)],disponibilidad[RECAUDOS],"SI",disponibilidad[Mes],$B6,disponibilidad[[Tipo de afectación ]],"caÍda total",disponibilidad[Responsable Falla],"Aliados o terceros",disponibilidad[MatrixRedes],"SI")))/$C6)*100</f>
        <v>100</v>
      </c>
      <c r="S6" s="9">
        <f>+(($C6-(SUMIFS(disponibilidad[Tiempo falla 
(en Mintuos)],disponibilidad[RECARGAS],"SI",disponibilidad[Mes],$B6,disponibilidad[[Tipo de afectación ]],"caÍda total",disponibilidad[Responsable Falla],"Aliados o terceros",disponibilidad[MatrixRedes],"SI")))/$C6)*100</f>
        <v>100</v>
      </c>
      <c r="T6" s="9" t="e">
        <f>+(($C6-(SUMIFS(disponibilidad[Tiempo falla 
(en Mintuos)],#REF!,"SI",disponibilidad[Mes],$B6,disponibilidad[[Tipo de afectación ]],"caÍda total",disponibilidad[Responsable Falla],"Aliados o terceros",disponibilidad[MatrixRedes],"SI")))/$C6)*100</f>
        <v>#REF!</v>
      </c>
      <c r="U6" s="13" t="e">
        <f t="shared" si="0"/>
        <v>#REF!</v>
      </c>
      <c r="V6" s="12">
        <f>SUMIFS(disponibilidad[Tiempo falla 
(en Mintuos)],disponibilidad[Mes],$B6,disponibilidad[[Tipo de afectación ]],"caÍda total",disponibilidad[Responsable Falla],"Matrix Tech",disponibilidad[MatrixRedes],"SI")</f>
        <v>0</v>
      </c>
      <c r="W6" s="14">
        <f t="shared" ref="W6:W16" si="4">+V6/C6</f>
        <v>0</v>
      </c>
      <c r="X6" s="12">
        <f>SUMIFS(disponibilidad[Tiempo falla 
(en Mintuos)],disponibilidad[Mes],$B6,disponibilidad[[Tipo de afectación ]],"caÍda total",disponibilidad[Responsable Falla],"Aliados o terceros",disponibilidad[Acertemos - Cauca],"SI")</f>
        <v>0</v>
      </c>
      <c r="Y6" s="14">
        <f t="shared" si="1"/>
        <v>0</v>
      </c>
    </row>
    <row r="7" spans="2:25">
      <c r="B7" s="10" t="s">
        <v>148</v>
      </c>
      <c r="C7" s="8">
        <f>VLOOKUP(B7,Maestro!$A$7:$D$19,4,FALSE)</f>
        <v>44640</v>
      </c>
      <c r="D7" s="9">
        <f>+(($C7-(SUMIFS(disponibilidad[Tiempo falla 
(en Mintuos)],disponibilidad[JADE],"SI",disponibilidad[Mes],$B7,disponibilidad[[Tipo de afectación ]],"caÍda total",disponibilidad[Responsable Falla],"Matrix Tech",disponibilidad[MatrixRedes],"SI")))/$C7)*100</f>
        <v>100</v>
      </c>
      <c r="E7" s="9">
        <f>+(($C7-(SUMIFS(disponibilidad[Tiempo falla 
(en Mintuos)],disponibilidad[JADE],"SI",disponibilidad[Mes],$B7,disponibilidad[[Tipo de afectación ]],"caÍda total",disponibilidad[Responsable Falla],"Matrix Tech",disponibilidad[MatrixRedes],"SI")))/$C7)*100</f>
        <v>100</v>
      </c>
      <c r="F7" s="9">
        <f>+(($C7-(SUMIFS(disponibilidad[Tiempo falla 
(en Mintuos)],disponibilidad[JADE],"SI",disponibilidad[Mes],$B7,disponibilidad[[Tipo de afectación ]],"caÍda total",disponibilidad[Responsable Falla],"Matrix Tech",disponibilidad[MatrixRedes],"SI")))/$C7)*100</f>
        <v>100</v>
      </c>
      <c r="G7" s="9">
        <f>+(($C7-(SUMIFS(disponibilidad[Tiempo falla 
(en Mintuos)],disponibilidad[JADE],"SI",disponibilidad[Mes],$B7,disponibilidad[[Tipo de afectación ]],"caÍda total",disponibilidad[Responsable Falla],"Matrix Tech",disponibilidad[MatrixRedes],"SI")))/$C7)*100</f>
        <v>100</v>
      </c>
      <c r="H7" s="13">
        <f t="shared" si="2"/>
        <v>100</v>
      </c>
      <c r="I7" s="9">
        <f>+(($C7-(SUMIFS(disponibilidad[Tiempo falla 
(en Mintuos)],disponibilidad[Apuestas - Chance],"SI",disponibilidad[Mes],$B7,disponibilidad[[Tipo de afectación ]],"caÍda total",disponibilidad[Responsable Falla],"Matrix Tech",disponibilidad[MatrixRedes],"SI")))/$C7)*100</f>
        <v>100</v>
      </c>
      <c r="J7" s="9" t="e">
        <f>+(($C7-(SUMIFS(disponibilidad[Tiempo falla 
(en Mintuos)],#REF!,"SI",disponibilidad[Mes],$B7,disponibilidad[[Tipo de afectación ]],"caÍda total",disponibilidad[Responsable Falla],"Matrix Tech",disponibilidad[MatrixRedes],"SI")))/$C7)*100</f>
        <v>#REF!</v>
      </c>
      <c r="K7" s="9">
        <f>+(($C7-(SUMIFS(disponibilidad[Tiempo falla 
(en Mintuos)],disponibilidad[PAGOS],"SI",disponibilidad[Mes],$B7,disponibilidad[[Tipo de afectación ]],"caÍda total",disponibilidad[Responsable Falla],"Matrix Tech",disponibilidad[MatrixRedes],"SI")))/$C7)*100</f>
        <v>100</v>
      </c>
      <c r="L7" s="9">
        <f>+(($C7-(SUMIFS(disponibilidad[Tiempo falla 
(en Mintuos)],disponibilidad[RECAUDOS],"SI",disponibilidad[Mes],$B7,disponibilidad[[Tipo de afectación ]],"caÍda total",disponibilidad[Responsable Falla],"Matrix Tech",disponibilidad[MatrixRedes],"SI")))/$C7)*100</f>
        <v>100</v>
      </c>
      <c r="M7" s="9">
        <f>+(($C7-(SUMIFS(disponibilidad[Tiempo falla 
(en Mintuos)],disponibilidad[RECARGAS],"SI",disponibilidad[Mes],$B7,disponibilidad[[Tipo de afectación ]],"caÍda total",disponibilidad[Responsable Falla],"Matrix Tech",disponibilidad[MatrixRedes],"SI")))/$C7)*100</f>
        <v>100</v>
      </c>
      <c r="N7" s="9" t="e">
        <f>+(($C7-(SUMIFS(disponibilidad[Tiempo falla 
(en Mintuos)],#REF!,"SI",disponibilidad[Mes],$B7,disponibilidad[[Tipo de afectación ]],"caÍda total",disponibilidad[Responsable Falla],"Matrix Tech",disponibilidad[MatrixRedes],"SI")))/$C7)*100</f>
        <v>#REF!</v>
      </c>
      <c r="O7" s="13" t="e">
        <f t="shared" si="3"/>
        <v>#REF!</v>
      </c>
      <c r="P7" s="9" t="e">
        <f>+(($C7-(SUMIFS(disponibilidad[Tiempo falla 
(en Mintuos)],#REF!,"SI",disponibilidad[Mes],$B7,disponibilidad[[Tipo de afectación ]],"caÍda total",disponibilidad[Responsable Falla],"Aliados o terceros",disponibilidad[MatrixRedes],"SI")))/$C7)*100</f>
        <v>#REF!</v>
      </c>
      <c r="Q7" s="9">
        <f>+(($C7-(SUMIFS(disponibilidad[Tiempo falla 
(en Mintuos)],disponibilidad[PAGOS],"SI",disponibilidad[Mes],$B7,disponibilidad[[Tipo de afectación ]],"caÍda total",disponibilidad[Responsable Falla],"Aliados o terceros",disponibilidad[MatrixRedes],"SI")))/$C7)*100</f>
        <v>100</v>
      </c>
      <c r="R7" s="9">
        <f>+(($C7-(SUMIFS(disponibilidad[Tiempo falla 
(en Mintuos)],disponibilidad[RECAUDOS],"SI",disponibilidad[Mes],$B7,disponibilidad[[Tipo de afectación ]],"caÍda total",disponibilidad[Responsable Falla],"Aliados o terceros",disponibilidad[MatrixRedes],"SI")))/$C7)*100</f>
        <v>100</v>
      </c>
      <c r="S7" s="9">
        <f>+(($C7-(SUMIFS(disponibilidad[Tiempo falla 
(en Mintuos)],disponibilidad[RECARGAS],"SI",disponibilidad[Mes],$B7,disponibilidad[[Tipo de afectación ]],"caÍda total",disponibilidad[Responsable Falla],"Aliados o terceros",disponibilidad[MatrixRedes],"SI")))/$C7)*100</f>
        <v>100</v>
      </c>
      <c r="T7" s="9" t="e">
        <f>+(($C7-(SUMIFS(disponibilidad[Tiempo falla 
(en Mintuos)],#REF!,"SI",disponibilidad[Mes],$B7,disponibilidad[[Tipo de afectación ]],"caÍda total",disponibilidad[Responsable Falla],"Aliados o terceros",disponibilidad[MatrixRedes],"SI")))/$C7)*100</f>
        <v>#REF!</v>
      </c>
      <c r="U7" s="13" t="e">
        <f t="shared" si="0"/>
        <v>#REF!</v>
      </c>
      <c r="V7" s="12">
        <f>SUMIFS(disponibilidad[Tiempo falla 
(en Mintuos)],disponibilidad[Mes],$B7,disponibilidad[[Tipo de afectación ]],"caÍda total",disponibilidad[Responsable Falla],"Matrix Tech",disponibilidad[MatrixRedes],"SI")</f>
        <v>0</v>
      </c>
      <c r="W7" s="14">
        <f t="shared" si="4"/>
        <v>0</v>
      </c>
      <c r="X7" s="12">
        <f>SUMIFS(disponibilidad[Tiempo falla 
(en Mintuos)],disponibilidad[Mes],$B7,disponibilidad[[Tipo de afectación ]],"caÍda total",disponibilidad[Responsable Falla],"Aliados o terceros",disponibilidad[Acertemos - Cauca],"SI")</f>
        <v>0</v>
      </c>
      <c r="Y7" s="14">
        <f t="shared" si="1"/>
        <v>0</v>
      </c>
    </row>
    <row r="8" spans="2:25">
      <c r="B8" s="10" t="s">
        <v>170</v>
      </c>
      <c r="C8" s="8">
        <f>VLOOKUP(B8,Maestro!$A$7:$D$19,4,FALSE)</f>
        <v>43200</v>
      </c>
      <c r="D8" s="9">
        <f>+(($C8-(SUMIFS(disponibilidad[Tiempo falla 
(en Mintuos)],disponibilidad[JADE],"SI",disponibilidad[Mes],$B8,disponibilidad[[Tipo de afectación ]],"caÍda total",disponibilidad[Responsable Falla],"Matrix Tech",disponibilidad[MatrixRedes],"SI")))/$C8)*100</f>
        <v>100</v>
      </c>
      <c r="E8" s="9">
        <f>+(($C8-(SUMIFS(disponibilidad[Tiempo falla 
(en Mintuos)],disponibilidad[JADE],"SI",disponibilidad[Mes],$B8,disponibilidad[[Tipo de afectación ]],"caÍda total",disponibilidad[Responsable Falla],"Matrix Tech",disponibilidad[MatrixRedes],"SI")))/$C8)*100</f>
        <v>100</v>
      </c>
      <c r="F8" s="9">
        <f>+(($C8-(SUMIFS(disponibilidad[Tiempo falla 
(en Mintuos)],disponibilidad[JADE],"SI",disponibilidad[Mes],$B8,disponibilidad[[Tipo de afectación ]],"caÍda total",disponibilidad[Responsable Falla],"Matrix Tech",disponibilidad[MatrixRedes],"SI")))/$C8)*100</f>
        <v>100</v>
      </c>
      <c r="G8" s="9">
        <f>+(($C8-(SUMIFS(disponibilidad[Tiempo falla 
(en Mintuos)],disponibilidad[JADE],"SI",disponibilidad[Mes],$B8,disponibilidad[[Tipo de afectación ]],"caÍda total",disponibilidad[Responsable Falla],"Matrix Tech",disponibilidad[MatrixRedes],"SI")))/$C8)*100</f>
        <v>100</v>
      </c>
      <c r="H8" s="13">
        <f t="shared" si="2"/>
        <v>100</v>
      </c>
      <c r="I8" s="9">
        <f>+(($C8-(SUMIFS(disponibilidad[Tiempo falla 
(en Mintuos)],disponibilidad[Apuestas - Chance],"SI",disponibilidad[Mes],$B8,disponibilidad[[Tipo de afectación ]],"caÍda total",disponibilidad[Responsable Falla],"Matrix Tech",disponibilidad[MatrixRedes],"SI")))/$C8)*100</f>
        <v>100</v>
      </c>
      <c r="J8" s="9" t="e">
        <f>+(($C8-(SUMIFS(disponibilidad[Tiempo falla 
(en Mintuos)],#REF!,"SI",disponibilidad[Mes],$B8,disponibilidad[[Tipo de afectación ]],"caÍda total",disponibilidad[Responsable Falla],"Matrix Tech",disponibilidad[MatrixRedes],"SI")))/$C8)*100</f>
        <v>#REF!</v>
      </c>
      <c r="K8" s="9">
        <f>+(($C8-(SUMIFS(disponibilidad[Tiempo falla 
(en Mintuos)],disponibilidad[PAGOS],"SI",disponibilidad[Mes],$B8,disponibilidad[[Tipo de afectación ]],"caÍda total",disponibilidad[Responsable Falla],"Matrix Tech",disponibilidad[MatrixRedes],"SI")))/$C8)*100</f>
        <v>100</v>
      </c>
      <c r="L8" s="9">
        <f>+(($C8-(SUMIFS(disponibilidad[Tiempo falla 
(en Mintuos)],disponibilidad[RECAUDOS],"SI",disponibilidad[Mes],$B8,disponibilidad[[Tipo de afectación ]],"caÍda total",disponibilidad[Responsable Falla],"Matrix Tech",disponibilidad[MatrixRedes],"SI")))/$C8)*100</f>
        <v>100</v>
      </c>
      <c r="M8" s="9">
        <f>+(($C8-(SUMIFS(disponibilidad[Tiempo falla 
(en Mintuos)],disponibilidad[RECARGAS],"SI",disponibilidad[Mes],$B8,disponibilidad[[Tipo de afectación ]],"caÍda total",disponibilidad[Responsable Falla],"Matrix Tech",disponibilidad[MatrixRedes],"SI")))/$C8)*100</f>
        <v>100</v>
      </c>
      <c r="N8" s="9" t="e">
        <f>+(($C8-(SUMIFS(disponibilidad[Tiempo falla 
(en Mintuos)],#REF!,"SI",disponibilidad[Mes],$B8,disponibilidad[[Tipo de afectación ]],"caÍda total",disponibilidad[Responsable Falla],"Matrix Tech",disponibilidad[MatrixRedes],"SI")))/$C8)*100</f>
        <v>#REF!</v>
      </c>
      <c r="O8" s="13" t="e">
        <f t="shared" si="3"/>
        <v>#REF!</v>
      </c>
      <c r="P8" s="9" t="e">
        <f>+(($C8-(SUMIFS(disponibilidad[Tiempo falla 
(en Mintuos)],#REF!,"SI",disponibilidad[Mes],$B8,disponibilidad[[Tipo de afectación ]],"caÍda total",disponibilidad[Responsable Falla],"Aliados o terceros",disponibilidad[MatrixRedes],"SI")))/$C8)*100</f>
        <v>#REF!</v>
      </c>
      <c r="Q8" s="9">
        <f>+(($C8-(SUMIFS(disponibilidad[Tiempo falla 
(en Mintuos)],disponibilidad[PAGOS],"SI",disponibilidad[Mes],$B8,disponibilidad[[Tipo de afectación ]],"caÍda total",disponibilidad[Responsable Falla],"Aliados o terceros",disponibilidad[MatrixRedes],"SI")))/$C8)*100</f>
        <v>100</v>
      </c>
      <c r="R8" s="9">
        <f>+(($C8-(SUMIFS(disponibilidad[Tiempo falla 
(en Mintuos)],disponibilidad[RECAUDOS],"SI",disponibilidad[Mes],$B8,disponibilidad[[Tipo de afectación ]],"caÍda total",disponibilidad[Responsable Falla],"Aliados o terceros",disponibilidad[MatrixRedes],"SI")))/$C8)*100</f>
        <v>100</v>
      </c>
      <c r="S8" s="9">
        <f>+(($C8-(SUMIFS(disponibilidad[Tiempo falla 
(en Mintuos)],disponibilidad[RECARGAS],"SI",disponibilidad[Mes],$B8,disponibilidad[[Tipo de afectación ]],"caÍda total",disponibilidad[Responsable Falla],"Aliados o terceros",disponibilidad[MatrixRedes],"SI")))/$C8)*100</f>
        <v>100</v>
      </c>
      <c r="T8" s="9" t="e">
        <f>+(($C8-(SUMIFS(disponibilidad[Tiempo falla 
(en Mintuos)],#REF!,"SI",disponibilidad[Mes],$B8,disponibilidad[[Tipo de afectación ]],"caÍda total",disponibilidad[Responsable Falla],"Aliados o terceros",disponibilidad[MatrixRedes],"SI")))/$C8)*100</f>
        <v>#REF!</v>
      </c>
      <c r="U8" s="13" t="e">
        <f t="shared" si="0"/>
        <v>#REF!</v>
      </c>
      <c r="V8" s="12">
        <f>SUMIFS(disponibilidad[Tiempo falla 
(en Mintuos)],disponibilidad[Mes],$B8,disponibilidad[[Tipo de afectación ]],"caÍda total",disponibilidad[Responsable Falla],"Matrix Tech",disponibilidad[MatrixRedes],"SI")</f>
        <v>0</v>
      </c>
      <c r="W8" s="14">
        <f t="shared" si="4"/>
        <v>0</v>
      </c>
      <c r="X8" s="12">
        <f>SUMIFS(disponibilidad[Tiempo falla 
(en Mintuos)],disponibilidad[Mes],$B8,disponibilidad[[Tipo de afectación ]],"caÍda total",disponibilidad[Responsable Falla],"Aliados o terceros",disponibilidad[Acertemos - Cauca],"SI")</f>
        <v>0</v>
      </c>
      <c r="Y8" s="14">
        <f t="shared" si="1"/>
        <v>0</v>
      </c>
    </row>
    <row r="9" spans="2:25">
      <c r="B9" s="10" t="s">
        <v>169</v>
      </c>
      <c r="C9" s="8">
        <f>VLOOKUP(B9,Maestro!$A$7:$D$19,4,FALSE)</f>
        <v>44640</v>
      </c>
      <c r="D9" s="9">
        <f>+(($C9-(SUMIFS(disponibilidad[Tiempo falla 
(en Mintuos)],disponibilidad[JADE],"SI",disponibilidad[Mes],$B9,disponibilidad[[Tipo de afectación ]],"caÍda total",disponibilidad[Responsable Falla],"Matrix Tech",disponibilidad[MatrixRedes],"SI")))/$C9)*100</f>
        <v>100</v>
      </c>
      <c r="E9" s="9">
        <f>+(($C9-(SUMIFS(disponibilidad[Tiempo falla 
(en Mintuos)],disponibilidad[JADE],"SI",disponibilidad[Mes],$B9,disponibilidad[[Tipo de afectación ]],"caÍda total",disponibilidad[Responsable Falla],"Matrix Tech",disponibilidad[MatrixRedes],"SI")))/$C9)*100</f>
        <v>100</v>
      </c>
      <c r="F9" s="9">
        <f>+(($C9-(SUMIFS(disponibilidad[Tiempo falla 
(en Mintuos)],disponibilidad[JADE],"SI",disponibilidad[Mes],$B9,disponibilidad[[Tipo de afectación ]],"caÍda total",disponibilidad[Responsable Falla],"Matrix Tech",disponibilidad[MatrixRedes],"SI")))/$C9)*100</f>
        <v>100</v>
      </c>
      <c r="G9" s="9">
        <f>+(($C9-(SUMIFS(disponibilidad[Tiempo falla 
(en Mintuos)],disponibilidad[JADE],"SI",disponibilidad[Mes],$B9,disponibilidad[[Tipo de afectación ]],"caÍda total",disponibilidad[Responsable Falla],"Matrix Tech",disponibilidad[MatrixRedes],"SI")))/$C9)*100</f>
        <v>100</v>
      </c>
      <c r="H9" s="13">
        <f t="shared" si="2"/>
        <v>100</v>
      </c>
      <c r="I9" s="9">
        <f>+(($C9-(SUMIFS(disponibilidad[Tiempo falla 
(en Mintuos)],disponibilidad[Apuestas - Chance],"SI",disponibilidad[Mes],$B9,disponibilidad[[Tipo de afectación ]],"caÍda total",disponibilidad[Responsable Falla],"Matrix Tech",disponibilidad[MatrixRedes],"SI")))/$C9)*100</f>
        <v>100</v>
      </c>
      <c r="J9" s="9" t="e">
        <f>+(($C9-(SUMIFS(disponibilidad[Tiempo falla 
(en Mintuos)],#REF!,"SI",disponibilidad[Mes],$B9,disponibilidad[[Tipo de afectación ]],"caÍda total",disponibilidad[Responsable Falla],"Matrix Tech",disponibilidad[MatrixRedes],"SI")))/$C9)*100</f>
        <v>#REF!</v>
      </c>
      <c r="K9" s="9">
        <f>+(($C9-(SUMIFS(disponibilidad[Tiempo falla 
(en Mintuos)],disponibilidad[PAGOS],"SI",disponibilidad[Mes],$B9,disponibilidad[[Tipo de afectación ]],"caÍda total",disponibilidad[Responsable Falla],"Matrix Tech",disponibilidad[MatrixRedes],"SI")))/$C9)*100</f>
        <v>100</v>
      </c>
      <c r="L9" s="9">
        <f>+(($C9-(SUMIFS(disponibilidad[Tiempo falla 
(en Mintuos)],disponibilidad[RECAUDOS],"SI",disponibilidad[Mes],$B9,disponibilidad[[Tipo de afectación ]],"caÍda total",disponibilidad[Responsable Falla],"Matrix Tech",disponibilidad[MatrixRedes],"SI")))/$C9)*100</f>
        <v>100</v>
      </c>
      <c r="M9" s="9">
        <f>+(($C9-(SUMIFS(disponibilidad[Tiempo falla 
(en Mintuos)],disponibilidad[RECARGAS],"SI",disponibilidad[Mes],$B9,disponibilidad[[Tipo de afectación ]],"caÍda total",disponibilidad[Responsable Falla],"Matrix Tech",disponibilidad[MatrixRedes],"SI")))/$C9)*100</f>
        <v>100</v>
      </c>
      <c r="N9" s="9" t="e">
        <f>+(($C9-(SUMIFS(disponibilidad[Tiempo falla 
(en Mintuos)],#REF!,"SI",disponibilidad[Mes],$B9,disponibilidad[[Tipo de afectación ]],"caÍda total",disponibilidad[Responsable Falla],"Matrix Tech",disponibilidad[MatrixRedes],"SI")))/$C9)*100</f>
        <v>#REF!</v>
      </c>
      <c r="O9" s="13" t="e">
        <f t="shared" si="3"/>
        <v>#REF!</v>
      </c>
      <c r="P9" s="9" t="e">
        <f>+(($C9-(SUMIFS(disponibilidad[Tiempo falla 
(en Mintuos)],#REF!,"SI",disponibilidad[Mes],$B9,disponibilidad[[Tipo de afectación ]],"caÍda total",disponibilidad[Responsable Falla],"Aliados o terceros",disponibilidad[MatrixRedes],"SI")))/$C9)*100</f>
        <v>#REF!</v>
      </c>
      <c r="Q9" s="9">
        <f>+(($C9-(SUMIFS(disponibilidad[Tiempo falla 
(en Mintuos)],disponibilidad[PAGOS],"SI",disponibilidad[Mes],$B9,disponibilidad[[Tipo de afectación ]],"caÍda total",disponibilidad[Responsable Falla],"Aliados o terceros",disponibilidad[MatrixRedes],"SI")))/$C9)*100</f>
        <v>100</v>
      </c>
      <c r="R9" s="9">
        <f>+(($C9-(SUMIFS(disponibilidad[Tiempo falla 
(en Mintuos)],disponibilidad[RECAUDOS],"SI",disponibilidad[Mes],$B9,disponibilidad[[Tipo de afectación ]],"caÍda total",disponibilidad[Responsable Falla],"Aliados o terceros",disponibilidad[MatrixRedes],"SI")))/$C9)*100</f>
        <v>100</v>
      </c>
      <c r="S9" s="9">
        <f>+(($C9-(SUMIFS(disponibilidad[Tiempo falla 
(en Mintuos)],disponibilidad[RECARGAS],"SI",disponibilidad[Mes],$B9,disponibilidad[[Tipo de afectación ]],"caÍda total",disponibilidad[Responsable Falla],"Aliados o terceros",disponibilidad[MatrixRedes],"SI")))/$C9)*100</f>
        <v>100</v>
      </c>
      <c r="T9" s="9" t="e">
        <f>+(($C9-(SUMIFS(disponibilidad[Tiempo falla 
(en Mintuos)],#REF!,"SI",disponibilidad[Mes],$B9,disponibilidad[[Tipo de afectación ]],"caÍda total",disponibilidad[Responsable Falla],"Aliados o terceros",disponibilidad[MatrixRedes],"SI")))/$C9)*100</f>
        <v>#REF!</v>
      </c>
      <c r="U9" s="13" t="e">
        <f t="shared" si="0"/>
        <v>#REF!</v>
      </c>
      <c r="V9" s="12">
        <f>SUMIFS(disponibilidad[Tiempo falla 
(en Mintuos)],disponibilidad[Mes],$B9,disponibilidad[[Tipo de afectación ]],"caÍda total",disponibilidad[Responsable Falla],"Matrix Tech",disponibilidad[MatrixRedes],"SI")</f>
        <v>0</v>
      </c>
      <c r="W9" s="14">
        <f t="shared" si="4"/>
        <v>0</v>
      </c>
      <c r="X9" s="12">
        <f>SUMIFS(disponibilidad[Tiempo falla 
(en Mintuos)],disponibilidad[Mes],$B9,disponibilidad[[Tipo de afectación ]],"caÍda total",disponibilidad[Responsable Falla],"Aliados o terceros",disponibilidad[Acertemos - Cauca],"SI")</f>
        <v>0</v>
      </c>
      <c r="Y9" s="14">
        <f t="shared" si="1"/>
        <v>0</v>
      </c>
    </row>
    <row r="10" spans="2:25">
      <c r="B10" s="10" t="s">
        <v>172</v>
      </c>
      <c r="C10" s="8">
        <f>VLOOKUP(B10,Maestro!$A$7:$D$19,4,FALSE)</f>
        <v>43200</v>
      </c>
      <c r="D10" s="9">
        <f>+(($C10-(SUMIFS(disponibilidad[Tiempo falla 
(en Mintuos)],disponibilidad[JADE],"SI",disponibilidad[Mes],$B10,disponibilidad[[Tipo de afectación ]],"caÍda total",disponibilidad[Responsable Falla],"Matrix Tech",disponibilidad[MatrixRedes],"SI")))/$C10)*100</f>
        <v>100</v>
      </c>
      <c r="E10" s="9">
        <f>+(($C10-(SUMIFS(disponibilidad[Tiempo falla 
(en Mintuos)],disponibilidad[JADE],"SI",disponibilidad[Mes],$B10,disponibilidad[[Tipo de afectación ]],"caÍda total",disponibilidad[Responsable Falla],"Matrix Tech",disponibilidad[MatrixRedes],"SI")))/$C10)*100</f>
        <v>100</v>
      </c>
      <c r="F10" s="9">
        <f>+(($C10-(SUMIFS(disponibilidad[Tiempo falla 
(en Mintuos)],disponibilidad[JADE],"SI",disponibilidad[Mes],$B10,disponibilidad[[Tipo de afectación ]],"caÍda total",disponibilidad[Responsable Falla],"Matrix Tech",disponibilidad[MatrixRedes],"SI")))/$C10)*100</f>
        <v>100</v>
      </c>
      <c r="G10" s="9">
        <f>+(($C10-(SUMIFS(disponibilidad[Tiempo falla 
(en Mintuos)],disponibilidad[JADE],"SI",disponibilidad[Mes],$B10,disponibilidad[[Tipo de afectación ]],"caÍda total",disponibilidad[Responsable Falla],"Matrix Tech",disponibilidad[MatrixRedes],"SI")))/$C10)*100</f>
        <v>100</v>
      </c>
      <c r="H10" s="13">
        <f t="shared" si="2"/>
        <v>100</v>
      </c>
      <c r="I10" s="9">
        <f>+(($C10-(SUMIFS(disponibilidad[Tiempo falla 
(en Mintuos)],disponibilidad[Apuestas - Chance],"SI",disponibilidad[Mes],$B10,disponibilidad[[Tipo de afectación ]],"caÍda total",disponibilidad[Responsable Falla],"Matrix Tech",disponibilidad[MatrixRedes],"SI")))/$C10)*100</f>
        <v>100</v>
      </c>
      <c r="J10" s="9" t="e">
        <f>+(($C10-(SUMIFS(disponibilidad[Tiempo falla 
(en Mintuos)],#REF!,"SI",disponibilidad[Mes],$B10,disponibilidad[[Tipo de afectación ]],"caÍda total",disponibilidad[Responsable Falla],"Matrix Tech",disponibilidad[MatrixRedes],"SI")))/$C10)*100</f>
        <v>#REF!</v>
      </c>
      <c r="K10" s="9">
        <f>+(($C10-(SUMIFS(disponibilidad[Tiempo falla 
(en Mintuos)],disponibilidad[PAGOS],"SI",disponibilidad[Mes],$B10,disponibilidad[[Tipo de afectación ]],"caÍda total",disponibilidad[Responsable Falla],"Matrix Tech",disponibilidad[MatrixRedes],"SI")))/$C10)*100</f>
        <v>100</v>
      </c>
      <c r="L10" s="9">
        <f>+(($C10-(SUMIFS(disponibilidad[Tiempo falla 
(en Mintuos)],disponibilidad[RECAUDOS],"SI",disponibilidad[Mes],$B10,disponibilidad[[Tipo de afectación ]],"caÍda total",disponibilidad[Responsable Falla],"Matrix Tech",disponibilidad[MatrixRedes],"SI")))/$C10)*100</f>
        <v>100</v>
      </c>
      <c r="M10" s="9">
        <f>+(($C10-(SUMIFS(disponibilidad[Tiempo falla 
(en Mintuos)],disponibilidad[RECARGAS],"SI",disponibilidad[Mes],$B10,disponibilidad[[Tipo de afectación ]],"caÍda total",disponibilidad[Responsable Falla],"Matrix Tech",disponibilidad[MatrixRedes],"SI")))/$C10)*100</f>
        <v>100</v>
      </c>
      <c r="N10" s="9" t="e">
        <f>+(($C10-(SUMIFS(disponibilidad[Tiempo falla 
(en Mintuos)],#REF!,"SI",disponibilidad[Mes],$B10,disponibilidad[[Tipo de afectación ]],"caÍda total",disponibilidad[Responsable Falla],"Matrix Tech",disponibilidad[MatrixRedes],"SI")))/$C10)*100</f>
        <v>#REF!</v>
      </c>
      <c r="O10" s="13" t="e">
        <f t="shared" si="3"/>
        <v>#REF!</v>
      </c>
      <c r="P10" s="9" t="e">
        <f>+(($C10-(SUMIFS(disponibilidad[Tiempo falla 
(en Mintuos)],#REF!,"SI",disponibilidad[Mes],$B10,disponibilidad[[Tipo de afectación ]],"caÍda total",disponibilidad[Responsable Falla],"Aliados o terceros",disponibilidad[MatrixRedes],"SI")))/$C10)*100</f>
        <v>#REF!</v>
      </c>
      <c r="Q10" s="9">
        <f>+(($C10-(SUMIFS(disponibilidad[Tiempo falla 
(en Mintuos)],disponibilidad[PAGOS],"SI",disponibilidad[Mes],$B10,disponibilidad[[Tipo de afectación ]],"caÍda total",disponibilidad[Responsable Falla],"Aliados o terceros",disponibilidad[MatrixRedes],"SI")))/$C10)*100</f>
        <v>100</v>
      </c>
      <c r="R10" s="9">
        <f>+(($C10-(SUMIFS(disponibilidad[Tiempo falla 
(en Mintuos)],disponibilidad[RECAUDOS],"SI",disponibilidad[Mes],$B10,disponibilidad[[Tipo de afectación ]],"caÍda total",disponibilidad[Responsable Falla],"Aliados o terceros",disponibilidad[MatrixRedes],"SI")))/$C10)*100</f>
        <v>100</v>
      </c>
      <c r="S10" s="9">
        <f>+(($C10-(SUMIFS(disponibilidad[Tiempo falla 
(en Mintuos)],disponibilidad[RECARGAS],"SI",disponibilidad[Mes],$B10,disponibilidad[[Tipo de afectación ]],"caÍda total",disponibilidad[Responsable Falla],"Aliados o terceros",disponibilidad[MatrixRedes],"SI")))/$C10)*100</f>
        <v>100</v>
      </c>
      <c r="T10" s="9" t="e">
        <f>+(($C10-(SUMIFS(disponibilidad[Tiempo falla 
(en Mintuos)],#REF!,"SI",disponibilidad[Mes],$B10,disponibilidad[[Tipo de afectación ]],"caÍda total",disponibilidad[Responsable Falla],"Aliados o terceros",disponibilidad[MatrixRedes],"SI")))/$C10)*100</f>
        <v>#REF!</v>
      </c>
      <c r="U10" s="13" t="e">
        <f t="shared" si="0"/>
        <v>#REF!</v>
      </c>
      <c r="V10" s="12">
        <f>SUMIFS(disponibilidad[Tiempo falla 
(en Mintuos)],disponibilidad[Mes],$B10,disponibilidad[[Tipo de afectación ]],"caÍda total",disponibilidad[Responsable Falla],"Matrix Tech",disponibilidad[MatrixRedes],"SI")</f>
        <v>0</v>
      </c>
      <c r="W10" s="14">
        <f t="shared" si="4"/>
        <v>0</v>
      </c>
      <c r="X10" s="12">
        <f>SUMIFS(disponibilidad[Tiempo falla 
(en Mintuos)],disponibilidad[Mes],$B10,disponibilidad[[Tipo de afectación ]],"caÍda total",disponibilidad[Responsable Falla],"Aliados o terceros",disponibilidad[Acertemos - Cauca],"SI")</f>
        <v>0</v>
      </c>
      <c r="Y10" s="14">
        <f t="shared" si="1"/>
        <v>0</v>
      </c>
    </row>
    <row r="11" spans="2:25">
      <c r="B11" s="10" t="s">
        <v>173</v>
      </c>
      <c r="C11" s="8">
        <f>VLOOKUP(B11,Maestro!$A$7:$D$19,4,FALSE)</f>
        <v>44640</v>
      </c>
      <c r="D11" s="9">
        <f>+(($C11-(SUMIFS(disponibilidad[Tiempo falla 
(en Mintuos)],disponibilidad[JADE],"SI",disponibilidad[Mes],$B11,disponibilidad[[Tipo de afectación ]],"caÍda total",disponibilidad[Responsable Falla],"Matrix Tech",disponibilidad[MatrixRedes],"SI")))/$C11)*100</f>
        <v>100</v>
      </c>
      <c r="E11" s="9">
        <f>+(($C11-(SUMIFS(disponibilidad[Tiempo falla 
(en Mintuos)],disponibilidad[JADE],"SI",disponibilidad[Mes],$B11,disponibilidad[[Tipo de afectación ]],"caÍda total",disponibilidad[Responsable Falla],"Matrix Tech",disponibilidad[MatrixRedes],"SI")))/$C11)*100</f>
        <v>100</v>
      </c>
      <c r="F11" s="9">
        <f>+(($C11-(SUMIFS(disponibilidad[Tiempo falla 
(en Mintuos)],disponibilidad[JADE],"SI",disponibilidad[Mes],$B11,disponibilidad[[Tipo de afectación ]],"caÍda total",disponibilidad[Responsable Falla],"Matrix Tech",disponibilidad[MatrixRedes],"SI")))/$C11)*100</f>
        <v>100</v>
      </c>
      <c r="G11" s="9">
        <f>+(($C11-(SUMIFS(disponibilidad[Tiempo falla 
(en Mintuos)],disponibilidad[JADE],"SI",disponibilidad[Mes],$B11,disponibilidad[[Tipo de afectación ]],"caÍda total",disponibilidad[Responsable Falla],"Matrix Tech",disponibilidad[MatrixRedes],"SI")))/$C11)*100</f>
        <v>100</v>
      </c>
      <c r="H11" s="13">
        <f t="shared" si="2"/>
        <v>100</v>
      </c>
      <c r="I11" s="9">
        <f>+(($C11-(SUMIFS(disponibilidad[Tiempo falla 
(en Mintuos)],disponibilidad[Apuestas - Chance],"SI",disponibilidad[Mes],$B11,disponibilidad[[Tipo de afectación ]],"caÍda total",disponibilidad[Responsable Falla],"Matrix Tech",disponibilidad[MatrixRedes],"SI")))/$C11)*100</f>
        <v>100</v>
      </c>
      <c r="J11" s="9" t="e">
        <f>+(($C11-(SUMIFS(disponibilidad[Tiempo falla 
(en Mintuos)],#REF!,"SI",disponibilidad[Mes],$B11,disponibilidad[[Tipo de afectación ]],"caÍda total",disponibilidad[Responsable Falla],"Matrix Tech",disponibilidad[MatrixRedes],"SI")))/$C11)*100</f>
        <v>#REF!</v>
      </c>
      <c r="K11" s="9">
        <f>+(($C11-(SUMIFS(disponibilidad[Tiempo falla 
(en Mintuos)],disponibilidad[PAGOS],"SI",disponibilidad[Mes],$B11,disponibilidad[[Tipo de afectación ]],"caÍda total",disponibilidad[Responsable Falla],"Matrix Tech",disponibilidad[MatrixRedes],"SI")))/$C11)*100</f>
        <v>100</v>
      </c>
      <c r="L11" s="9">
        <f>+(($C11-(SUMIFS(disponibilidad[Tiempo falla 
(en Mintuos)],disponibilidad[RECAUDOS],"SI",disponibilidad[Mes],$B11,disponibilidad[[Tipo de afectación ]],"caÍda total",disponibilidad[Responsable Falla],"Matrix Tech",disponibilidad[MatrixRedes],"SI")))/$C11)*100</f>
        <v>100</v>
      </c>
      <c r="M11" s="9">
        <f>+(($C11-(SUMIFS(disponibilidad[Tiempo falla 
(en Mintuos)],disponibilidad[RECARGAS],"SI",disponibilidad[Mes],$B11,disponibilidad[[Tipo de afectación ]],"caÍda total",disponibilidad[Responsable Falla],"Matrix Tech",disponibilidad[MatrixRedes],"SI")))/$C11)*100</f>
        <v>100</v>
      </c>
      <c r="N11" s="9" t="e">
        <f>+(($C11-(SUMIFS(disponibilidad[Tiempo falla 
(en Mintuos)],#REF!,"SI",disponibilidad[Mes],$B11,disponibilidad[[Tipo de afectación ]],"caÍda total",disponibilidad[Responsable Falla],"Matrix Tech",disponibilidad[MatrixRedes],"SI")))/$C11)*100</f>
        <v>#REF!</v>
      </c>
      <c r="O11" s="13" t="e">
        <f t="shared" si="3"/>
        <v>#REF!</v>
      </c>
      <c r="P11" s="9" t="e">
        <f>+(($C11-(SUMIFS(disponibilidad[Tiempo falla 
(en Mintuos)],#REF!,"SI",disponibilidad[Mes],$B11,disponibilidad[[Tipo de afectación ]],"caÍda total",disponibilidad[Responsable Falla],"Aliados o terceros",disponibilidad[MatrixRedes],"SI")))/$C11)*100</f>
        <v>#REF!</v>
      </c>
      <c r="Q11" s="9">
        <f>+(($C11-(SUMIFS(disponibilidad[Tiempo falla 
(en Mintuos)],disponibilidad[PAGOS],"SI",disponibilidad[Mes],$B11,disponibilidad[[Tipo de afectación ]],"caÍda total",disponibilidad[Responsable Falla],"Aliados o terceros",disponibilidad[MatrixRedes],"SI")))/$C11)*100</f>
        <v>100</v>
      </c>
      <c r="R11" s="9">
        <f>+(($C11-(SUMIFS(disponibilidad[Tiempo falla 
(en Mintuos)],disponibilidad[RECAUDOS],"SI",disponibilidad[Mes],$B11,disponibilidad[[Tipo de afectación ]],"caÍda total",disponibilidad[Responsable Falla],"Aliados o terceros",disponibilidad[MatrixRedes],"SI")))/$C11)*100</f>
        <v>100</v>
      </c>
      <c r="S11" s="9">
        <f>+(($C11-(SUMIFS(disponibilidad[Tiempo falla 
(en Mintuos)],disponibilidad[RECARGAS],"SI",disponibilidad[Mes],$B11,disponibilidad[[Tipo de afectación ]],"caÍda total",disponibilidad[Responsable Falla],"Aliados o terceros",disponibilidad[MatrixRedes],"SI")))/$C11)*100</f>
        <v>100</v>
      </c>
      <c r="T11" s="9" t="e">
        <f>+(($C11-(SUMIFS(disponibilidad[Tiempo falla 
(en Mintuos)],#REF!,"SI",disponibilidad[Mes],$B11,disponibilidad[[Tipo de afectación ]],"caÍda total",disponibilidad[Responsable Falla],"Aliados o terceros",disponibilidad[MatrixRedes],"SI")))/$C11)*100</f>
        <v>#REF!</v>
      </c>
      <c r="U11" s="13" t="e">
        <f t="shared" si="0"/>
        <v>#REF!</v>
      </c>
      <c r="V11" s="12">
        <f>SUMIFS(disponibilidad[Tiempo falla 
(en Mintuos)],disponibilidad[Mes],$B11,disponibilidad[[Tipo de afectación ]],"caÍda total",disponibilidad[Responsable Falla],"Matrix Tech",disponibilidad[MatrixRedes],"SI")</f>
        <v>0</v>
      </c>
      <c r="W11" s="14">
        <f t="shared" si="4"/>
        <v>0</v>
      </c>
      <c r="X11" s="12">
        <f>SUMIFS(disponibilidad[Tiempo falla 
(en Mintuos)],disponibilidad[Mes],$B11,disponibilidad[[Tipo de afectación ]],"caÍda total",disponibilidad[Responsable Falla],"Aliados o terceros",disponibilidad[Acertemos - Cauca],"SI")</f>
        <v>0</v>
      </c>
      <c r="Y11" s="14">
        <f t="shared" si="1"/>
        <v>0</v>
      </c>
    </row>
    <row r="12" spans="2:25">
      <c r="B12" s="10" t="s">
        <v>174</v>
      </c>
      <c r="C12" s="8">
        <f>VLOOKUP(B12,Maestro!$A$7:$D$19,4,FALSE)</f>
        <v>44640</v>
      </c>
      <c r="D12" s="9">
        <f>+(($C12-(SUMIFS(disponibilidad[Tiempo falla 
(en Mintuos)],disponibilidad[JADE],"SI",disponibilidad[Mes],$B12,disponibilidad[[Tipo de afectación ]],"caÍda total",disponibilidad[Responsable Falla],"Matrix Tech",disponibilidad[MatrixRedes],"SI")))/$C12)*100</f>
        <v>100</v>
      </c>
      <c r="E12" s="9">
        <f>+(($C12-(SUMIFS(disponibilidad[Tiempo falla 
(en Mintuos)],disponibilidad[JADE],"SI",disponibilidad[Mes],$B12,disponibilidad[[Tipo de afectación ]],"caÍda total",disponibilidad[Responsable Falla],"Matrix Tech",disponibilidad[MatrixRedes],"SI")))/$C12)*100</f>
        <v>100</v>
      </c>
      <c r="F12" s="9">
        <f>+(($C12-(SUMIFS(disponibilidad[Tiempo falla 
(en Mintuos)],disponibilidad[JADE],"SI",disponibilidad[Mes],$B12,disponibilidad[[Tipo de afectación ]],"caÍda total",disponibilidad[Responsable Falla],"Matrix Tech",disponibilidad[MatrixRedes],"SI")))/$C12)*100</f>
        <v>100</v>
      </c>
      <c r="G12" s="9">
        <f>+(($C12-(SUMIFS(disponibilidad[Tiempo falla 
(en Mintuos)],disponibilidad[JADE],"SI",disponibilidad[Mes],$B12,disponibilidad[[Tipo de afectación ]],"caÍda total",disponibilidad[Responsable Falla],"Matrix Tech",disponibilidad[MatrixRedes],"SI")))/$C12)*100</f>
        <v>100</v>
      </c>
      <c r="H12" s="13">
        <f t="shared" si="2"/>
        <v>100</v>
      </c>
      <c r="I12" s="9">
        <f>+(($C12-(SUMIFS(disponibilidad[Tiempo falla 
(en Mintuos)],disponibilidad[Apuestas - Chance],"SI",disponibilidad[Mes],$B12,disponibilidad[[Tipo de afectación ]],"caÍda total",disponibilidad[Responsable Falla],"Matrix Tech",disponibilidad[MatrixRedes],"SI")))/$C12)*100</f>
        <v>100</v>
      </c>
      <c r="J12" s="9" t="e">
        <f>+(($C12-(SUMIFS(disponibilidad[Tiempo falla 
(en Mintuos)],#REF!,"SI",disponibilidad[Mes],$B12,disponibilidad[[Tipo de afectación ]],"caÍda total",disponibilidad[Responsable Falla],"Matrix Tech",disponibilidad[MatrixRedes],"SI")))/$C12)*100</f>
        <v>#REF!</v>
      </c>
      <c r="K12" s="9">
        <f>+(($C12-(SUMIFS(disponibilidad[Tiempo falla 
(en Mintuos)],disponibilidad[PAGOS],"SI",disponibilidad[Mes],$B12,disponibilidad[[Tipo de afectación ]],"caÍda total",disponibilidad[Responsable Falla],"Matrix Tech",disponibilidad[MatrixRedes],"SI")))/$C12)*100</f>
        <v>100</v>
      </c>
      <c r="L12" s="9">
        <f>+(($C12-(SUMIFS(disponibilidad[Tiempo falla 
(en Mintuos)],disponibilidad[RECAUDOS],"SI",disponibilidad[Mes],$B12,disponibilidad[[Tipo de afectación ]],"caÍda total",disponibilidad[Responsable Falla],"Matrix Tech",disponibilidad[MatrixRedes],"SI")))/$C12)*100</f>
        <v>100</v>
      </c>
      <c r="M12" s="9">
        <f>+(($C12-(SUMIFS(disponibilidad[Tiempo falla 
(en Mintuos)],disponibilidad[RECARGAS],"SI",disponibilidad[Mes],$B12,disponibilidad[[Tipo de afectación ]],"caÍda total",disponibilidad[Responsable Falla],"Matrix Tech",disponibilidad[MatrixRedes],"SI")))/$C12)*100</f>
        <v>100</v>
      </c>
      <c r="N12" s="9" t="e">
        <f>+(($C12-(SUMIFS(disponibilidad[Tiempo falla 
(en Mintuos)],#REF!,"SI",disponibilidad[Mes],$B12,disponibilidad[[Tipo de afectación ]],"caÍda total",disponibilidad[Responsable Falla],"Matrix Tech",disponibilidad[MatrixRedes],"SI")))/$C12)*100</f>
        <v>#REF!</v>
      </c>
      <c r="O12" s="13" t="e">
        <f t="shared" si="3"/>
        <v>#REF!</v>
      </c>
      <c r="P12" s="9" t="e">
        <f>+(($C12-(SUMIFS(disponibilidad[Tiempo falla 
(en Mintuos)],#REF!,"SI",disponibilidad[Mes],$B12,disponibilidad[[Tipo de afectación ]],"caÍda total",disponibilidad[Responsable Falla],"Aliados o terceros",disponibilidad[MatrixRedes],"SI")))/$C12)*100</f>
        <v>#REF!</v>
      </c>
      <c r="Q12" s="9">
        <f>+(($C12-(SUMIFS(disponibilidad[Tiempo falla 
(en Mintuos)],disponibilidad[PAGOS],"SI",disponibilidad[Mes],$B12,disponibilidad[[Tipo de afectación ]],"caÍda total",disponibilidad[Responsable Falla],"Aliados o terceros",disponibilidad[MatrixRedes],"SI")))/$C12)*100</f>
        <v>100</v>
      </c>
      <c r="R12" s="9">
        <f>+(($C12-(SUMIFS(disponibilidad[Tiempo falla 
(en Mintuos)],disponibilidad[RECAUDOS],"SI",disponibilidad[Mes],$B12,disponibilidad[[Tipo de afectación ]],"caÍda total",disponibilidad[Responsable Falla],"Aliados o terceros",disponibilidad[MatrixRedes],"SI")))/$C12)*100</f>
        <v>100</v>
      </c>
      <c r="S12" s="9">
        <f>+(($C12-(SUMIFS(disponibilidad[Tiempo falla 
(en Mintuos)],disponibilidad[RECARGAS],"SI",disponibilidad[Mes],$B12,disponibilidad[[Tipo de afectación ]],"caÍda total",disponibilidad[Responsable Falla],"Aliados o terceros",disponibilidad[MatrixRedes],"SI")))/$C12)*100</f>
        <v>100</v>
      </c>
      <c r="T12" s="9" t="e">
        <f>+(($C12-(SUMIFS(disponibilidad[Tiempo falla 
(en Mintuos)],#REF!,"SI",disponibilidad[Mes],$B12,disponibilidad[[Tipo de afectación ]],"caÍda total",disponibilidad[Responsable Falla],"Aliados o terceros",disponibilidad[MatrixRedes],"SI")))/$C12)*100</f>
        <v>#REF!</v>
      </c>
      <c r="U12" s="13" t="e">
        <f t="shared" si="0"/>
        <v>#REF!</v>
      </c>
      <c r="V12" s="12">
        <f>SUMIFS(disponibilidad[Tiempo falla 
(en Mintuos)],disponibilidad[Mes],$B12,disponibilidad[[Tipo de afectación ]],"caÍda total",disponibilidad[Responsable Falla],"Matrix Tech",disponibilidad[MatrixRedes],"SI")</f>
        <v>0</v>
      </c>
      <c r="W12" s="14">
        <f t="shared" si="4"/>
        <v>0</v>
      </c>
      <c r="X12" s="12">
        <f>SUMIFS(disponibilidad[Tiempo falla 
(en Mintuos)],disponibilidad[Mes],$B12,disponibilidad[[Tipo de afectación ]],"caÍda total",disponibilidad[Responsable Falla],"Aliados o terceros",disponibilidad[Acertemos - Cauca],"SI")</f>
        <v>0</v>
      </c>
      <c r="Y12" s="14">
        <f t="shared" si="1"/>
        <v>0</v>
      </c>
    </row>
    <row r="13" spans="2:25">
      <c r="B13" s="10" t="s">
        <v>175</v>
      </c>
      <c r="C13" s="8">
        <f>VLOOKUP(B13,Maestro!$A$7:$D$19,4,FALSE)</f>
        <v>43200</v>
      </c>
      <c r="D13" s="9">
        <f>+(($C13-(SUMIFS(disponibilidad[Tiempo falla 
(en Mintuos)],disponibilidad[JADE],"SI",disponibilidad[Mes],$B13,disponibilidad[[Tipo de afectación ]],"caÍda total",disponibilidad[Responsable Falla],"Matrix Tech",disponibilidad[MatrixRedes],"SI")))/$C13)*100</f>
        <v>100</v>
      </c>
      <c r="E13" s="9">
        <f>+(($C13-(SUMIFS(disponibilidad[Tiempo falla 
(en Mintuos)],disponibilidad[JADE],"SI",disponibilidad[Mes],$B13,disponibilidad[[Tipo de afectación ]],"caÍda total",disponibilidad[Responsable Falla],"Matrix Tech",disponibilidad[MatrixRedes],"SI")))/$C13)*100</f>
        <v>100</v>
      </c>
      <c r="F13" s="9">
        <f>+(($C13-(SUMIFS(disponibilidad[Tiempo falla 
(en Mintuos)],disponibilidad[JADE],"SI",disponibilidad[Mes],$B13,disponibilidad[[Tipo de afectación ]],"caÍda total",disponibilidad[Responsable Falla],"Matrix Tech",disponibilidad[MatrixRedes],"SI")))/$C13)*100</f>
        <v>100</v>
      </c>
      <c r="G13" s="9">
        <f>+(($C13-(SUMIFS(disponibilidad[Tiempo falla 
(en Mintuos)],disponibilidad[JADE],"SI",disponibilidad[Mes],$B13,disponibilidad[[Tipo de afectación ]],"caÍda total",disponibilidad[Responsable Falla],"Matrix Tech",disponibilidad[MatrixRedes],"SI")))/$C13)*100</f>
        <v>100</v>
      </c>
      <c r="H13" s="13">
        <f t="shared" si="2"/>
        <v>100</v>
      </c>
      <c r="I13" s="9">
        <f>+(($C13-(SUMIFS(disponibilidad[Tiempo falla 
(en Mintuos)],disponibilidad[Apuestas - Chance],"SI",disponibilidad[Mes],$B13,disponibilidad[[Tipo de afectación ]],"caÍda total",disponibilidad[Responsable Falla],"Matrix Tech",disponibilidad[MatrixRedes],"SI")))/$C13)*100</f>
        <v>100</v>
      </c>
      <c r="J13" s="9" t="e">
        <f>+(($C13-(SUMIFS(disponibilidad[Tiempo falla 
(en Mintuos)],#REF!,"SI",disponibilidad[Mes],$B13,disponibilidad[[Tipo de afectación ]],"caÍda total",disponibilidad[Responsable Falla],"Matrix Tech",disponibilidad[MatrixRedes],"SI")))/$C13)*100</f>
        <v>#REF!</v>
      </c>
      <c r="K13" s="9">
        <f>+(($C13-(SUMIFS(disponibilidad[Tiempo falla 
(en Mintuos)],disponibilidad[PAGOS],"SI",disponibilidad[Mes],$B13,disponibilidad[[Tipo de afectación ]],"caÍda total",disponibilidad[Responsable Falla],"Matrix Tech",disponibilidad[MatrixRedes],"SI")))/$C13)*100</f>
        <v>100</v>
      </c>
      <c r="L13" s="9">
        <f>+(($C13-(SUMIFS(disponibilidad[Tiempo falla 
(en Mintuos)],disponibilidad[RECAUDOS],"SI",disponibilidad[Mes],$B13,disponibilidad[[Tipo de afectación ]],"caÍda total",disponibilidad[Responsable Falla],"Matrix Tech",disponibilidad[MatrixRedes],"SI")))/$C13)*100</f>
        <v>100</v>
      </c>
      <c r="M13" s="9">
        <f>+(($C13-(SUMIFS(disponibilidad[Tiempo falla 
(en Mintuos)],disponibilidad[RECARGAS],"SI",disponibilidad[Mes],$B13,disponibilidad[[Tipo de afectación ]],"caÍda total",disponibilidad[Responsable Falla],"Matrix Tech",disponibilidad[MatrixRedes],"SI")))/$C13)*100</f>
        <v>100</v>
      </c>
      <c r="N13" s="9" t="e">
        <f>+(($C13-(SUMIFS(disponibilidad[Tiempo falla 
(en Mintuos)],#REF!,"SI",disponibilidad[Mes],$B13,disponibilidad[[Tipo de afectación ]],"caÍda total",disponibilidad[Responsable Falla],"Matrix Tech",disponibilidad[MatrixRedes],"SI")))/$C13)*100</f>
        <v>#REF!</v>
      </c>
      <c r="O13" s="13" t="e">
        <f t="shared" si="3"/>
        <v>#REF!</v>
      </c>
      <c r="P13" s="9" t="e">
        <f>+(($C13-(SUMIFS(disponibilidad[Tiempo falla 
(en Mintuos)],#REF!,"SI",disponibilidad[Mes],$B13,disponibilidad[[Tipo de afectación ]],"caÍda total",disponibilidad[Responsable Falla],"Aliados o terceros",disponibilidad[MatrixRedes],"SI")))/$C13)*100</f>
        <v>#REF!</v>
      </c>
      <c r="Q13" s="9">
        <f>+(($C13-(SUMIFS(disponibilidad[Tiempo falla 
(en Mintuos)],disponibilidad[PAGOS],"SI",disponibilidad[Mes],$B13,disponibilidad[[Tipo de afectación ]],"caÍda total",disponibilidad[Responsable Falla],"Aliados o terceros",disponibilidad[MatrixRedes],"SI")))/$C13)*100</f>
        <v>100</v>
      </c>
      <c r="R13" s="9">
        <f>+(($C13-(SUMIFS(disponibilidad[Tiempo falla 
(en Mintuos)],disponibilidad[RECAUDOS],"SI",disponibilidad[Mes],$B13,disponibilidad[[Tipo de afectación ]],"caÍda total",disponibilidad[Responsable Falla],"Aliados o terceros",disponibilidad[MatrixRedes],"SI")))/$C13)*100</f>
        <v>100</v>
      </c>
      <c r="S13" s="9">
        <f>+(($C13-(SUMIFS(disponibilidad[Tiempo falla 
(en Mintuos)],disponibilidad[RECARGAS],"SI",disponibilidad[Mes],$B13,disponibilidad[[Tipo de afectación ]],"caÍda total",disponibilidad[Responsable Falla],"Aliados o terceros",disponibilidad[MatrixRedes],"SI")))/$C13)*100</f>
        <v>100</v>
      </c>
      <c r="T13" s="9" t="e">
        <f>+(($C13-(SUMIFS(disponibilidad[Tiempo falla 
(en Mintuos)],#REF!,"SI",disponibilidad[Mes],$B13,disponibilidad[[Tipo de afectación ]],"caÍda total",disponibilidad[Responsable Falla],"Aliados o terceros",disponibilidad[MatrixRedes],"SI")))/$C13)*100</f>
        <v>#REF!</v>
      </c>
      <c r="U13" s="13" t="e">
        <f t="shared" si="0"/>
        <v>#REF!</v>
      </c>
      <c r="V13" s="12">
        <f>SUMIFS(disponibilidad[Tiempo falla 
(en Mintuos)],disponibilidad[Mes],$B13,disponibilidad[[Tipo de afectación ]],"caÍda total",disponibilidad[Responsable Falla],"Matrix Tech",disponibilidad[MatrixRedes],"SI")</f>
        <v>0</v>
      </c>
      <c r="W13" s="14">
        <f t="shared" si="4"/>
        <v>0</v>
      </c>
      <c r="X13" s="12">
        <f>SUMIFS(disponibilidad[Tiempo falla 
(en Mintuos)],disponibilidad[Mes],$B13,disponibilidad[[Tipo de afectación ]],"caÍda total",disponibilidad[Responsable Falla],"Aliados o terceros",disponibilidad[Acertemos - Cauca],"SI")</f>
        <v>0</v>
      </c>
      <c r="Y13" s="14">
        <f t="shared" si="1"/>
        <v>0</v>
      </c>
    </row>
    <row r="14" spans="2:25">
      <c r="B14" s="10" t="s">
        <v>176</v>
      </c>
      <c r="C14" s="8">
        <f>VLOOKUP(B14,Maestro!$A$7:$D$19,4,FALSE)</f>
        <v>44640</v>
      </c>
      <c r="D14" s="9">
        <f>+(($C14-(SUMIFS(disponibilidad[Tiempo falla 
(en Mintuos)],disponibilidad[JADE],"SI",disponibilidad[Mes],$B14,disponibilidad[[Tipo de afectación ]],"caÍda total",disponibilidad[Responsable Falla],"Matrix Tech",disponibilidad[MatrixRedes],"SI")))/$C14)*100</f>
        <v>100</v>
      </c>
      <c r="E14" s="9">
        <f>+(($C14-(SUMIFS(disponibilidad[Tiempo falla 
(en Mintuos)],disponibilidad[JADE],"SI",disponibilidad[Mes],$B14,disponibilidad[[Tipo de afectación ]],"caÍda total",disponibilidad[Responsable Falla],"Matrix Tech",disponibilidad[MatrixRedes],"SI")))/$C14)*100</f>
        <v>100</v>
      </c>
      <c r="F14" s="9">
        <f>+(($C14-(SUMIFS(disponibilidad[Tiempo falla 
(en Mintuos)],disponibilidad[JADE],"SI",disponibilidad[Mes],$B14,disponibilidad[[Tipo de afectación ]],"caÍda total",disponibilidad[Responsable Falla],"Matrix Tech",disponibilidad[MatrixRedes],"SI")))/$C14)*100</f>
        <v>100</v>
      </c>
      <c r="G14" s="9">
        <f>+(($C14-(SUMIFS(disponibilidad[Tiempo falla 
(en Mintuos)],disponibilidad[JADE],"SI",disponibilidad[Mes],$B14,disponibilidad[[Tipo de afectación ]],"caÍda total",disponibilidad[Responsable Falla],"Matrix Tech",disponibilidad[MatrixRedes],"SI")))/$C14)*100</f>
        <v>100</v>
      </c>
      <c r="H14" s="13">
        <f t="shared" si="2"/>
        <v>100</v>
      </c>
      <c r="I14" s="9">
        <f>+(($C14-(SUMIFS(disponibilidad[Tiempo falla 
(en Mintuos)],disponibilidad[Apuestas - Chance],"SI",disponibilidad[Mes],$B14,disponibilidad[[Tipo de afectación ]],"caÍda total",disponibilidad[Responsable Falla],"Matrix Tech",disponibilidad[MatrixRedes],"SI")))/$C14)*100</f>
        <v>100</v>
      </c>
      <c r="J14" s="9" t="e">
        <f>+(($C14-(SUMIFS(disponibilidad[Tiempo falla 
(en Mintuos)],#REF!,"SI",disponibilidad[Mes],$B14,disponibilidad[[Tipo de afectación ]],"caÍda total",disponibilidad[Responsable Falla],"Matrix Tech",disponibilidad[MatrixRedes],"SI")))/$C14)*100</f>
        <v>#REF!</v>
      </c>
      <c r="K14" s="9">
        <f>+(($C14-(SUMIFS(disponibilidad[Tiempo falla 
(en Mintuos)],disponibilidad[PAGOS],"SI",disponibilidad[Mes],$B14,disponibilidad[[Tipo de afectación ]],"caÍda total",disponibilidad[Responsable Falla],"Matrix Tech",disponibilidad[MatrixRedes],"SI")))/$C14)*100</f>
        <v>100</v>
      </c>
      <c r="L14" s="9">
        <f>+(($C14-(SUMIFS(disponibilidad[Tiempo falla 
(en Mintuos)],disponibilidad[RECAUDOS],"SI",disponibilidad[Mes],$B14,disponibilidad[[Tipo de afectación ]],"caÍda total",disponibilidad[Responsable Falla],"Matrix Tech",disponibilidad[MatrixRedes],"SI")))/$C14)*100</f>
        <v>100</v>
      </c>
      <c r="M14" s="9">
        <f>+(($C14-(SUMIFS(disponibilidad[Tiempo falla 
(en Mintuos)],disponibilidad[RECARGAS],"SI",disponibilidad[Mes],$B14,disponibilidad[[Tipo de afectación ]],"caÍda total",disponibilidad[Responsable Falla],"Matrix Tech",disponibilidad[MatrixRedes],"SI")))/$C14)*100</f>
        <v>100</v>
      </c>
      <c r="N14" s="9" t="e">
        <f>+(($C14-(SUMIFS(disponibilidad[Tiempo falla 
(en Mintuos)],#REF!,"SI",disponibilidad[Mes],$B14,disponibilidad[[Tipo de afectación ]],"caÍda total",disponibilidad[Responsable Falla],"Matrix Tech",disponibilidad[MatrixRedes],"SI")))/$C14)*100</f>
        <v>#REF!</v>
      </c>
      <c r="O14" s="13" t="e">
        <f t="shared" si="3"/>
        <v>#REF!</v>
      </c>
      <c r="P14" s="9" t="e">
        <f>+(($C14-(SUMIFS(disponibilidad[Tiempo falla 
(en Mintuos)],#REF!,"SI",disponibilidad[Mes],$B14,disponibilidad[[Tipo de afectación ]],"caÍda total",disponibilidad[Responsable Falla],"Aliados o terceros",disponibilidad[MatrixRedes],"SI")))/$C14)*100</f>
        <v>#REF!</v>
      </c>
      <c r="Q14" s="9">
        <f>+(($C14-(SUMIFS(disponibilidad[Tiempo falla 
(en Mintuos)],disponibilidad[PAGOS],"SI",disponibilidad[Mes],$B14,disponibilidad[[Tipo de afectación ]],"caÍda total",disponibilidad[Responsable Falla],"Aliados o terceros",disponibilidad[MatrixRedes],"SI")))/$C14)*100</f>
        <v>100</v>
      </c>
      <c r="R14" s="9">
        <f>+(($C14-(SUMIFS(disponibilidad[Tiempo falla 
(en Mintuos)],disponibilidad[RECAUDOS],"SI",disponibilidad[Mes],$B14,disponibilidad[[Tipo de afectación ]],"caÍda total",disponibilidad[Responsable Falla],"Aliados o terceros",disponibilidad[MatrixRedes],"SI")))/$C14)*100</f>
        <v>100</v>
      </c>
      <c r="S14" s="9">
        <f>+(($C14-(SUMIFS(disponibilidad[Tiempo falla 
(en Mintuos)],disponibilidad[RECARGAS],"SI",disponibilidad[Mes],$B14,disponibilidad[[Tipo de afectación ]],"caÍda total",disponibilidad[Responsable Falla],"Aliados o terceros",disponibilidad[MatrixRedes],"SI")))/$C14)*100</f>
        <v>100</v>
      </c>
      <c r="T14" s="9" t="e">
        <f>+(($C14-(SUMIFS(disponibilidad[Tiempo falla 
(en Mintuos)],#REF!,"SI",disponibilidad[Mes],$B14,disponibilidad[[Tipo de afectación ]],"caÍda total",disponibilidad[Responsable Falla],"Aliados o terceros",disponibilidad[MatrixRedes],"SI")))/$C14)*100</f>
        <v>#REF!</v>
      </c>
      <c r="U14" s="13" t="e">
        <f t="shared" si="0"/>
        <v>#REF!</v>
      </c>
      <c r="V14" s="12">
        <f>SUMIFS(disponibilidad[Tiempo falla 
(en Mintuos)],disponibilidad[Mes],$B14,disponibilidad[[Tipo de afectación ]],"caÍda total",disponibilidad[Responsable Falla],"Matrix Tech",disponibilidad[MatrixRedes],"SI")</f>
        <v>0</v>
      </c>
      <c r="W14" s="14">
        <f t="shared" si="4"/>
        <v>0</v>
      </c>
      <c r="X14" s="12">
        <f>SUMIFS(disponibilidad[Tiempo falla 
(en Mintuos)],disponibilidad[Mes],$B14,disponibilidad[[Tipo de afectación ]],"caÍda total",disponibilidad[Responsable Falla],"Aliados o terceros",disponibilidad[MatrixRedes],"SI")</f>
        <v>0</v>
      </c>
      <c r="Y14" s="14">
        <f t="shared" si="1"/>
        <v>0</v>
      </c>
    </row>
    <row r="15" spans="2:25">
      <c r="B15" s="10" t="s">
        <v>177</v>
      </c>
      <c r="C15" s="8">
        <f>VLOOKUP(B15,Maestro!$A$7:$D$19,4,FALSE)</f>
        <v>43200</v>
      </c>
      <c r="D15" s="9">
        <f>+(($C15-(SUMIFS(disponibilidad[Tiempo falla 
(en Mintuos)],disponibilidad[JADE],"SI",disponibilidad[Mes],$B15,disponibilidad[[Tipo de afectación ]],"caÍda total",disponibilidad[Responsable Falla],"Matrix Tech",disponibilidad[MatrixRedes],"SI")))/$C15)*100</f>
        <v>100</v>
      </c>
      <c r="E15" s="9">
        <f>+(($C15-(SUMIFS(disponibilidad[Tiempo falla 
(en Mintuos)],disponibilidad[JADE],"SI",disponibilidad[Mes],$B15,disponibilidad[[Tipo de afectación ]],"caÍda total",disponibilidad[Responsable Falla],"Matrix Tech",disponibilidad[MatrixRedes],"SI")))/$C15)*100</f>
        <v>100</v>
      </c>
      <c r="F15" s="9">
        <f>+(($C15-(SUMIFS(disponibilidad[Tiempo falla 
(en Mintuos)],disponibilidad[JADE],"SI",disponibilidad[Mes],$B15,disponibilidad[[Tipo de afectación ]],"caÍda total",disponibilidad[Responsable Falla],"Matrix Tech",disponibilidad[MatrixRedes],"SI")))/$C15)*100</f>
        <v>100</v>
      </c>
      <c r="G15" s="9">
        <f>+(($C15-(SUMIFS(disponibilidad[Tiempo falla 
(en Mintuos)],disponibilidad[JADE],"SI",disponibilidad[Mes],$B15,disponibilidad[[Tipo de afectación ]],"caÍda total",disponibilidad[Responsable Falla],"Matrix Tech",disponibilidad[MatrixRedes],"SI")))/$C15)*100</f>
        <v>100</v>
      </c>
      <c r="H15" s="13">
        <f t="shared" si="2"/>
        <v>100</v>
      </c>
      <c r="I15" s="9">
        <f>+(($C15-(SUMIFS(disponibilidad[Tiempo falla 
(en Mintuos)],disponibilidad[Apuestas - Chance],"SI",disponibilidad[Mes],$B15,disponibilidad[[Tipo de afectación ]],"caÍda total",disponibilidad[Responsable Falla],"Matrix Tech",disponibilidad[MatrixRedes],"SI")))/$C15)*100</f>
        <v>100</v>
      </c>
      <c r="J15" s="9" t="e">
        <f>+(($C15-(SUMIFS(disponibilidad[Tiempo falla 
(en Mintuos)],#REF!,"SI",disponibilidad[Mes],$B15,disponibilidad[[Tipo de afectación ]],"caÍda total",disponibilidad[Responsable Falla],"Matrix Tech",disponibilidad[MatrixRedes],"SI")))/$C15)*100</f>
        <v>#REF!</v>
      </c>
      <c r="K15" s="9">
        <f>+(($C15-(SUMIFS(disponibilidad[Tiempo falla 
(en Mintuos)],disponibilidad[PAGOS],"SI",disponibilidad[Mes],$B15,disponibilidad[[Tipo de afectación ]],"caÍda total",disponibilidad[Responsable Falla],"Matrix Tech",disponibilidad[MatrixRedes],"SI")))/$C15)*100</f>
        <v>100</v>
      </c>
      <c r="L15" s="9">
        <f>+(($C15-(SUMIFS(disponibilidad[Tiempo falla 
(en Mintuos)],disponibilidad[RECAUDOS],"SI",disponibilidad[Mes],$B15,disponibilidad[[Tipo de afectación ]],"caÍda total",disponibilidad[Responsable Falla],"Matrix Tech",disponibilidad[MatrixRedes],"SI")))/$C15)*100</f>
        <v>100</v>
      </c>
      <c r="M15" s="9">
        <f>+(($C15-(SUMIFS(disponibilidad[Tiempo falla 
(en Mintuos)],disponibilidad[RECARGAS],"SI",disponibilidad[Mes],$B15,disponibilidad[[Tipo de afectación ]],"caÍda total",disponibilidad[Responsable Falla],"Matrix Tech",disponibilidad[MatrixRedes],"SI")))/$C15)*100</f>
        <v>100</v>
      </c>
      <c r="N15" s="9" t="e">
        <f>+(($C15-(SUMIFS(disponibilidad[Tiempo falla 
(en Mintuos)],#REF!,"SI",disponibilidad[Mes],$B15,disponibilidad[[Tipo de afectación ]],"caÍda total",disponibilidad[Responsable Falla],"Matrix Tech",disponibilidad[MatrixRedes],"SI")))/$C15)*100</f>
        <v>#REF!</v>
      </c>
      <c r="O15" s="13" t="e">
        <f t="shared" si="3"/>
        <v>#REF!</v>
      </c>
      <c r="P15" s="9" t="e">
        <f>+(($C15-(SUMIFS(disponibilidad[Tiempo falla 
(en Mintuos)],#REF!,"SI",disponibilidad[Mes],$B15,disponibilidad[[Tipo de afectación ]],"caÍda total",disponibilidad[Responsable Falla],"Aliados o terceros",disponibilidad[MatrixRedes],"SI")))/$C15)*100</f>
        <v>#REF!</v>
      </c>
      <c r="Q15" s="9">
        <f>+(($C15-(SUMIFS(disponibilidad[Tiempo falla 
(en Mintuos)],disponibilidad[PAGOS],"SI",disponibilidad[Mes],$B15,disponibilidad[[Tipo de afectación ]],"caÍda total",disponibilidad[Responsable Falla],"Aliados o terceros",disponibilidad[MatrixRedes],"SI")))/$C15)*100</f>
        <v>100</v>
      </c>
      <c r="R15" s="9">
        <f>+(($C15-(SUMIFS(disponibilidad[Tiempo falla 
(en Mintuos)],disponibilidad[RECAUDOS],"SI",disponibilidad[Mes],$B15,disponibilidad[[Tipo de afectación ]],"caÍda total",disponibilidad[Responsable Falla],"Aliados o terceros",disponibilidad[MatrixRedes],"SI")))/$C15)*100</f>
        <v>100</v>
      </c>
      <c r="S15" s="9">
        <f>+(($C15-(SUMIFS(disponibilidad[Tiempo falla 
(en Mintuos)],disponibilidad[RECARGAS],"SI",disponibilidad[Mes],$B15,disponibilidad[[Tipo de afectación ]],"caÍda total",disponibilidad[Responsable Falla],"Aliados o terceros",disponibilidad[MatrixRedes],"SI")))/$C15)*100</f>
        <v>100</v>
      </c>
      <c r="T15" s="9" t="e">
        <f>+(($C15-(SUMIFS(disponibilidad[Tiempo falla 
(en Mintuos)],#REF!,"SI",disponibilidad[Mes],$B15,disponibilidad[[Tipo de afectación ]],"caÍda total",disponibilidad[Responsable Falla],"Aliados o terceros",disponibilidad[MatrixRedes],"SI")))/$C15)*100</f>
        <v>#REF!</v>
      </c>
      <c r="U15" s="13" t="e">
        <f t="shared" si="0"/>
        <v>#REF!</v>
      </c>
      <c r="V15" s="12">
        <f>SUMIFS(disponibilidad[Tiempo falla 
(en Mintuos)],disponibilidad[Mes],$B15,disponibilidad[[Tipo de afectación ]],"caÍda total",disponibilidad[Responsable Falla],"Matrix Tech",disponibilidad[MatrixRedes],"SI")</f>
        <v>0</v>
      </c>
      <c r="W15" s="14">
        <f t="shared" si="4"/>
        <v>0</v>
      </c>
      <c r="X15" s="12">
        <f>SUMIFS(disponibilidad[Tiempo falla 
(en Mintuos)],disponibilidad[Mes],$B15,disponibilidad[[Tipo de afectación ]],"caÍda total",disponibilidad[Responsable Falla],"Aliados o terceros",disponibilidad[MatrixRedes],"SI")</f>
        <v>0</v>
      </c>
      <c r="Y15" s="14">
        <f t="shared" si="1"/>
        <v>0</v>
      </c>
    </row>
    <row r="16" spans="2:25">
      <c r="B16" s="10" t="s">
        <v>178</v>
      </c>
      <c r="C16" s="8">
        <f>VLOOKUP(B16,Maestro!$A$7:$D$19,4,FALSE)</f>
        <v>44640</v>
      </c>
      <c r="D16" s="9">
        <f>+(($C16-(SUMIFS(disponibilidad[Tiempo falla 
(en Mintuos)],disponibilidad[JADE],"SI",disponibilidad[Mes],$B16,disponibilidad[[Tipo de afectación ]],"caÍda total",disponibilidad[Responsable Falla],"Matrix Tech",disponibilidad[MatrixRedes],"SI")))/$C16)*100</f>
        <v>100</v>
      </c>
      <c r="E16" s="9">
        <f>+(($C16-(SUMIFS(disponibilidad[Tiempo falla 
(en Mintuos)],disponibilidad[JADE],"SI",disponibilidad[Mes],$B16,disponibilidad[[Tipo de afectación ]],"caÍda total",disponibilidad[Responsable Falla],"Matrix Tech",disponibilidad[MatrixRedes],"SI")))/$C16)*100</f>
        <v>100</v>
      </c>
      <c r="F16" s="9">
        <f>+(($C16-(SUMIFS(disponibilidad[Tiempo falla 
(en Mintuos)],disponibilidad[JADE],"SI",disponibilidad[Mes],$B16,disponibilidad[[Tipo de afectación ]],"caÍda total",disponibilidad[Responsable Falla],"Matrix Tech",disponibilidad[MatrixRedes],"SI")))/$C16)*100</f>
        <v>100</v>
      </c>
      <c r="G16" s="9">
        <f>+(($C16-(SUMIFS(disponibilidad[Tiempo falla 
(en Mintuos)],disponibilidad[JADE],"SI",disponibilidad[Mes],$B16,disponibilidad[[Tipo de afectación ]],"caÍda total",disponibilidad[Responsable Falla],"Matrix Tech",disponibilidad[MatrixRedes],"SI")))/$C16)*100</f>
        <v>100</v>
      </c>
      <c r="H16" s="13">
        <f t="shared" si="2"/>
        <v>100</v>
      </c>
      <c r="I16" s="9">
        <f>+(($C16-(SUMIFS(disponibilidad[Tiempo falla 
(en Mintuos)],disponibilidad[Apuestas - Chance],"SI",disponibilidad[Mes],$B16,disponibilidad[[Tipo de afectación ]],"caÍda total",disponibilidad[Responsable Falla],"Matrix Tech",disponibilidad[MatrixRedes],"SI")))/$C16)*100</f>
        <v>100</v>
      </c>
      <c r="J16" s="9" t="e">
        <f>+(($C16-(SUMIFS(disponibilidad[Tiempo falla 
(en Mintuos)],#REF!,"SI",disponibilidad[Mes],$B16,disponibilidad[[Tipo de afectación ]],"caÍda total",disponibilidad[Responsable Falla],"Matrix Tech",disponibilidad[MatrixRedes],"SI")))/$C16)*100</f>
        <v>#REF!</v>
      </c>
      <c r="K16" s="9">
        <f>+(($C16-(SUMIFS(disponibilidad[Tiempo falla 
(en Mintuos)],disponibilidad[PAGOS],"SI",disponibilidad[Mes],$B16,disponibilidad[[Tipo de afectación ]],"caÍda total",disponibilidad[Responsable Falla],"Matrix Tech",disponibilidad[MatrixRedes],"SI")))/$C16)*100</f>
        <v>100</v>
      </c>
      <c r="L16" s="9">
        <f>+(($C16-(SUMIFS(disponibilidad[Tiempo falla 
(en Mintuos)],disponibilidad[RECAUDOS],"SI",disponibilidad[Mes],$B16,disponibilidad[[Tipo de afectación ]],"caÍda total",disponibilidad[Responsable Falla],"Matrix Tech",disponibilidad[MatrixRedes],"SI")))/$C16)*100</f>
        <v>100</v>
      </c>
      <c r="M16" s="9">
        <f>+(($C16-(SUMIFS(disponibilidad[Tiempo falla 
(en Mintuos)],disponibilidad[RECARGAS],"SI",disponibilidad[Mes],$B16,disponibilidad[[Tipo de afectación ]],"caÍda total",disponibilidad[Responsable Falla],"Matrix Tech",disponibilidad[MatrixRedes],"SI")))/$C16)*100</f>
        <v>100</v>
      </c>
      <c r="N16" s="9" t="e">
        <f>+(($C16-(SUMIFS(disponibilidad[Tiempo falla 
(en Mintuos)],#REF!,"SI",disponibilidad[Mes],$B16,disponibilidad[[Tipo de afectación ]],"caÍda total",disponibilidad[Responsable Falla],"Matrix Tech",disponibilidad[MatrixRedes],"SI")))/$C16)*100</f>
        <v>#REF!</v>
      </c>
      <c r="O16" s="13" t="e">
        <f t="shared" si="3"/>
        <v>#REF!</v>
      </c>
      <c r="P16" s="9" t="e">
        <f>+(($C16-(SUMIFS(disponibilidad[Tiempo falla 
(en Mintuos)],#REF!,"SI",disponibilidad[Mes],$B16,disponibilidad[[Tipo de afectación ]],"caÍda total",disponibilidad[Responsable Falla],"Aliados o terceros",disponibilidad[MatrixRedes],"SI")))/$C16)*100</f>
        <v>#REF!</v>
      </c>
      <c r="Q16" s="9">
        <f>+(($C16-(SUMIFS(disponibilidad[Tiempo falla 
(en Mintuos)],disponibilidad[PAGOS],"SI",disponibilidad[Mes],$B16,disponibilidad[[Tipo de afectación ]],"caÍda total",disponibilidad[Responsable Falla],"Aliados o terceros",disponibilidad[MatrixRedes],"SI")))/$C16)*100</f>
        <v>100</v>
      </c>
      <c r="R16" s="9">
        <f>+(($C16-(SUMIFS(disponibilidad[Tiempo falla 
(en Mintuos)],disponibilidad[RECAUDOS],"SI",disponibilidad[Mes],$B16,disponibilidad[[Tipo de afectación ]],"caÍda total",disponibilidad[Responsable Falla],"Aliados o terceros",disponibilidad[MatrixRedes],"SI")))/$C16)*100</f>
        <v>100</v>
      </c>
      <c r="S16" s="9">
        <f>+(($C16-(SUMIFS(disponibilidad[Tiempo falla 
(en Mintuos)],disponibilidad[RECARGAS],"SI",disponibilidad[Mes],$B16,disponibilidad[[Tipo de afectación ]],"caÍda total",disponibilidad[Responsable Falla],"Aliados o terceros",disponibilidad[MatrixRedes],"SI")))/$C16)*100</f>
        <v>100</v>
      </c>
      <c r="T16" s="9" t="e">
        <f>+(($C16-(SUMIFS(disponibilidad[Tiempo falla 
(en Mintuos)],#REF!,"SI",disponibilidad[Mes],$B16,disponibilidad[[Tipo de afectación ]],"caÍda total",disponibilidad[Responsable Falla],"Aliados o terceros",disponibilidad[MatrixRedes],"SI")))/$C16)*100</f>
        <v>#REF!</v>
      </c>
      <c r="U16" s="13" t="e">
        <f t="shared" si="0"/>
        <v>#REF!</v>
      </c>
      <c r="V16" s="12">
        <f>SUMIFS(disponibilidad[Tiempo falla 
(en Mintuos)],disponibilidad[Mes],$B16,disponibilidad[[Tipo de afectación ]],"caÍda total",disponibilidad[Responsable Falla],"Matrix Tech",disponibilidad[MatrixRedes],"SI")</f>
        <v>0</v>
      </c>
      <c r="W16" s="14">
        <f t="shared" si="4"/>
        <v>0</v>
      </c>
      <c r="X16" s="12">
        <f>SUMIFS(disponibilidad[Tiempo falla 
(en Mintuos)],disponibilidad[Mes],$B16,disponibilidad[[Tipo de afectación ]],"caÍda total",disponibilidad[Responsable Falla],"Aliados o terceros",disponibilidad[MatrixRedes],"SI")</f>
        <v>0</v>
      </c>
      <c r="Y16" s="14">
        <f t="shared" si="1"/>
        <v>0</v>
      </c>
    </row>
  </sheetData>
  <sheetProtection algorithmName="SHA-512" hashValue="Trp7sx2C9CFSpD8HJrham1VI6xnpWuRpw4TBJBGrpef1KSt651CARUTv6mSEzHeviRB+1IAvaharWqhtq2ZQmA==" saltValue="mcd5FariAF/aEcCdPLNk3Q==" spinCount="100000" sheet="1" objects="1" scenarios="1"/>
  <mergeCells count="14">
    <mergeCell ref="O2:O3"/>
    <mergeCell ref="B2:B4"/>
    <mergeCell ref="C2:C3"/>
    <mergeCell ref="D2:G2"/>
    <mergeCell ref="H2:H4"/>
    <mergeCell ref="I2:N2"/>
    <mergeCell ref="P2:T2"/>
    <mergeCell ref="U2:U4"/>
    <mergeCell ref="V2:W2"/>
    <mergeCell ref="X2:Y2"/>
    <mergeCell ref="V3:V4"/>
    <mergeCell ref="W3:W4"/>
    <mergeCell ref="X3:X4"/>
    <mergeCell ref="Y3:Y4"/>
  </mergeCells>
  <conditionalFormatting sqref="H5:H16">
    <cfRule type="cellIs" dxfId="53" priority="5" operator="lessThan">
      <formula>99.7</formula>
    </cfRule>
    <cfRule type="cellIs" dxfId="52" priority="6" operator="greaterThanOrEqual">
      <formula>99.7</formula>
    </cfRule>
  </conditionalFormatting>
  <conditionalFormatting sqref="O5:O16">
    <cfRule type="cellIs" dxfId="51" priority="3" operator="lessThan">
      <formula>99.7</formula>
    </cfRule>
    <cfRule type="cellIs" dxfId="50" priority="4" operator="greaterThanOrEqual">
      <formula>99.7</formula>
    </cfRule>
  </conditionalFormatting>
  <conditionalFormatting sqref="U5:U16">
    <cfRule type="cellIs" dxfId="49" priority="1" operator="lessThan">
      <formula>99.7</formula>
    </cfRule>
    <cfRule type="cellIs" dxfId="48" priority="2" operator="greaterThanOrEqual">
      <formula>99.7</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3F97-5E25-4F40-A938-7268D40888B4}">
  <sheetPr codeName="Hoja10"/>
  <dimension ref="A1:AS23"/>
  <sheetViews>
    <sheetView showGridLines="0" zoomScaleNormal="100" workbookViewId="0">
      <selection activeCell="Z7" sqref="Z7"/>
    </sheetView>
  </sheetViews>
  <sheetFormatPr defaultColWidth="11.42578125" defaultRowHeight="15"/>
  <cols>
    <col min="1" max="1" width="5.5703125" customWidth="1"/>
    <col min="2" max="2" width="11.42578125" bestFit="1" customWidth="1"/>
    <col min="3" max="3" width="8.28515625" style="5" bestFit="1" customWidth="1"/>
    <col min="4" max="5" width="8.140625" style="6" bestFit="1" customWidth="1"/>
    <col min="6" max="8" width="8.140625" style="6" customWidth="1"/>
    <col min="9" max="9" width="12.7109375" style="6" customWidth="1"/>
    <col min="10" max="12" width="8" style="6" bestFit="1" customWidth="1"/>
    <col min="13" max="13" width="8.28515625" style="6" customWidth="1"/>
    <col min="14" max="14" width="11.7109375" style="6" customWidth="1"/>
    <col min="15" max="15" width="8.42578125" customWidth="1"/>
    <col min="16" max="17" width="11.85546875" bestFit="1" customWidth="1"/>
    <col min="18" max="18" width="11" customWidth="1"/>
    <col min="19" max="19" width="10.42578125" customWidth="1"/>
    <col min="20" max="20" width="11.140625" customWidth="1"/>
    <col min="21" max="21" width="7.5703125" customWidth="1"/>
    <col min="22" max="22" width="14.85546875" bestFit="1" customWidth="1"/>
    <col min="23" max="23" width="6.85546875" customWidth="1"/>
    <col min="25" max="25" width="23.85546875" customWidth="1"/>
    <col min="26" max="26" width="33" bestFit="1" customWidth="1"/>
    <col min="27" max="27" width="12.85546875" bestFit="1" customWidth="1"/>
    <col min="28" max="28" width="28.28515625" bestFit="1" customWidth="1"/>
    <col min="29" max="29" width="8.5703125" bestFit="1" customWidth="1"/>
    <col min="30" max="30" width="8.7109375" bestFit="1" customWidth="1"/>
    <col min="31" max="31" width="12.85546875" bestFit="1" customWidth="1"/>
    <col min="32" max="32" width="9" bestFit="1" customWidth="1"/>
    <col min="33" max="33" width="5.85546875" bestFit="1" customWidth="1"/>
    <col min="34" max="34" width="9" bestFit="1" customWidth="1"/>
    <col min="35" max="35" width="7.7109375" bestFit="1" customWidth="1"/>
    <col min="36" max="36" width="9" bestFit="1" customWidth="1"/>
    <col min="37" max="37" width="5.85546875" bestFit="1" customWidth="1"/>
    <col min="38" max="39" width="9" bestFit="1" customWidth="1"/>
    <col min="40" max="40" width="7.7109375" bestFit="1" customWidth="1"/>
    <col min="41" max="41" width="13" bestFit="1" customWidth="1"/>
    <col min="42" max="42" width="16.28515625" bestFit="1" customWidth="1"/>
    <col min="43" max="43" width="16.28515625" customWidth="1"/>
    <col min="44" max="44" width="16.28515625" bestFit="1" customWidth="1"/>
    <col min="45" max="45" width="16.28515625" customWidth="1"/>
    <col min="46" max="46" width="16.28515625" bestFit="1" customWidth="1"/>
    <col min="47" max="47" width="12.85546875" bestFit="1" customWidth="1"/>
    <col min="48" max="48" width="3.28515625" bestFit="1" customWidth="1"/>
    <col min="49" max="50" width="12.5703125" bestFit="1" customWidth="1"/>
    <col min="51" max="53" width="3.28515625" bestFit="1" customWidth="1"/>
    <col min="54" max="54" width="12.5703125" bestFit="1" customWidth="1"/>
    <col min="55" max="55" width="3.28515625" bestFit="1" customWidth="1"/>
    <col min="56" max="56" width="12.5703125" bestFit="1" customWidth="1"/>
    <col min="57" max="57" width="3.28515625" bestFit="1" customWidth="1"/>
    <col min="58" max="58" width="12.5703125" bestFit="1" customWidth="1"/>
    <col min="59" max="59" width="3.28515625" bestFit="1" customWidth="1"/>
    <col min="60" max="60" width="12.5703125" bestFit="1" customWidth="1"/>
    <col min="61" max="61" width="3.28515625" bestFit="1" customWidth="1"/>
    <col min="62" max="62" width="12.5703125" bestFit="1" customWidth="1"/>
    <col min="63" max="67" width="3.28515625" bestFit="1" customWidth="1"/>
    <col min="68" max="70" width="12.5703125" bestFit="1" customWidth="1"/>
    <col min="71" max="77" width="3.28515625" bestFit="1" customWidth="1"/>
    <col min="78" max="79" width="12.5703125" bestFit="1" customWidth="1"/>
    <col min="80" max="83" width="3.28515625" bestFit="1" customWidth="1"/>
    <col min="84" max="105" width="4.42578125" bestFit="1" customWidth="1"/>
    <col min="106" max="110" width="5.42578125" bestFit="1" customWidth="1"/>
    <col min="111" max="111" width="12.85546875" bestFit="1" customWidth="1"/>
  </cols>
  <sheetData>
    <row r="1" spans="2:45" ht="18" customHeight="1">
      <c r="C1" s="324"/>
      <c r="D1" s="325"/>
      <c r="E1" s="330" t="s">
        <v>156</v>
      </c>
      <c r="F1" s="331"/>
      <c r="G1" s="331"/>
      <c r="H1" s="331"/>
      <c r="I1" s="331"/>
      <c r="J1" s="331"/>
      <c r="K1" s="331"/>
      <c r="L1" s="331"/>
      <c r="M1" s="331"/>
      <c r="N1" s="332"/>
      <c r="O1" s="180" t="s">
        <v>0</v>
      </c>
      <c r="P1" s="180"/>
      <c r="Q1" s="333" t="s">
        <v>1</v>
      </c>
      <c r="R1" s="334"/>
      <c r="S1" s="335"/>
    </row>
    <row r="2" spans="2:45" ht="15.75" customHeight="1">
      <c r="C2" s="326"/>
      <c r="D2" s="327"/>
      <c r="E2" s="336" t="s">
        <v>2</v>
      </c>
      <c r="F2" s="337"/>
      <c r="G2" s="337"/>
      <c r="H2" s="337"/>
      <c r="I2" s="337"/>
      <c r="J2" s="337"/>
      <c r="K2" s="337"/>
      <c r="L2" s="337"/>
      <c r="M2" s="337"/>
      <c r="N2" s="338"/>
      <c r="O2" s="181" t="s">
        <v>3</v>
      </c>
      <c r="P2" s="181"/>
      <c r="Q2" s="181">
        <v>0</v>
      </c>
      <c r="R2" s="181"/>
      <c r="S2" s="181"/>
    </row>
    <row r="3" spans="2:45" ht="15.75" customHeight="1">
      <c r="C3" s="328"/>
      <c r="D3" s="329"/>
      <c r="E3" s="333" t="s">
        <v>4</v>
      </c>
      <c r="F3" s="334"/>
      <c r="G3" s="334"/>
      <c r="H3" s="334"/>
      <c r="I3" s="334"/>
      <c r="J3" s="334"/>
      <c r="K3" s="334"/>
      <c r="L3" s="334"/>
      <c r="M3" s="334"/>
      <c r="N3" s="335"/>
      <c r="O3" s="180" t="s">
        <v>5</v>
      </c>
      <c r="P3" s="180"/>
      <c r="Q3" s="339">
        <v>45525</v>
      </c>
      <c r="R3" s="340"/>
      <c r="S3" s="341"/>
    </row>
    <row r="5" spans="2:45" ht="31.5" customHeight="1">
      <c r="B5" s="344" t="s">
        <v>9</v>
      </c>
      <c r="C5" s="344" t="s">
        <v>157</v>
      </c>
      <c r="D5" s="372" t="s">
        <v>455</v>
      </c>
      <c r="E5" s="373"/>
      <c r="F5" s="373"/>
      <c r="G5" s="374"/>
      <c r="H5" s="302"/>
      <c r="I5" s="342" t="s">
        <v>159</v>
      </c>
      <c r="J5" s="369" t="s">
        <v>160</v>
      </c>
      <c r="K5" s="370"/>
      <c r="L5" s="370"/>
      <c r="M5" s="371"/>
      <c r="N5" s="342" t="s">
        <v>161</v>
      </c>
      <c r="O5" s="350" t="s">
        <v>162</v>
      </c>
      <c r="P5" s="363"/>
      <c r="Q5" s="363"/>
      <c r="R5" s="364"/>
      <c r="S5" s="353" t="s">
        <v>161</v>
      </c>
      <c r="T5" s="365" t="s">
        <v>163</v>
      </c>
      <c r="U5" s="366"/>
      <c r="V5" s="367" t="s">
        <v>164</v>
      </c>
      <c r="W5" s="368"/>
    </row>
    <row r="6" spans="2:45" ht="66" customHeight="1">
      <c r="B6" s="345"/>
      <c r="C6" s="346"/>
      <c r="D6" s="15" t="s">
        <v>16</v>
      </c>
      <c r="E6" s="15" t="s">
        <v>17</v>
      </c>
      <c r="F6" s="187" t="s">
        <v>19</v>
      </c>
      <c r="G6" s="187" t="s">
        <v>456</v>
      </c>
      <c r="H6" s="187" t="s">
        <v>20</v>
      </c>
      <c r="I6" s="343"/>
      <c r="J6" s="15" t="s">
        <v>28</v>
      </c>
      <c r="K6" s="15" t="s">
        <v>29</v>
      </c>
      <c r="L6" s="15" t="s">
        <v>30</v>
      </c>
      <c r="M6" s="15" t="s">
        <v>31</v>
      </c>
      <c r="N6" s="343"/>
      <c r="O6" s="11" t="s">
        <v>28</v>
      </c>
      <c r="P6" s="11" t="s">
        <v>29</v>
      </c>
      <c r="Q6" s="11" t="s">
        <v>30</v>
      </c>
      <c r="R6" s="11" t="s">
        <v>31</v>
      </c>
      <c r="S6" s="354"/>
      <c r="T6" s="358" t="s">
        <v>165</v>
      </c>
      <c r="U6" s="358" t="s">
        <v>166</v>
      </c>
      <c r="V6" s="360" t="s">
        <v>165</v>
      </c>
      <c r="W6" s="360" t="s">
        <v>166</v>
      </c>
    </row>
    <row r="7" spans="2:45" ht="18.75" customHeight="1">
      <c r="B7" s="346"/>
      <c r="C7" s="17" t="s">
        <v>167</v>
      </c>
      <c r="D7" s="58">
        <v>0.8</v>
      </c>
      <c r="E7" s="58">
        <v>0.03</v>
      </c>
      <c r="F7" s="58">
        <v>0.06</v>
      </c>
      <c r="G7" s="58">
        <v>7.0000000000000007E-2</v>
      </c>
      <c r="H7" s="58">
        <v>0.04</v>
      </c>
      <c r="I7" s="349"/>
      <c r="J7" s="58">
        <v>0.56999999999999995</v>
      </c>
      <c r="K7" s="58">
        <v>0.03</v>
      </c>
      <c r="L7" s="58">
        <v>0.1</v>
      </c>
      <c r="M7" s="58">
        <v>0.3</v>
      </c>
      <c r="N7" s="61">
        <f>SUM(J7:M7)</f>
        <v>1</v>
      </c>
      <c r="O7" s="11"/>
      <c r="P7" s="11"/>
      <c r="Q7" s="11"/>
      <c r="R7" s="11"/>
      <c r="S7" s="355"/>
      <c r="T7" s="359"/>
      <c r="U7" s="359"/>
      <c r="V7" s="361"/>
      <c r="W7" s="361"/>
      <c r="Y7" s="274" t="s">
        <v>168</v>
      </c>
      <c r="Z7" s="274" t="s">
        <v>91</v>
      </c>
    </row>
    <row r="8" spans="2:45">
      <c r="B8" s="130" t="s">
        <v>37</v>
      </c>
      <c r="C8" s="118">
        <f>VLOOKUP(B8,Maestro!$A$7:$D$19,4,FALSE)</f>
        <v>44640</v>
      </c>
      <c r="D8" s="119">
        <f>+(($C8-(SUMIFS(disponibilidad[Tiempo falla 
(en Mintuos)],disponibilidad[JADE],"SI",disponibilidad[Mes],$B8,disponibilidad[[Tipo de afectación ]],"caÍda total",disponibilidad[Responsable Falla],"Matrix Tech",disponibilidad[Gana - Antioquia],"SI")))/$C8)*100</f>
        <v>99.735663082436233</v>
      </c>
      <c r="E8" s="119">
        <f>+(($C8-(SUMIFS(disponibilidad[Tiempo falla 
(en Mintuos)],disponibilidad[SIGA],"SI",disponibilidad[Mes],$B8,disponibilidad[[Tipo de afectación ]],"caÍda total",disponibilidad[Responsable Falla],"Matrix Tech",disponibilidad[Gana - Antioquia],"SI")))/$C8)*100</f>
        <v>99.870071684586776</v>
      </c>
      <c r="F8" s="119">
        <f>+(($C8-(SUMIFS(disponibilidad[Tiempo falla 
(en Mintuos)],disponibilidad[INVICTUS],"SI",disponibilidad[Mes],$B8,disponibilidad[[Tipo de afectación ]],"caÍda total",disponibilidad[Responsable Falla],"Matrix Tech",disponibilidad[Gana - Antioquia],"SI")))/$C8)*100</f>
        <v>99.865591397849457</v>
      </c>
      <c r="G8" s="119">
        <f>+(($C8-(SUMIFS(disponibilidad[Tiempo falla 
(en Mintuos)],disponibilidad[APLICACIONES WEB GANA],"SI",disponibilidad[Mes],$B8,disponibilidad[[Tipo de afectación ]],"caÍda total",disponibilidad[Responsable Falla],"Matrix Tech",disponibilidad[Gana - Antioquia],"SI")))/$C8)*100</f>
        <v>100</v>
      </c>
      <c r="H8" s="119">
        <f>+(($C8-(SUMIFS(disponibilidad[Tiempo falla 
(en Mintuos)],disponibilidad[SALO -LOTERIA],"SI",disponibilidad[Mes],$B8,disponibilidad[[Tipo de afectación ]],"caÍda total",disponibilidad[Responsable Falla],"Matrix Tech",disponibilidad[Gana - Antioquia],"SI")))/$C8)*100</f>
        <v>99.870071684586776</v>
      </c>
      <c r="I8" s="120">
        <f>SUMPRODUCT($D$7:$H$7,D8:H8)/$N$7</f>
        <v>99.771370967741035</v>
      </c>
      <c r="J8" s="119">
        <f>+(($C8-(SUMIFS(disponibilidad[Tiempo falla 
(en Mintuos)],disponibilidad[Apuestas - Chance],"SI",disponibilidad[Mes],$B8,disponibilidad[[Tipo de afectación ]],"caÍda total",disponibilidad[Responsable Falla],"Matrix Tech",disponibilidad[Gana - Antioquia],"SI")))/$C8)*100</f>
        <v>99.865591397849457</v>
      </c>
      <c r="K8" s="119">
        <f>+(($C8-(SUMIFS(disponibilidad[Tiempo falla 
(en Mintuos)],disponibilidad[PAGOS],"SI",disponibilidad[Mes],$B8,disponibilidad[[Tipo de afectación ]],"caÍda total",disponibilidad[Responsable Falla],"Matrix Tech",disponibilidad[Gana - Antioquia],"SI")))/$C8)*100</f>
        <v>99.865591397849457</v>
      </c>
      <c r="L8" s="119">
        <f>+(($C8-(SUMIFS(disponibilidad[Tiempo falla 
(en Mintuos)],disponibilidad[RECAUDOS],"SI",disponibilidad[Mes],$B8,disponibilidad[[Tipo de afectación ]],"caÍda total",disponibilidad[Responsable Falla],"Matrix Tech",disponibilidad[Gana - Antioquia],"SI")))/$C8)*100</f>
        <v>99.735663082436233</v>
      </c>
      <c r="M8" s="119">
        <f>+(($C8-(SUMIFS(disponibilidad[Tiempo falla 
(en Mintuos)],disponibilidad[RECARGAS],"SI",disponibilidad[Mes],$B8,disponibilidad[[Tipo de afectación ]],"caÍda total",disponibilidad[Responsable Falla],"Matrix Tech",disponibilidad[Gana - Antioquia],"SI")))/$C8)*100</f>
        <v>99.865591397849457</v>
      </c>
      <c r="N8" s="120">
        <f t="shared" ref="N8:N18" si="0">SUMPRODUCT($J$7:$M$7,J8:M8)/$N$7</f>
        <v>99.852598566308117</v>
      </c>
      <c r="O8" s="119">
        <f>+(($C8-(SUMIFS(disponibilidad[Tiempo falla 
(en Mintuos)],disponibilidad[Apuestas - Chance],"SI",disponibilidad[Mes],$B8,disponibilidad[[Tipo de afectación ]],"caÍda total",disponibilidad[Responsable Falla],"Aliados o terceros",disponibilidad[Gana - Antioquia],"SI")))/$C8)*100</f>
        <v>100</v>
      </c>
      <c r="P8" s="119">
        <f>+(($C8-(SUMIFS(disponibilidad[Tiempo falla 
(en Mintuos)],disponibilidad[PAGOS],"SI",disponibilidad[Mes],$B8,disponibilidad[[Tipo de afectación ]],"caÍda total",disponibilidad[Responsable Falla],"Aliados o terceros",disponibilidad[Gana - Antioquia],"SI")))/$C8)*100</f>
        <v>100</v>
      </c>
      <c r="Q8" s="119">
        <f>+(($C8-(SUMIFS(disponibilidad[Tiempo falla 
(en Mintuos)],disponibilidad[RECAUDOS],"SI",disponibilidad[Mes],$B8,disponibilidad[[Tipo de afectación ]],"caÍda total",disponibilidad[Responsable Falla],"Aliados o terceros",disponibilidad[Gana - Antioquia],"SI")))/$C8)*100</f>
        <v>99.838709677409966</v>
      </c>
      <c r="R8" s="119">
        <f>+(($C8-(SUMIFS(disponibilidad[Tiempo falla 
(en Mintuos)],disponibilidad[RECARGAS],"SI",disponibilidad[Mes],$B8,disponibilidad[[Tipo de afectación ]],"caÍda total",disponibilidad[Responsable Falla],"Aliados o terceros",disponibilidad[Gana - Antioquia],"SI")))/$C8)*100</f>
        <v>99.809587813633115</v>
      </c>
      <c r="S8" s="120">
        <f>AVERAGE(O8:R8)</f>
        <v>99.91207437276077</v>
      </c>
      <c r="T8" s="121">
        <f>SUMIFS(disponibilidad[Tiempo falla 
(en Mintuos)],disponibilidad[Mes],$B8,disponibilidad[[Tipo de afectación ]],"caÍda total",disponibilidad[Responsable Falla],"Matrix Tech",disponibilidad[Gana - Antioquia],"SI")</f>
        <v>118.00000000046566</v>
      </c>
      <c r="U8" s="122">
        <f>+$T$8/$C$8</f>
        <v>2.6433691756376715E-3</v>
      </c>
      <c r="V8" s="121">
        <f>SUMIFS(disponibilidad[Tiempo falla 
(en Mintuos)],disponibilidad[Mes],$B8,disponibilidad[[Tipo de afectación ]],"caÍda total",disponibilidad[Responsable Falla],"Aliados o terceros",disponibilidad[Gana - Antioquia],"SI")</f>
        <v>156.99999999837019</v>
      </c>
      <c r="W8" s="122">
        <f t="shared" ref="W8:W14" si="1">+$V$8/$C$8</f>
        <v>3.5170250895692244E-3</v>
      </c>
      <c r="X8" s="129"/>
      <c r="Y8" s="129"/>
    </row>
    <row r="9" spans="2:45">
      <c r="B9" s="130" t="s">
        <v>91</v>
      </c>
      <c r="C9" s="118">
        <f>VLOOKUP(B9,Maestro!$A$7:$D$19,4,FALSE)</f>
        <v>41760</v>
      </c>
      <c r="D9" s="119">
        <f>+(($C9-(SUMIFS(disponibilidad[Tiempo falla 
(en Mintuos)],disponibilidad[JADE],"SI",disponibilidad[Mes],$B9,disponibilidad[[Tipo de afectación ]],"caÍda total",disponibilidad[Responsable Falla],"Matrix Tech",disponibilidad[Gana - Antioquia],"SI")))/$C9)*100</f>
        <v>100</v>
      </c>
      <c r="E9" s="119">
        <f>+(($C9-(SUMIFS(disponibilidad[Tiempo falla 
(en Mintuos)],disponibilidad[SIGA],"SI",disponibilidad[Mes],$B9,disponibilidad[[Tipo de afectación ]],"caÍda total",disponibilidad[Responsable Falla],"Matrix Tech",disponibilidad[Gana - Antioquia],"SI")))/$C9)*100</f>
        <v>100</v>
      </c>
      <c r="F9" s="119">
        <f>+(($C9-(SUMIFS(disponibilidad[Tiempo falla 
(en Mintuos)],disponibilidad[INVICTUS],"SI",disponibilidad[Mes],$B9,disponibilidad[[Tipo de afectación ]],"caÍda total",disponibilidad[Responsable Falla],"Matrix Tech",disponibilidad[Gana - Antioquia],"SI")))/$C9)*100</f>
        <v>100</v>
      </c>
      <c r="G9" s="119">
        <f>+(($C9-(SUMIFS(disponibilidad[Tiempo falla 
(en Mintuos)],disponibilidad[APLICACIONES WEB GANA],"SI",disponibilidad[Mes],$B9,disponibilidad[[Tipo de afectación ]],"caÍda total",disponibilidad[Responsable Falla],"Matrix Tech",disponibilidad[Gana - Antioquia],"SI")))/$C9)*100</f>
        <v>99.784482758620683</v>
      </c>
      <c r="H9" s="119">
        <f>+(($C9-(SUMIFS(disponibilidad[Tiempo falla 
(en Mintuos)],disponibilidad[SALO -LOTERIA],"SI",disponibilidad[Mes],$B9,disponibilidad[[Tipo de afectación ]],"caÍda total",disponibilidad[Responsable Falla],"Matrix Tech",disponibilidad[Gana - Antioquia],"SI")))/$C9)*100</f>
        <v>100</v>
      </c>
      <c r="I9" s="120">
        <f t="shared" ref="I9:I18" si="2">SUMPRODUCT($D$7:$H$7,D9:H9)/$N$7</f>
        <v>99.984913793103445</v>
      </c>
      <c r="J9" s="119">
        <f>+(($C9-(SUMIFS(disponibilidad[Tiempo falla 
(en Mintuos)],disponibilidad[Apuestas - Chance],"SI",disponibilidad[Mes],$B9,disponibilidad[[Tipo de afectación ]],"caÍda total",disponibilidad[Responsable Falla],"Matrix Tech",disponibilidad[Gana - Antioquia],"SI")))/$C9)*100</f>
        <v>99.746168582376043</v>
      </c>
      <c r="K9" s="119">
        <f>+(($C9-(SUMIFS(disponibilidad[Tiempo falla 
(en Mintuos)],disponibilidad[PAGOS],"SI",disponibilidad[Mes],$B9,disponibilidad[[Tipo de afectación ]],"caÍda total",disponibilidad[Responsable Falla],"Matrix Tech",disponibilidad[Gana - Antioquia],"SI")))/$C9)*100</f>
        <v>100</v>
      </c>
      <c r="L9" s="119">
        <f>+(($C9-(SUMIFS(disponibilidad[Tiempo falla 
(en Mintuos)],disponibilidad[RECAUDOS],"SI",disponibilidad[Mes],$B9,disponibilidad[[Tipo de afectación ]],"caÍda total",disponibilidad[Responsable Falla],"Matrix Tech",disponibilidad[Gana - Antioquia],"SI")))/$C9)*100</f>
        <v>100</v>
      </c>
      <c r="M9" s="119">
        <f>+(($C9-(SUMIFS(disponibilidad[Tiempo falla 
(en Mintuos)],disponibilidad[RECARGAS],"SI",disponibilidad[Mes],$B9,disponibilidad[[Tipo de afectación ]],"caÍda total",disponibilidad[Responsable Falla],"Matrix Tech",disponibilidad[Gana - Antioquia],"SI")))/$C9)*100</f>
        <v>100</v>
      </c>
      <c r="N9" s="120">
        <f>SUMPRODUCT($J$7:$M$7,J9:M9)/$N$7</f>
        <v>99.855316091954336</v>
      </c>
      <c r="O9" s="119">
        <f>+(($C9-(SUMIFS(disponibilidad[Tiempo falla 
(en Mintuos)],disponibilidad[Apuestas - Chance],"SI",disponibilidad[Mes],$B9,disponibilidad[[Tipo de afectación ]],"caÍda total",disponibilidad[Responsable Falla],"Aliados o terceros",disponibilidad[Gana - Antioquia],"SI")))/$C9)*100</f>
        <v>99.717432950198813</v>
      </c>
      <c r="P9" s="119">
        <f>+(($C9-(SUMIFS(disponibilidad[Tiempo falla 
(en Mintuos)],disponibilidad[PAGOS],"SI",disponibilidad[Mes],$B9,disponibilidad[[Tipo de afectación ]],"caÍda total",disponibilidad[Responsable Falla],"Aliados o terceros",disponibilidad[Gana - Antioquia],"SI")))/$C9)*100</f>
        <v>100</v>
      </c>
      <c r="Q9" s="119">
        <f>+(($C9-(SUMIFS(disponibilidad[Tiempo falla 
(en Mintuos)],disponibilidad[RECAUDOS],"SI",disponibilidad[Mes],$B9,disponibilidad[[Tipo de afectación ]],"caÍda total",disponibilidad[Responsable Falla],"Aliados o terceros",disponibilidad[Gana - Antioquia],"SI")))/$C9)*100</f>
        <v>99.925766283533818</v>
      </c>
      <c r="R9" s="119">
        <f>+(($C9-(SUMIFS(disponibilidad[Tiempo falla 
(en Mintuos)],disponibilidad[RECARGAS],"SI",disponibilidad[Mes],$B9,disponibilidad[[Tipo de afectación ]],"caÍda total",disponibilidad[Responsable Falla],"Aliados o terceros",disponibilidad[Gana - Antioquia],"SI")))/$C9)*100</f>
        <v>99.568965517241381</v>
      </c>
      <c r="S9" s="120">
        <f>AVERAGE(O9:R9)</f>
        <v>99.803041187743503</v>
      </c>
      <c r="T9" s="121">
        <f>SUMIFS(disponibilidad[Tiempo falla 
(en Mintuos)],disponibilidad[Mes],$B9,disponibilidad[[Tipo de afectación ]],"caÍda total",disponibilidad[Responsable Falla],"Matrix Tech",disponibilidad[Gana - Antioquia],"SI")</f>
        <v>105.99999999976717</v>
      </c>
      <c r="U9" s="122">
        <f>+$T$8/$C$8</f>
        <v>2.6433691756376715E-3</v>
      </c>
      <c r="V9" s="121">
        <f>SUMIFS(disponibilidad[Tiempo falla 
(en Mintuos)],disponibilidad[Mes],$B9,disponibilidad[[Tipo de afectación ]],"caÍda total",disponibilidad[Responsable Falla],"Aliados o terceros",disponibilidad[Gana - Antioquia],"SI")</f>
        <v>328.99999999324791</v>
      </c>
      <c r="W9" s="122">
        <f>+$V$8/$C$8</f>
        <v>3.5170250895692244E-3</v>
      </c>
      <c r="X9" s="129"/>
      <c r="Y9" s="129"/>
      <c r="AP9" t="s">
        <v>457</v>
      </c>
    </row>
    <row r="10" spans="2:45">
      <c r="B10" s="179" t="s">
        <v>148</v>
      </c>
      <c r="C10" s="142">
        <f>VLOOKUP(B10,Maestro!$A$7:$D$19,4,FALSE)</f>
        <v>44640</v>
      </c>
      <c r="D10" s="143">
        <f>+(($C10-(SUMIFS(disponibilidad[Tiempo falla 
(en Mintuos)],disponibilidad[JADE],"SI",disponibilidad[Mes],$B10,disponibilidad[[Tipo de afectación ]],"caÍda total",disponibilidad[Responsable Falla],"Matrix Tech",disponibilidad[Gana - Antioquia],"SI")))/$C10)*100</f>
        <v>100</v>
      </c>
      <c r="E10" s="143">
        <f>+(($C10-(SUMIFS(disponibilidad[Tiempo falla 
(en Mintuos)],disponibilidad[SIGA],"SI",disponibilidad[Mes],$B10,disponibilidad[[Tipo de afectación ]],"caÍda total",disponibilidad[Responsable Falla],"Matrix Tech",disponibilidad[Gana - Antioquia],"SI")))/$C10)*100</f>
        <v>100</v>
      </c>
      <c r="F10" s="119">
        <f>+(($C10-(SUMIFS(disponibilidad[Tiempo falla 
(en Mintuos)],disponibilidad[INVICTUS],"SI",disponibilidad[Mes],$B10,disponibilidad[[Tipo de afectación ]],"caÍda total",disponibilidad[Responsable Falla],"Matrix Tech",disponibilidad[Gana - Antioquia],"SI")))/$C10)*100</f>
        <v>100</v>
      </c>
      <c r="G10" s="119">
        <f>+(($C10-(SUMIFS(disponibilidad[Tiempo falla 
(en Mintuos)],disponibilidad[APLICACIONES WEB GANA],"SI",disponibilidad[Mes],$B10,disponibilidad[[Tipo de afectación ]],"caÍda total",disponibilidad[Responsable Falla],"Matrix Tech",disponibilidad[Gana - Antioquia],"SI")))/$C10)*100</f>
        <v>100</v>
      </c>
      <c r="H10" s="119">
        <f>+(($C10-(SUMIFS(disponibilidad[Tiempo falla 
(en Mintuos)],disponibilidad[SALO -LOTERIA],"SI",disponibilidad[Mes],$B10,disponibilidad[[Tipo de afectación ]],"caÍda total",disponibilidad[Responsable Falla],"Matrix Tech",disponibilidad[Gana - Antioquia],"SI")))/$C10)*100</f>
        <v>100</v>
      </c>
      <c r="I10" s="120">
        <f t="shared" si="2"/>
        <v>100</v>
      </c>
      <c r="J10" s="143">
        <f>+(($C10-(SUMIFS(disponibilidad[Tiempo falla 
(en Mintuos)],disponibilidad[Apuestas - Chance],"SI",disponibilidad[Mes],$B10,disponibilidad[[Tipo de afectación ]],"caÍda total",disponibilidad[Responsable Falla],"Matrix Tech",disponibilidad[Gana - Antioquia],"SI")))/$C10)*100</f>
        <v>100</v>
      </c>
      <c r="K10" s="143">
        <f>+(($C10-(SUMIFS(disponibilidad[Tiempo falla 
(en Mintuos)],disponibilidad[PAGOS],"SI",disponibilidad[Mes],$B10,disponibilidad[[Tipo de afectación ]],"caÍda total",disponibilidad[Responsable Falla],"Matrix Tech",disponibilidad[Gana - Antioquia],"SI")))/$C10)*100</f>
        <v>100</v>
      </c>
      <c r="L10" s="143">
        <f>+(($C10-(SUMIFS(disponibilidad[Tiempo falla 
(en Mintuos)],disponibilidad[RECAUDOS],"SI",disponibilidad[Mes],$B10,disponibilidad[[Tipo de afectación ]],"caÍda total",disponibilidad[Responsable Falla],"Matrix Tech",disponibilidad[Gana - Antioquia],"SI")))/$C10)*100</f>
        <v>100</v>
      </c>
      <c r="M10" s="143">
        <f>+(($C10-(SUMIFS(disponibilidad[Tiempo falla 
(en Mintuos)],disponibilidad[RECARGAS],"SI",disponibilidad[Mes],$B10,disponibilidad[[Tipo de afectación ]],"caÍda total",disponibilidad[Responsable Falla],"Matrix Tech",disponibilidad[Gana - Antioquia],"SI")))/$C10)*100</f>
        <v>100</v>
      </c>
      <c r="N10" s="144">
        <f t="shared" si="0"/>
        <v>100</v>
      </c>
      <c r="O10" s="143">
        <f>+(($C10-(SUMIFS(disponibilidad[Tiempo falla 
(en Mintuos)],disponibilidad[Apuestas - Chance],"SI",disponibilidad[Mes],$B10,disponibilidad[[Tipo de afectación ]],"caÍda total",disponibilidad[Responsable Falla],"Aliados o terceros",disponibilidad[Gana - Antioquia],"SI")))/$C10)*100</f>
        <v>99.798387096774192</v>
      </c>
      <c r="P10" s="143">
        <f>+(($C10-(SUMIFS(disponibilidad[Tiempo falla 
(en Mintuos)],disponibilidad[PAGOS],"SI",disponibilidad[Mes],$B10,disponibilidad[[Tipo de afectación ]],"caÍda total",disponibilidad[Responsable Falla],"Aliados o terceros",disponibilidad[Gana - Antioquia],"SI")))/$C10)*100</f>
        <v>100</v>
      </c>
      <c r="Q10" s="143">
        <f>+(($C10-(SUMIFS(disponibilidad[Tiempo falla 
(en Mintuos)],disponibilidad[RECAUDOS],"SI",disponibilidad[Mes],$B10,disponibilidad[[Tipo de afectación ]],"caÍda total",disponibilidad[Responsable Falla],"Aliados o terceros",disponibilidad[Gana - Antioquia],"SI")))/$C10)*100</f>
        <v>100</v>
      </c>
      <c r="R10" s="143">
        <f>+(($C10-(SUMIFS(disponibilidad[Tiempo falla 
(en Mintuos)],disponibilidad[RECARGAS],"SI",disponibilidad[Mes],$B10,disponibilidad[[Tipo de afectación ]],"caÍda total",disponibilidad[Responsable Falla],"Aliados o terceros",disponibilidad[Gana - Antioquia],"SI")))/$C10)*100</f>
        <v>148782.64784946237</v>
      </c>
      <c r="S10" s="123">
        <f t="shared" ref="S10:S18" si="3">AVERAGE(O10:R10)</f>
        <v>37270.61155913979</v>
      </c>
      <c r="T10" s="12">
        <f>SUMIFS(disponibilidad[Tiempo falla 
(en Mintuos)],disponibilidad[Mes],$B10,disponibilidad[[Tipo de afectación ]],"caÍda total",disponibilidad[Responsable Falla],"Matrix Tech",disponibilidad[Gana - Antioquia],"SI")</f>
        <v>0</v>
      </c>
      <c r="U10" s="166">
        <f t="shared" ref="U10:U18" si="4">+T10/C10</f>
        <v>0</v>
      </c>
      <c r="V10" s="12">
        <f>SUMIFS(disponibilidad[Tiempo falla 
(en Mintuos)],disponibilidad[Mes],$B10,disponibilidad[[Tipo de afectación ]],"caÍda total",disponibilidad[Responsable Falla],"Aliados o terceros",disponibilidad[Gana - Antioquia],"SI")</f>
        <v>-66371844</v>
      </c>
      <c r="W10" s="166">
        <f t="shared" si="1"/>
        <v>3.5170250895692244E-3</v>
      </c>
      <c r="X10" s="129"/>
      <c r="Y10" s="270" t="s">
        <v>16</v>
      </c>
      <c r="Z10" s="271">
        <f>VLOOKUP($Z$7,$B$8:$S$18,3,FALSE)</f>
        <v>100</v>
      </c>
      <c r="AP10" t="s">
        <v>458</v>
      </c>
    </row>
    <row r="11" spans="2:45">
      <c r="B11" s="10" t="s">
        <v>170</v>
      </c>
      <c r="C11" s="165">
        <f>VLOOKUP(B11,Maestro!$A$7:$D$19,4,FALSE)</f>
        <v>43200</v>
      </c>
      <c r="D11" s="9">
        <f>+(($C11-(SUMIFS(disponibilidad[Tiempo falla 
(en Mintuos)],disponibilidad[JADE],"SI",disponibilidad[Mes],$B11,disponibilidad[[Tipo de afectación ]],"caÍda total",disponibilidad[Responsable Falla],"Matrix Tech",disponibilidad[Gana - Antioquia],"SI")))/$C11)*100</f>
        <v>100</v>
      </c>
      <c r="E11" s="9">
        <f>+(($C11-(SUMIFS(disponibilidad[Tiempo falla 
(en Mintuos)],disponibilidad[SIGA],"SI",disponibilidad[Mes],$B11,disponibilidad[[Tipo de afectación ]],"caÍda total",disponibilidad[Responsable Falla],"Matrix Tech",disponibilidad[Gana - Antioquia],"SI")))/$C11)*100</f>
        <v>100</v>
      </c>
      <c r="F11" s="119">
        <f>+(($C11-(SUMIFS(disponibilidad[Tiempo falla 
(en Mintuos)],disponibilidad[INVICTUS],"SI",disponibilidad[Mes],$B11,disponibilidad[[Tipo de afectación ]],"caÍda total",disponibilidad[Responsable Falla],"Matrix Tech",disponibilidad[Gana - Antioquia],"SI")))/$C11)*100</f>
        <v>100</v>
      </c>
      <c r="G11" s="119">
        <f>+(($C11-(SUMIFS(disponibilidad[Tiempo falla 
(en Mintuos)],disponibilidad[APLICACIONES WEB GANA],"SI",disponibilidad[Mes],$B11,disponibilidad[[Tipo de afectación ]],"caÍda total",disponibilidad[Responsable Falla],"Matrix Tech",disponibilidad[Gana - Antioquia],"SI")))/$C11)*100</f>
        <v>100</v>
      </c>
      <c r="H11" s="119">
        <f>+(($C11-(SUMIFS(disponibilidad[Tiempo falla 
(en Mintuos)],disponibilidad[SALO -LOTERIA],"SI",disponibilidad[Mes],$B11,disponibilidad[[Tipo de afectación ]],"caÍda total",disponibilidad[Responsable Falla],"Matrix Tech",disponibilidad[Gana - Antioquia],"SI")))/$C11)*100</f>
        <v>100</v>
      </c>
      <c r="I11" s="120">
        <f t="shared" si="2"/>
        <v>100</v>
      </c>
      <c r="J11" s="9">
        <f>+(($C11-(SUMIFS(disponibilidad[Tiempo falla 
(en Mintuos)],disponibilidad[Apuestas - Chance],"SI",disponibilidad[Mes],$B11,disponibilidad[[Tipo de afectación ]],"caÍda total",disponibilidad[Responsable Falla],"Matrix Tech",disponibilidad[Gana - Antioquia],"SI")))/$C11)*100</f>
        <v>100</v>
      </c>
      <c r="K11" s="9">
        <f>+(($C11-(SUMIFS(disponibilidad[Tiempo falla 
(en Mintuos)],disponibilidad[PAGOS],"SI",disponibilidad[Mes],$B11,disponibilidad[[Tipo de afectación ]],"caÍda total",disponibilidad[Responsable Falla],"Matrix Tech",disponibilidad[Gana - Antioquia],"SI")))/$C11)*100</f>
        <v>100</v>
      </c>
      <c r="L11" s="9">
        <f>+(($C11-(SUMIFS(disponibilidad[Tiempo falla 
(en Mintuos)],disponibilidad[RECAUDOS],"SI",disponibilidad[Mes],$B11,disponibilidad[[Tipo de afectación ]],"caÍda total",disponibilidad[Responsable Falla],"Matrix Tech",disponibilidad[Gana - Antioquia],"SI")))/$C11)*100</f>
        <v>100</v>
      </c>
      <c r="M11" s="9">
        <f>+(($C11-(SUMIFS(disponibilidad[Tiempo falla 
(en Mintuos)],disponibilidad[RECARGAS],"SI",disponibilidad[Mes],$B11,disponibilidad[[Tipo de afectación ]],"caÍda total",disponibilidad[Responsable Falla],"Matrix Tech",disponibilidad[Gana - Antioquia],"SI")))/$C11)*100</f>
        <v>100</v>
      </c>
      <c r="N11" s="13">
        <f t="shared" si="0"/>
        <v>100</v>
      </c>
      <c r="O11" s="9">
        <f>+(($C11-(SUMIFS(disponibilidad[Tiempo falla 
(en Mintuos)],disponibilidad[Apuestas - Chance],"SI",disponibilidad[Mes],$B11,disponibilidad[[Tipo de afectación ]],"caÍda total",disponibilidad[Responsable Falla],"Aliados o terceros",disponibilidad[Gana - Antioquia],"SI")))/$C11)*100</f>
        <v>100</v>
      </c>
      <c r="P11" s="9">
        <f>+(($C11-(SUMIFS(disponibilidad[Tiempo falla 
(en Mintuos)],disponibilidad[PAGOS],"SI",disponibilidad[Mes],$B11,disponibilidad[[Tipo de afectación ]],"caÍda total",disponibilidad[Responsable Falla],"Aliados o terceros",disponibilidad[Gana - Antioquia],"SI")))/$C11)*100</f>
        <v>100</v>
      </c>
      <c r="Q11" s="9">
        <f>+(($C11-(SUMIFS(disponibilidad[Tiempo falla 
(en Mintuos)],disponibilidad[RECAUDOS],"SI",disponibilidad[Mes],$B11,disponibilidad[[Tipo de afectación ]],"caÍda total",disponibilidad[Responsable Falla],"Aliados o terceros",disponibilidad[Gana - Antioquia],"SI")))/$C11)*100</f>
        <v>100</v>
      </c>
      <c r="R11" s="9">
        <f>+(($C11-(SUMIFS(disponibilidad[Tiempo falla 
(en Mintuos)],disponibilidad[RECARGAS],"SI",disponibilidad[Mes],$B11,disponibilidad[[Tipo de afectación ]],"caÍda total",disponibilidad[Responsable Falla],"Aliados o terceros",disponibilidad[Gana - Antioquia],"SI")))/$C11)*100</f>
        <v>100</v>
      </c>
      <c r="S11" s="13">
        <f t="shared" si="3"/>
        <v>100</v>
      </c>
      <c r="T11" s="12">
        <f>SUMIFS(disponibilidad[Tiempo falla 
(en Mintuos)],disponibilidad[Mes],$B11,disponibilidad[[Tipo de afectación ]],"caÍda total",disponibilidad[Responsable Falla],"Matrix Tech",disponibilidad[Gana - Antioquia],"SI")</f>
        <v>0</v>
      </c>
      <c r="U11" s="14">
        <f t="shared" si="4"/>
        <v>0</v>
      </c>
      <c r="V11" s="121">
        <f>SUMIFS(disponibilidad[Tiempo falla 
(en Mintuos)],disponibilidad[Mes],$B11,disponibilidad[[Tipo de afectación ]],"caÍda total",disponibilidad[Responsable Falla],"Aliados o terceros",disponibilidad[Gana - Antioquia],"SI")</f>
        <v>0</v>
      </c>
      <c r="W11" s="14">
        <f t="shared" si="1"/>
        <v>3.5170250895692244E-3</v>
      </c>
      <c r="Y11" s="82" t="s">
        <v>17</v>
      </c>
      <c r="Z11" s="271">
        <f>VLOOKUP($Z$7,$B$8:$S$18,4,FALSE)</f>
        <v>100</v>
      </c>
      <c r="AP11">
        <v>500</v>
      </c>
      <c r="AR11">
        <v>100</v>
      </c>
    </row>
    <row r="12" spans="2:45">
      <c r="B12" s="10" t="s">
        <v>169</v>
      </c>
      <c r="C12" s="165">
        <f>VLOOKUP(B12,Maestro!$A$7:$D$19,4,FALSE)</f>
        <v>44640</v>
      </c>
      <c r="D12" s="9">
        <f>+(($C12-(SUMIFS(disponibilidad[Tiempo falla 
(en Mintuos)],disponibilidad[JADE],"SI",disponibilidad[Mes],$B12,disponibilidad[[Tipo de afectación ]],"caÍda total",disponibilidad[Responsable Falla],"Matrix Tech",disponibilidad[Gana - Antioquia],"SI")))/$C12)*100</f>
        <v>100</v>
      </c>
      <c r="E12" s="9">
        <f>+(($C12-(SUMIFS(disponibilidad[Tiempo falla 
(en Mintuos)],disponibilidad[SIGA],"SI",disponibilidad[Mes],$B12,disponibilidad[[Tipo de afectación ]],"caÍda total",disponibilidad[Responsable Falla],"Matrix Tech",disponibilidad[Gana - Antioquia],"SI")))/$C12)*100</f>
        <v>100</v>
      </c>
      <c r="F12" s="9">
        <f>+(($C12-(SUMIFS(disponibilidad[Tiempo falla 
(en Mintuos)],disponibilidad[INVICTUS],"SI",disponibilidad[Mes],$B12,disponibilidad[[Tipo de afectación ]],"caÍda total",disponibilidad[Responsable Falla],"Matrix Tech",disponibilidad[Gana - Antioquia],"SI")))/$C12)*100</f>
        <v>100</v>
      </c>
      <c r="G12" s="9">
        <f>+(($C12-(SUMIFS(disponibilidad[Tiempo falla 
(en Mintuos)],disponibilidad[APLICACIONES WEB GANA],"SI",disponibilidad[Mes],$B12,disponibilidad[[Tipo de afectación ]],"caÍda total",disponibilidad[Responsable Falla],"Matrix Tech",disponibilidad[Gana - Antioquia],"SI")))/$C12)*100</f>
        <v>100</v>
      </c>
      <c r="H12" s="119">
        <f>+(($C12-(SUMIFS(disponibilidad[Tiempo falla 
(en Mintuos)],disponibilidad[SALO -LOTERIA],"SI",disponibilidad[Mes],$B12,disponibilidad[[Tipo de afectación ]],"caÍda total",disponibilidad[Responsable Falla],"Matrix Tech",disponibilidad[Gana - Antioquia],"SI")))/$C12)*100</f>
        <v>100</v>
      </c>
      <c r="I12" s="120">
        <f t="shared" si="2"/>
        <v>100</v>
      </c>
      <c r="J12" s="9">
        <f>+(($C12-(SUMIFS(disponibilidad[Tiempo falla 
(en Mintuos)],disponibilidad[Apuestas - Chance],"SI",disponibilidad[Mes],$B12,disponibilidad[[Tipo de afectación ]],"caÍda total",disponibilidad[Responsable Falla],"Matrix Tech",disponibilidad[Gana - Antioquia],"SI")))/$C12)*100</f>
        <v>100</v>
      </c>
      <c r="K12" s="9">
        <f>+(($C12-(SUMIFS(disponibilidad[Tiempo falla 
(en Mintuos)],disponibilidad[PAGOS],"SI",disponibilidad[Mes],$B12,disponibilidad[[Tipo de afectación ]],"caÍda total",disponibilidad[Responsable Falla],"Matrix Tech",disponibilidad[Gana - Antioquia],"SI")))/$C12)*100</f>
        <v>100</v>
      </c>
      <c r="L12" s="9">
        <f>+(($C12-(SUMIFS(disponibilidad[Tiempo falla 
(en Mintuos)],disponibilidad[RECAUDOS],"SI",disponibilidad[Mes],$B12,disponibilidad[[Tipo de afectación ]],"caÍda total",disponibilidad[Responsable Falla],"Matrix Tech",disponibilidad[Gana - Antioquia],"SI")))/$C12)*100</f>
        <v>100</v>
      </c>
      <c r="M12" s="9">
        <f>+(($C12-(SUMIFS(disponibilidad[Tiempo falla 
(en Mintuos)],disponibilidad[RECARGAS],"SI",disponibilidad[Mes],$B12,disponibilidad[[Tipo de afectación ]],"caÍda total",disponibilidad[Responsable Falla],"Matrix Tech",disponibilidad[Gana - Antioquia],"SI")))/$C12)*100</f>
        <v>100</v>
      </c>
      <c r="N12" s="13">
        <f t="shared" si="0"/>
        <v>100</v>
      </c>
      <c r="O12" s="9">
        <f>+(($C12-(SUMIFS(disponibilidad[Tiempo falla 
(en Mintuos)],disponibilidad[Apuestas - Chance],"SI",disponibilidad[Mes],$B12,disponibilidad[[Tipo de afectación ]],"caÍda total",disponibilidad[Responsable Falla],"Aliados o terceros",disponibilidad[Gana - Antioquia],"SI")))/$C12)*100</f>
        <v>100</v>
      </c>
      <c r="P12" s="9">
        <f>+(($C12-(SUMIFS(disponibilidad[Tiempo falla 
(en Mintuos)],disponibilidad[PAGOS],"SI",disponibilidad[Mes],$B12,disponibilidad[[Tipo de afectación ]],"caÍda total",disponibilidad[Responsable Falla],"Aliados o terceros",disponibilidad[Gana - Antioquia],"SI")))/$C12)*100</f>
        <v>100</v>
      </c>
      <c r="Q12" s="9">
        <f>+(($C12-(SUMIFS(disponibilidad[Tiempo falla 
(en Mintuos)],disponibilidad[RECAUDOS],"SI",disponibilidad[Mes],$B12,disponibilidad[[Tipo de afectación ]],"caÍda total",disponibilidad[Responsable Falla],"Aliados o terceros",disponibilidad[Gana - Antioquia],"SI")))/$C12)*100</f>
        <v>100</v>
      </c>
      <c r="R12" s="9">
        <f>+(($C12-(SUMIFS(disponibilidad[Tiempo falla 
(en Mintuos)],disponibilidad[RECARGAS],"SI",disponibilidad[Mes],$B12,disponibilidad[[Tipo de afectación ]],"caÍda total",disponibilidad[Responsable Falla],"Aliados o terceros",disponibilidad[Gana - Antioquia],"SI")))/$C12)*100</f>
        <v>100</v>
      </c>
      <c r="S12" s="13">
        <f t="shared" si="3"/>
        <v>100</v>
      </c>
      <c r="T12" s="12">
        <f>SUMIFS(disponibilidad[Tiempo falla 
(en Mintuos)],disponibilidad[Mes],$B12,disponibilidad[[Tipo de afectación ]],"caÍda total",disponibilidad[Responsable Falla],"Matrix Tech",disponibilidad[Gana - Antioquia],"SI")</f>
        <v>0</v>
      </c>
      <c r="U12" s="166">
        <f t="shared" si="4"/>
        <v>0</v>
      </c>
      <c r="V12" s="12">
        <f>SUMIFS(disponibilidad[Tiempo falla 
(en Mintuos)],disponibilidad[Mes],$B12,disponibilidad[[Tipo de afectación ]],"caÍda total",disponibilidad[Responsable Falla],"Aliados o terceros",disponibilidad[Gana - Antioquia],"SI")</f>
        <v>0</v>
      </c>
      <c r="W12" s="166">
        <f t="shared" si="1"/>
        <v>3.5170250895692244E-3</v>
      </c>
      <c r="Y12" s="82" t="s">
        <v>19</v>
      </c>
      <c r="Z12" s="271">
        <f>VLOOKUP($Z$7,$B$8:$S$18,5,FALSE)</f>
        <v>100</v>
      </c>
      <c r="AP12">
        <v>374</v>
      </c>
      <c r="AQ12" t="s">
        <v>459</v>
      </c>
      <c r="AR12" s="291">
        <f>+AP12*AR11/AP11</f>
        <v>74.8</v>
      </c>
      <c r="AS12" s="291"/>
    </row>
    <row r="13" spans="2:45">
      <c r="B13" s="10" t="s">
        <v>172</v>
      </c>
      <c r="C13" s="8">
        <f>VLOOKUP(B13,Maestro!$A$7:$D$19,4,FALSE)</f>
        <v>43200</v>
      </c>
      <c r="D13" s="9">
        <f>+(($C13-(SUMIFS(disponibilidad[Tiempo falla 
(en Mintuos)],disponibilidad[JADE],"SI",disponibilidad[Mes],$B13,disponibilidad[[Tipo de afectación ]],"caÍda total",disponibilidad[Responsable Falla],"Matrix Tech",disponibilidad[Gana - Antioquia],"SI")))/$C13)*100</f>
        <v>100</v>
      </c>
      <c r="E13" s="9">
        <f>+(($C13-(SUMIFS(disponibilidad[Tiempo falla 
(en Mintuos)],disponibilidad[SIGA],"SI",disponibilidad[Mes],$B13,disponibilidad[[Tipo de afectación ]],"caÍda total",disponibilidad[Responsable Falla],"Matrix Tech",disponibilidad[Gana - Antioquia],"SI")))/$C13)*100</f>
        <v>100</v>
      </c>
      <c r="F13" s="119">
        <f>+(($C13-(SUMIFS(disponibilidad[Tiempo falla 
(en Mintuos)],disponibilidad[INVICTUS],"SI",disponibilidad[Mes],$B13,disponibilidad[[Tipo de afectación ]],"caÍda total",disponibilidad[Responsable Falla],"Matrix Tech",disponibilidad[Gana - Antioquia],"SI")))/$C13)*100</f>
        <v>100</v>
      </c>
      <c r="G13" s="119">
        <f>+(($C13-(SUMIFS(disponibilidad[Tiempo falla 
(en Mintuos)],disponibilidad[APLICACIONES WEB GANA],"SI",disponibilidad[Mes],$B13,disponibilidad[[Tipo de afectación ]],"caÍda total",disponibilidad[Responsable Falla],"Matrix Tech",disponibilidad[Gana - Antioquia],"SI")))/$C13)*100</f>
        <v>100</v>
      </c>
      <c r="H13" s="119">
        <f>+(($C13-(SUMIFS(disponibilidad[Tiempo falla 
(en Mintuos)],disponibilidad[SALO -LOTERIA],"SI",disponibilidad[Mes],$B13,disponibilidad[[Tipo de afectación ]],"caÍda total",disponibilidad[Responsable Falla],"Matrix Tech",disponibilidad[Gana - Antioquia],"SI")))/$C13)*100</f>
        <v>100</v>
      </c>
      <c r="I13" s="120">
        <f t="shared" si="2"/>
        <v>100</v>
      </c>
      <c r="J13" s="9">
        <f>+(($C13-(SUMIFS(disponibilidad[Tiempo falla 
(en Mintuos)],disponibilidad[Apuestas - Chance],"SI",disponibilidad[Mes],$B13,disponibilidad[[Tipo de afectación ]],"caÍda total",disponibilidad[Responsable Falla],"Matrix Tech",disponibilidad[Gana - Antioquia],"SI")))/$C13)*100</f>
        <v>100</v>
      </c>
      <c r="K13" s="9">
        <f>+(($C13-(SUMIFS(disponibilidad[Tiempo falla 
(en Mintuos)],disponibilidad[PAGOS],"SI",disponibilidad[Mes],$B13,disponibilidad[[Tipo de afectación ]],"caÍda total",disponibilidad[Responsable Falla],"Matrix Tech",disponibilidad[Gana - Antioquia],"SI")))/$C13)*100</f>
        <v>100</v>
      </c>
      <c r="L13" s="9">
        <f>+(($C13-(SUMIFS(disponibilidad[Tiempo falla 
(en Mintuos)],disponibilidad[RECAUDOS],"SI",disponibilidad[Mes],$B13,disponibilidad[[Tipo de afectación ]],"caÍda total",disponibilidad[Responsable Falla],"Matrix Tech",disponibilidad[Gana - Antioquia],"SI")))/$C13)*100</f>
        <v>100</v>
      </c>
      <c r="M13" s="9">
        <f>+(($C13-(SUMIFS(disponibilidad[Tiempo falla 
(en Mintuos)],disponibilidad[RECARGAS],"SI",disponibilidad[Mes],$B13,disponibilidad[[Tipo de afectación ]],"caÍda total",disponibilidad[Responsable Falla],"Matrix Tech",disponibilidad[Gana - Antioquia],"SI")))/$C13)*100</f>
        <v>100</v>
      </c>
      <c r="N13" s="13">
        <f t="shared" si="0"/>
        <v>100</v>
      </c>
      <c r="O13" s="9">
        <f>+(($C13-(SUMIFS(disponibilidad[Tiempo falla 
(en Mintuos)],disponibilidad[Apuestas - Chance],"SI",disponibilidad[Mes],$B13,disponibilidad[[Tipo de afectación ]],"caÍda total",disponibilidad[Responsable Falla],"Aliados o terceros",disponibilidad[Gana - Antioquia],"SI")))/$C13)*100</f>
        <v>100</v>
      </c>
      <c r="P13" s="9">
        <f>+(($C13-(SUMIFS(disponibilidad[Tiempo falla 
(en Mintuos)],disponibilidad[PAGOS],"SI",disponibilidad[Mes],$B13,disponibilidad[[Tipo de afectación ]],"caÍda total",disponibilidad[Responsable Falla],"Aliados o terceros",disponibilidad[Gana - Antioquia],"SI")))/$C13)*100</f>
        <v>100</v>
      </c>
      <c r="Q13" s="9">
        <f>+(($C13-(SUMIFS(disponibilidad[Tiempo falla 
(en Mintuos)],disponibilidad[RECAUDOS],"SI",disponibilidad[Mes],$B13,disponibilidad[[Tipo de afectación ]],"caÍda total",disponibilidad[Responsable Falla],"Aliados o terceros",disponibilidad[Gana - Antioquia],"SI")))/$C13)*100</f>
        <v>100</v>
      </c>
      <c r="R13" s="9">
        <f>+(($C13-(SUMIFS(disponibilidad[Tiempo falla 
(en Mintuos)],disponibilidad[RECARGAS],"SI",disponibilidad[Mes],$B13,disponibilidad[[Tipo de afectación ]],"caÍda total",disponibilidad[Responsable Falla],"Aliados o terceros",disponibilidad[Gana - Antioquia],"SI")))/$C13)*100</f>
        <v>100</v>
      </c>
      <c r="S13" s="13">
        <f t="shared" si="3"/>
        <v>100</v>
      </c>
      <c r="T13" s="12">
        <f>SUMIFS(disponibilidad[Tiempo falla 
(en Mintuos)],disponibilidad[Mes],$B13,disponibilidad[[Tipo de afectación ]],"caÍda total",disponibilidad[Responsable Falla],"Matrix Tech",disponibilidad[Gana - Antioquia],"SI")</f>
        <v>0</v>
      </c>
      <c r="U13" s="14">
        <f t="shared" si="4"/>
        <v>0</v>
      </c>
      <c r="V13" s="121">
        <f>SUMIFS(disponibilidad[Tiempo falla 
(en Mintuos)],disponibilidad[Mes],$B13,disponibilidad[[Tipo de afectación ]],"caÍda total",disponibilidad[Responsable Falla],"Aliados o terceros",disponibilidad[Gana - Antioquia],"SI")</f>
        <v>0</v>
      </c>
      <c r="W13" s="14">
        <f t="shared" si="1"/>
        <v>3.5170250895692244E-3</v>
      </c>
      <c r="Y13" s="82" t="s">
        <v>456</v>
      </c>
      <c r="Z13" s="271">
        <f>VLOOKUP($Z$7,$B$8:$S$18,6,FALSE)</f>
        <v>99.784482758620683</v>
      </c>
      <c r="AQ13" t="s">
        <v>460</v>
      </c>
      <c r="AR13" s="291">
        <f>+AR11-AR12</f>
        <v>25.200000000000003</v>
      </c>
      <c r="AS13" s="291"/>
    </row>
    <row r="14" spans="2:45">
      <c r="B14" s="10" t="s">
        <v>173</v>
      </c>
      <c r="C14" s="8">
        <f>VLOOKUP(B14,Maestro!$A$7:$D$19,4,FALSE)</f>
        <v>44640</v>
      </c>
      <c r="D14" s="9">
        <f>+(($C14-(SUMIFS(disponibilidad[Tiempo falla 
(en Mintuos)],disponibilidad[JADE],"SI",disponibilidad[Mes],$B14,disponibilidad[[Tipo de afectación ]],"caÍda total",disponibilidad[Responsable Falla],"Matrix Tech",disponibilidad[Gana - Antioquia],"SI")))/$C14)*100</f>
        <v>100</v>
      </c>
      <c r="E14" s="9">
        <f>+(($C14-(SUMIFS(disponibilidad[Tiempo falla 
(en Mintuos)],disponibilidad[SIGA],"SI",disponibilidad[Mes],$B14,disponibilidad[[Tipo de afectación ]],"caÍda total",disponibilidad[Responsable Falla],"Matrix Tech",disponibilidad[Gana - Antioquia],"SI")))/$C14)*100</f>
        <v>100</v>
      </c>
      <c r="F14" s="119">
        <f>+(($C14-(SUMIFS(disponibilidad[Tiempo falla 
(en Mintuos)],disponibilidad[INVICTUS],"SI",disponibilidad[Mes],$B14,disponibilidad[[Tipo de afectación ]],"caÍda total",disponibilidad[Responsable Falla],"Matrix Tech",disponibilidad[Gana - Antioquia],"SI")))/$C14)*100</f>
        <v>100</v>
      </c>
      <c r="G14" s="119">
        <f>+(($C14-(SUMIFS(disponibilidad[Tiempo falla 
(en Mintuos)],disponibilidad[APLICACIONES WEB GANA],"SI",disponibilidad[Mes],$B14,disponibilidad[[Tipo de afectación ]],"caÍda total",disponibilidad[Responsable Falla],"Matrix Tech",disponibilidad[Gana - Antioquia],"SI")))/$C14)*100</f>
        <v>100</v>
      </c>
      <c r="H14" s="119">
        <f>+(($C14-(SUMIFS(disponibilidad[Tiempo falla 
(en Mintuos)],disponibilidad[SALO -LOTERIA],"SI",disponibilidad[Mes],$B14,disponibilidad[[Tipo de afectación ]],"caÍda total",disponibilidad[Responsable Falla],"Matrix Tech",disponibilidad[Gana - Antioquia],"SI")))/$C14)*100</f>
        <v>100</v>
      </c>
      <c r="I14" s="120">
        <f t="shared" si="2"/>
        <v>100</v>
      </c>
      <c r="J14" s="9">
        <f>+(($C14-(SUMIFS(disponibilidad[Tiempo falla 
(en Mintuos)],disponibilidad[Apuestas - Chance],"SI",disponibilidad[Mes],$B14,disponibilidad[[Tipo de afectación ]],"caÍda total",disponibilidad[Responsable Falla],"Matrix Tech",disponibilidad[Gana - Antioquia],"SI")))/$C14)*100</f>
        <v>100</v>
      </c>
      <c r="K14" s="9">
        <f>+(($C14-(SUMIFS(disponibilidad[Tiempo falla 
(en Mintuos)],disponibilidad[PAGOS],"SI",disponibilidad[Mes],$B14,disponibilidad[[Tipo de afectación ]],"caÍda total",disponibilidad[Responsable Falla],"Matrix Tech",disponibilidad[Gana - Antioquia],"SI")))/$C14)*100</f>
        <v>100</v>
      </c>
      <c r="L14" s="9">
        <f>+(($C14-(SUMIFS(disponibilidad[Tiempo falla 
(en Mintuos)],disponibilidad[RECAUDOS],"SI",disponibilidad[Mes],$B14,disponibilidad[[Tipo de afectación ]],"caÍda total",disponibilidad[Responsable Falla],"Matrix Tech",disponibilidad[Gana - Antioquia],"SI")))/$C14)*100</f>
        <v>100</v>
      </c>
      <c r="M14" s="9">
        <f>+(($C14-(SUMIFS(disponibilidad[Tiempo falla 
(en Mintuos)],disponibilidad[RECARGAS],"SI",disponibilidad[Mes],$B14,disponibilidad[[Tipo de afectación ]],"caÍda total",disponibilidad[Responsable Falla],"Matrix Tech",disponibilidad[Gana - Antioquia],"SI")))/$C14)*100</f>
        <v>100</v>
      </c>
      <c r="N14" s="13">
        <f t="shared" si="0"/>
        <v>100</v>
      </c>
      <c r="O14" s="9">
        <f>+(($C14-(SUMIFS(disponibilidad[Tiempo falla 
(en Mintuos)],disponibilidad[Apuestas - Chance],"SI",disponibilidad[Mes],$B14,disponibilidad[[Tipo de afectación ]],"caÍda total",disponibilidad[Responsable Falla],"Aliados o terceros",disponibilidad[Gana - Antioquia],"SI")))/$C14)*100</f>
        <v>100</v>
      </c>
      <c r="P14" s="9">
        <f>+(($C14-(SUMIFS(disponibilidad[Tiempo falla 
(en Mintuos)],disponibilidad[PAGOS],"SI",disponibilidad[Mes],$B14,disponibilidad[[Tipo de afectación ]],"caÍda total",disponibilidad[Responsable Falla],"Aliados o terceros",disponibilidad[Gana - Antioquia],"SI")))/$C14)*100</f>
        <v>100</v>
      </c>
      <c r="Q14" s="9">
        <f>+(($C14-(SUMIFS(disponibilidad[Tiempo falla 
(en Mintuos)],disponibilidad[RECAUDOS],"SI",disponibilidad[Mes],$B14,disponibilidad[[Tipo de afectación ]],"caÍda total",disponibilidad[Responsable Falla],"Aliados o terceros",disponibilidad[Gana - Antioquia],"SI")))/$C14)*100</f>
        <v>100</v>
      </c>
      <c r="R14" s="9">
        <f>+(($C14-(SUMIFS(disponibilidad[Tiempo falla 
(en Mintuos)],disponibilidad[RECARGAS],"SI",disponibilidad[Mes],$B14,disponibilidad[[Tipo de afectación ]],"caÍda total",disponibilidad[Responsable Falla],"Aliados o terceros",disponibilidad[Gana - Antioquia],"SI")))/$C14)*100</f>
        <v>100</v>
      </c>
      <c r="S14" s="13">
        <f t="shared" si="3"/>
        <v>100</v>
      </c>
      <c r="T14" s="12">
        <f>SUMIFS(disponibilidad[Tiempo falla 
(en Mintuos)],disponibilidad[Mes],$B14,disponibilidad[[Tipo de afectación ]],"caÍda total",disponibilidad[Responsable Falla],"Matrix Tech",disponibilidad[Gana - Antioquia],"SI")</f>
        <v>0</v>
      </c>
      <c r="U14" s="14">
        <f t="shared" si="4"/>
        <v>0</v>
      </c>
      <c r="V14" s="121">
        <f>SUMIFS(disponibilidad[Tiempo falla 
(en Mintuos)],disponibilidad[Mes],$B14,disponibilidad[[Tipo de afectación ]],"caÍda total",disponibilidad[Responsable Falla],"Aliados o terceros",disponibilidad[Gana - Antioquia],"SI")</f>
        <v>0</v>
      </c>
      <c r="W14" s="14">
        <f t="shared" si="1"/>
        <v>3.5170250895692244E-3</v>
      </c>
      <c r="Y14" s="82" t="s">
        <v>20</v>
      </c>
      <c r="Z14" s="271">
        <f>VLOOKUP($Z$7,$B$8:$S$18,7,FALSE)</f>
        <v>100</v>
      </c>
    </row>
    <row r="15" spans="2:45">
      <c r="B15" s="10" t="s">
        <v>174</v>
      </c>
      <c r="C15" s="8">
        <f>VLOOKUP(B15,Maestro!$A$7:$D$19,4,FALSE)</f>
        <v>44640</v>
      </c>
      <c r="D15" s="9">
        <f>+(($C15-(SUMIFS(disponibilidad[Tiempo falla 
(en Mintuos)],disponibilidad[JADE],"SI",disponibilidad[Mes],$B15,disponibilidad[[Tipo de afectación ]],"caÍda total",disponibilidad[Responsable Falla],"Matrix Tech",disponibilidad[Gana - Antioquia],"SI")))/$C15)*100</f>
        <v>100</v>
      </c>
      <c r="E15" s="9">
        <f>+(($C15-(SUMIFS(disponibilidad[Tiempo falla 
(en Mintuos)],disponibilidad[SIGA],"SI",disponibilidad[Mes],$B15,disponibilidad[[Tipo de afectación ]],"caÍda total",disponibilidad[Responsable Falla],"Matrix Tech",disponibilidad[Gana - Antioquia],"SI")))/$C15)*100</f>
        <v>100</v>
      </c>
      <c r="F15" s="119">
        <f>+(($C15-(SUMIFS(disponibilidad[Tiempo falla 
(en Mintuos)],disponibilidad[INVICTUS],"SI",disponibilidad[Mes],$B15,disponibilidad[[Tipo de afectación ]],"caÍda total",disponibilidad[Responsable Falla],"Matrix Tech",disponibilidad[Gana - Antioquia],"SI")))/$C15)*100</f>
        <v>100</v>
      </c>
      <c r="G15" s="119">
        <f>+(($C15-(SUMIFS(disponibilidad[Tiempo falla 
(en Mintuos)],disponibilidad[APLICACIONES WEB GANA],"SI",disponibilidad[Mes],$B15,disponibilidad[[Tipo de afectación ]],"caÍda total",disponibilidad[Responsable Falla],"Matrix Tech",disponibilidad[Gana - Antioquia],"SI")))/$C15)*100</f>
        <v>100</v>
      </c>
      <c r="H15" s="119">
        <f>+(($C15-(SUMIFS(disponibilidad[Tiempo falla 
(en Mintuos)],disponibilidad[SALO -LOTERIA],"SI",disponibilidad[Mes],$B15,disponibilidad[[Tipo de afectación ]],"caÍda total",disponibilidad[Responsable Falla],"Matrix Tech",disponibilidad[Gana - Antioquia],"SI")))/$C15)*100</f>
        <v>100</v>
      </c>
      <c r="I15" s="120">
        <f>SUMPRODUCT($D$7:$H$7,D15:H15)/$N$7</f>
        <v>100</v>
      </c>
      <c r="J15" s="9">
        <f>+(($C15-(SUMIFS(disponibilidad[Tiempo falla 
(en Mintuos)],disponibilidad[Apuestas - Chance],"SI",disponibilidad[Mes],$B15,disponibilidad[[Tipo de afectación ]],"caÍda total",disponibilidad[Responsable Falla],"Matrix Tech",disponibilidad[Gana - Antioquia],"SI")))/$C15)*100</f>
        <v>100</v>
      </c>
      <c r="K15" s="9">
        <f>+(($C15-(SUMIFS(disponibilidad[Tiempo falla 
(en Mintuos)],disponibilidad[PAGOS],"SI",disponibilidad[Mes],$B15,disponibilidad[[Tipo de afectación ]],"caÍda total",disponibilidad[Responsable Falla],"Matrix Tech",disponibilidad[Gana - Antioquia],"SI")))/$C15)*100</f>
        <v>100</v>
      </c>
      <c r="L15" s="9">
        <f>+(($C15-(SUMIFS(disponibilidad[Tiempo falla 
(en Mintuos)],disponibilidad[RECAUDOS],"SI",disponibilidad[Mes],$B15,disponibilidad[[Tipo de afectación ]],"caÍda total",disponibilidad[Responsable Falla],"Matrix Tech",disponibilidad[Gana - Antioquia],"SI")))/$C15)*100</f>
        <v>100</v>
      </c>
      <c r="M15" s="9">
        <f>+(($C15-(SUMIFS(disponibilidad[Tiempo falla 
(en Mintuos)],disponibilidad[RECARGAS],"SI",disponibilidad[Mes],$B15,disponibilidad[[Tipo de afectación ]],"caÍda total",disponibilidad[Responsable Falla],"Matrix Tech",disponibilidad[Gana - Antioquia],"SI")))/$C15)*100</f>
        <v>100</v>
      </c>
      <c r="N15" s="13">
        <f t="shared" si="0"/>
        <v>100</v>
      </c>
      <c r="O15" s="9">
        <f>+(($C15-(SUMIFS(disponibilidad[Tiempo falla 
(en Mintuos)],disponibilidad[Apuestas - Chance],"SI",disponibilidad[Mes],$B15,disponibilidad[[Tipo de afectación ]],"caÍda total",disponibilidad[Responsable Falla],"Aliados o terceros",disponibilidad[Gana - Antioquia],"SI")))/$C15)*100</f>
        <v>100</v>
      </c>
      <c r="P15" s="9">
        <f>+(($C15-(SUMIFS(disponibilidad[Tiempo falla 
(en Mintuos)],disponibilidad[PAGOS],"SI",disponibilidad[Mes],$B15,disponibilidad[[Tipo de afectación ]],"caÍda total",disponibilidad[Responsable Falla],"Aliados o terceros",disponibilidad[Gana - Antioquia],"SI")))/$C15)*100</f>
        <v>100</v>
      </c>
      <c r="Q15" s="9">
        <f>+(($C15-(SUMIFS(disponibilidad[Tiempo falla 
(en Mintuos)],disponibilidad[RECAUDOS],"SI",disponibilidad[Mes],$B15,disponibilidad[[Tipo de afectación ]],"caÍda total",disponibilidad[Responsable Falla],"Aliados o terceros",disponibilidad[Gana - Antioquia],"SI")))/$C15)*100</f>
        <v>100</v>
      </c>
      <c r="R15" s="9">
        <f>+(($C15-(SUMIFS(disponibilidad[Tiempo falla 
(en Mintuos)],disponibilidad[RECARGAS],"SI",disponibilidad[Mes],$B15,disponibilidad[[Tipo de afectación ]],"caÍda total",disponibilidad[Responsable Falla],"Aliados o terceros",disponibilidad[Gana - Antioquia],"SI")))/$C15)*100</f>
        <v>100</v>
      </c>
      <c r="S15" s="13">
        <f t="shared" si="3"/>
        <v>100</v>
      </c>
      <c r="T15" s="12">
        <f>SUMIFS(disponibilidad[Tiempo falla 
(en Mintuos)],disponibilidad[Mes],$B15,disponibilidad[[Tipo de afectación ]],"caÍda total",disponibilidad[Responsable Falla],"Matrix Tech",disponibilidad[Gana - Antioquia],"SI")</f>
        <v>0</v>
      </c>
      <c r="U15" s="14">
        <f t="shared" si="4"/>
        <v>0</v>
      </c>
      <c r="V15" s="121">
        <f>SUMIFS(disponibilidad[Tiempo falla 
(en Mintuos)],disponibilidad[Mes],$B15,disponibilidad[[Tipo de afectación ]],"caÍda total",disponibilidad[Responsable Falla],"Aliados o terceros",disponibilidad[Gana - Antioquia],"SI")</f>
        <v>0</v>
      </c>
      <c r="W15" s="14">
        <f>+$V$15/$C$15</f>
        <v>0</v>
      </c>
      <c r="Y15" s="272" t="s">
        <v>171</v>
      </c>
      <c r="Z15" s="271">
        <f>VLOOKUP($Z$7,$B$8:$S$18,8,FALSE)</f>
        <v>99.984913793103445</v>
      </c>
      <c r="AP15" t="s">
        <v>461</v>
      </c>
    </row>
    <row r="16" spans="2:45">
      <c r="B16" s="141" t="s">
        <v>175</v>
      </c>
      <c r="C16" s="142">
        <f>VLOOKUP(B16,Maestro!$A$7:$D$19,4,FALSE)</f>
        <v>43200</v>
      </c>
      <c r="D16" s="143">
        <f>+(($C16-(SUMIFS(disponibilidad[Tiempo falla 
(en Mintuos)],disponibilidad[JADE],"SI",disponibilidad[Mes],$B16,disponibilidad[[Tipo de afectación ]],"caÍda total",disponibilidad[Responsable Falla],"Matrix Tech",disponibilidad[Gana - Antioquia],"SI")))/$C16)*100</f>
        <v>100</v>
      </c>
      <c r="E16" s="143">
        <f>+(($C16-(SUMIFS(disponibilidad[Tiempo falla 
(en Mintuos)],disponibilidad[SIGA],"SI",disponibilidad[Mes],$B16,disponibilidad[[Tipo de afectación ]],"caÍda total",disponibilidad[Responsable Falla],"Matrix Tech",disponibilidad[Gana - Antioquia],"SI")))/$C16)*100</f>
        <v>100</v>
      </c>
      <c r="F16" s="119">
        <f>+(($C16-(SUMIFS(disponibilidad[Tiempo falla 
(en Mintuos)],disponibilidad[INVICTUS],"SI",disponibilidad[Mes],$B16,disponibilidad[[Tipo de afectación ]],"caÍda total",disponibilidad[Responsable Falla],"Matrix Tech",disponibilidad[Gana - Antioquia],"SI")))/$C16)*100</f>
        <v>100</v>
      </c>
      <c r="G16" s="119">
        <f>+(($C16-(SUMIFS(disponibilidad[Tiempo falla 
(en Mintuos)],disponibilidad[APLICACIONES WEB GANA],"SI",disponibilidad[Mes],$B16,disponibilidad[[Tipo de afectación ]],"caÍda total",disponibilidad[Responsable Falla],"Matrix Tech",disponibilidad[Gana - Antioquia],"SI")))/$C16)*100</f>
        <v>100</v>
      </c>
      <c r="H16" s="119">
        <f>+(($C16-(SUMIFS(disponibilidad[Tiempo falla 
(en Mintuos)],disponibilidad[SALO -LOTERIA],"SI",disponibilidad[Mes],$B16,disponibilidad[[Tipo de afectación ]],"caÍda total",disponibilidad[Responsable Falla],"Matrix Tech",disponibilidad[Gana - Antioquia],"SI")))/$C16)*100</f>
        <v>100</v>
      </c>
      <c r="I16" s="120">
        <f t="shared" si="2"/>
        <v>100</v>
      </c>
      <c r="J16" s="143">
        <f>+(($C16-(SUMIFS(disponibilidad[Tiempo falla 
(en Mintuos)],disponibilidad[Apuestas - Chance],"SI",disponibilidad[Mes],$B16,disponibilidad[[Tipo de afectación ]],"caÍda total",disponibilidad[Responsable Falla],"Matrix Tech",disponibilidad[Gana - Antioquia],"SI")))/$C16)*100</f>
        <v>100</v>
      </c>
      <c r="K16" s="143">
        <f>+(($C16-(SUMIFS(disponibilidad[Tiempo falla 
(en Mintuos)],disponibilidad[PAGOS],"SI",disponibilidad[Mes],$B16,disponibilidad[[Tipo de afectación ]],"caÍda total",disponibilidad[Responsable Falla],"Matrix Tech",disponibilidad[Gana - Antioquia],"SI")))/$C16)*100</f>
        <v>100</v>
      </c>
      <c r="L16" s="143">
        <f>+(($C16-(SUMIFS(disponibilidad[Tiempo falla 
(en Mintuos)],disponibilidad[RECAUDOS],"SI",disponibilidad[Mes],$B16,disponibilidad[[Tipo de afectación ]],"caÍda total",disponibilidad[Responsable Falla],"Matrix Tech",disponibilidad[Gana - Antioquia],"SI")))/$C16)*100</f>
        <v>100</v>
      </c>
      <c r="M16" s="143">
        <f>+(($C16-(SUMIFS(disponibilidad[Tiempo falla 
(en Mintuos)],disponibilidad[RECARGAS],"SI",disponibilidad[Mes],$B16,disponibilidad[[Tipo de afectación ]],"caÍda total",disponibilidad[Responsable Falla],"Matrix Tech",disponibilidad[Gana - Antioquia],"SI")))/$C16)*100</f>
        <v>100</v>
      </c>
      <c r="N16" s="144">
        <f>SUMPRODUCT($J$7:$M$7,J16:M16)/$N$7</f>
        <v>100</v>
      </c>
      <c r="O16" s="143">
        <f>+(($C16-(SUMIFS(disponibilidad[Tiempo falla 
(en Mintuos)],disponibilidad[Apuestas - Chance],"SI",disponibilidad[Mes],$B16,disponibilidad[[Tipo de afectación ]],"caÍda total",disponibilidad[Responsable Falla],"Aliados o terceros",disponibilidad[Gana - Antioquia],"SI")))/$C16)*100</f>
        <v>100</v>
      </c>
      <c r="P16" s="143">
        <f>+(($C16-(SUMIFS(disponibilidad[Tiempo falla 
(en Mintuos)],disponibilidad[PAGOS],"SI",disponibilidad[Mes],$B16,disponibilidad[[Tipo de afectación ]],"caÍda total",disponibilidad[Responsable Falla],"Aliados o terceros",disponibilidad[Gana - Antioquia],"SI")))/$C16)*100</f>
        <v>100</v>
      </c>
      <c r="Q16" s="143">
        <f>+(($C16-(SUMIFS(disponibilidad[Tiempo falla 
(en Mintuos)],disponibilidad[RECAUDOS],"SI",disponibilidad[Mes],$B16,disponibilidad[[Tipo de afectación ]],"caÍda total",disponibilidad[Responsable Falla],"Aliados o terceros",disponibilidad[Gana - Antioquia],"SI")))/$C16)*100</f>
        <v>100</v>
      </c>
      <c r="R16" s="143">
        <f>+(($C16-(SUMIFS(disponibilidad[Tiempo falla 
(en Mintuos)],disponibilidad[RECARGAS],"SI",disponibilidad[Mes],$B16,disponibilidad[[Tipo de afectación ]],"caÍda total",disponibilidad[Responsable Falla],"Aliados o terceros",disponibilidad[Gana - Antioquia],"SI")))/$C16)*100</f>
        <v>100</v>
      </c>
      <c r="S16" s="144">
        <f t="shared" si="3"/>
        <v>100</v>
      </c>
      <c r="T16" s="145">
        <f>SUMIFS(disponibilidad[Tiempo falla 
(en Mintuos)],disponibilidad[Mes],$B16,disponibilidad[[Tipo de afectación ]],"caÍda total",disponibilidad[Responsable Falla],"Matrix Tech",disponibilidad[Gana - Antioquia],"SI")</f>
        <v>0</v>
      </c>
      <c r="U16" s="146">
        <f t="shared" si="4"/>
        <v>0</v>
      </c>
      <c r="V16" s="145">
        <f>SUMIFS(disponibilidad[Tiempo falla 
(en Mintuos)],disponibilidad[Mes],$B16,disponibilidad[[Tipo de afectación ]],"caÍda total",disponibilidad[Responsable Falla],"Aliados o terceros",disponibilidad[Gana - Antioquia],"SI")</f>
        <v>0</v>
      </c>
      <c r="W16" s="146">
        <f>+$V$8/$C$8</f>
        <v>3.5170250895692244E-3</v>
      </c>
      <c r="AP16">
        <v>646</v>
      </c>
      <c r="AR16">
        <v>100</v>
      </c>
    </row>
    <row r="17" spans="1:44">
      <c r="A17" s="129"/>
      <c r="B17" s="141" t="s">
        <v>176</v>
      </c>
      <c r="C17" s="142">
        <f>VLOOKUP(B17,Maestro!$A$7:$D$19,4,FALSE)</f>
        <v>44640</v>
      </c>
      <c r="D17" s="143">
        <f>+(($C17-(SUMIFS(disponibilidad[Tiempo falla 
(en Mintuos)],disponibilidad[JADE],"SI",disponibilidad[Mes],$B17,disponibilidad[[Tipo de afectación ]],"caÍda total",disponibilidad[Responsable Falla],"Matrix Tech",disponibilidad[Gana - Antioquia],"SI")))/$C17)*100</f>
        <v>100</v>
      </c>
      <c r="E17" s="143">
        <f>+(($C17-(SUMIFS(disponibilidad[Tiempo falla 
(en Mintuos)],disponibilidad[SIGA],"SI",disponibilidad[Mes],$B17,disponibilidad[[Tipo de afectación ]],"caÍda total",disponibilidad[Responsable Falla],"Matrix Tech",disponibilidad[Gana - Antioquia],"SI")))/$C17)*100</f>
        <v>100</v>
      </c>
      <c r="F17" s="119">
        <f>+(($C17-(SUMIFS(disponibilidad[Tiempo falla 
(en Mintuos)],disponibilidad[INVICTUS],"SI",disponibilidad[Mes],$B17,disponibilidad[[Tipo de afectación ]],"caÍda total",disponibilidad[Responsable Falla],"Matrix Tech",disponibilidad[Gana - Antioquia],"SI")))/$C17)*100</f>
        <v>100</v>
      </c>
      <c r="G17" s="119">
        <f>+(($C17-(SUMIFS(disponibilidad[Tiempo falla 
(en Mintuos)],disponibilidad[APLICACIONES WEB GANA],"SI",disponibilidad[Mes],$B17,disponibilidad[[Tipo de afectación ]],"caÍda total",disponibilidad[Responsable Falla],"Matrix Tech",disponibilidad[Gana - Antioquia],"SI")))/$C17)*100</f>
        <v>100</v>
      </c>
      <c r="H17" s="119">
        <f>+(($C17-(SUMIFS(disponibilidad[Tiempo falla 
(en Mintuos)],disponibilidad[SALO -LOTERIA],"SI",disponibilidad[Mes],$B17,disponibilidad[[Tipo de afectación ]],"caÍda total",disponibilidad[Responsable Falla],"Matrix Tech",disponibilidad[Gana - Antioquia],"SI")))/$C17)*100</f>
        <v>100</v>
      </c>
      <c r="I17" s="120">
        <f t="shared" si="2"/>
        <v>100</v>
      </c>
      <c r="J17" s="143">
        <f>+(($C17-(SUMIFS(disponibilidad[Tiempo falla 
(en Mintuos)],disponibilidad[Apuestas - Chance],"SI",disponibilidad[Mes],$B17,disponibilidad[[Tipo de afectación ]],"caÍda total",disponibilidad[Responsable Falla],"Matrix Tech",disponibilidad[Gana - Antioquia],"SI")))/$C17)*100</f>
        <v>100</v>
      </c>
      <c r="K17" s="143">
        <f>+(($C17-(SUMIFS(disponibilidad[Tiempo falla 
(en Mintuos)],disponibilidad[PAGOS],"SI",disponibilidad[Mes],$B17,disponibilidad[[Tipo de afectación ]],"caÍda total",disponibilidad[Responsable Falla],"Matrix Tech",disponibilidad[Gana - Antioquia],"SI")))/$C17)*100</f>
        <v>100</v>
      </c>
      <c r="L17" s="143">
        <f>+(($C17-(SUMIFS(disponibilidad[Tiempo falla 
(en Mintuos)],disponibilidad[RECAUDOS],"SI",disponibilidad[Mes],$B17,disponibilidad[[Tipo de afectación ]],"caÍda total",disponibilidad[Responsable Falla],"Matrix Tech",disponibilidad[Gana - Antioquia],"SI")))/$C17)*100</f>
        <v>100</v>
      </c>
      <c r="M17" s="143">
        <f>+(($C17-(SUMIFS(disponibilidad[Tiempo falla 
(en Mintuos)],disponibilidad[RECARGAS],"SI",disponibilidad[Mes],$B17,disponibilidad[[Tipo de afectación ]],"caÍda total",disponibilidad[Responsable Falla],"Matrix Tech",disponibilidad[Gana - Antioquia],"SI")))/$C17)*100</f>
        <v>100</v>
      </c>
      <c r="N17" s="144">
        <f t="shared" si="0"/>
        <v>100</v>
      </c>
      <c r="O17" s="143">
        <f>+(($C17-(SUMIFS(disponibilidad[Tiempo falla 
(en Mintuos)],disponibilidad[Apuestas - Chance],"SI",disponibilidad[Mes],$B17,disponibilidad[[Tipo de afectación ]],"caÍda total",disponibilidad[Responsable Falla],"Aliados o terceros",disponibilidad[Gana - Antioquia],"SI")))/$C17)*100</f>
        <v>100</v>
      </c>
      <c r="P17" s="143">
        <f>+(($C17-(SUMIFS(disponibilidad[Tiempo falla 
(en Mintuos)],disponibilidad[PAGOS],"SI",disponibilidad[Mes],$B17,disponibilidad[[Tipo de afectación ]],"caÍda total",disponibilidad[Responsable Falla],"Aliados o terceros",disponibilidad[Gana - Antioquia],"SI")))/$C17)*100</f>
        <v>100</v>
      </c>
      <c r="Q17" s="143">
        <f>+(($C17-(SUMIFS(disponibilidad[Tiempo falla 
(en Mintuos)],disponibilidad[RECAUDOS],"SI",disponibilidad[Mes],$B17,disponibilidad[[Tipo de afectación ]],"caÍda total",disponibilidad[Responsable Falla],"Aliados o terceros",disponibilidad[Gana - Antioquia],"SI")))/$C17)*100</f>
        <v>100</v>
      </c>
      <c r="R17" s="143">
        <f>+(($C17-(SUMIFS(disponibilidad[Tiempo falla 
(en Mintuos)],disponibilidad[RECARGAS],"SI",disponibilidad[Mes],$B17,disponibilidad[[Tipo de afectación ]],"caÍda total",disponibilidad[Responsable Falla],"Aliados o terceros",disponibilidad[Gana - Antioquia],"SI")))/$C17)*100</f>
        <v>100</v>
      </c>
      <c r="S17" s="144">
        <f t="shared" si="3"/>
        <v>100</v>
      </c>
      <c r="T17" s="145">
        <f>SUMIFS(disponibilidad[Tiempo falla 
(en Mintuos)],disponibilidad[Mes],$B17,disponibilidad[[Tipo de afectación ]],"caÍda total",disponibilidad[Responsable Falla],"Matrix Tech",disponibilidad[Gana - Antioquia],"SI")</f>
        <v>0</v>
      </c>
      <c r="U17" s="146">
        <f t="shared" si="4"/>
        <v>0</v>
      </c>
      <c r="V17" s="145">
        <f>SUMIFS(disponibilidad[Tiempo falla 
(en Mintuos)],disponibilidad[Mes],$B17,disponibilidad[[Tipo de afectación ]],"caÍda total",disponibilidad[Responsable Falla],"Aliados o terceros",disponibilidad[Gana - Antioquia],"SI")</f>
        <v>0</v>
      </c>
      <c r="W17" s="146">
        <f>+$V$8/$C$8</f>
        <v>3.5170250895692244E-3</v>
      </c>
      <c r="X17" s="129"/>
      <c r="AP17">
        <v>459</v>
      </c>
      <c r="AQ17" t="s">
        <v>459</v>
      </c>
      <c r="AR17" s="290">
        <f>+AP17*AR16/AP16</f>
        <v>71.05263157894737</v>
      </c>
    </row>
    <row r="18" spans="1:44">
      <c r="B18" s="141" t="s">
        <v>178</v>
      </c>
      <c r="C18" s="142">
        <f>VLOOKUP(B18,Maestro!$A$7:$D$19,4,FALSE)</f>
        <v>44640</v>
      </c>
      <c r="D18" s="143">
        <f>+(($C18-(SUMIFS(disponibilidad[Tiempo falla 
(en Mintuos)],disponibilidad[JADE],"SI",disponibilidad[Mes],$B18,disponibilidad[[Tipo de afectación ]],"caÍda total",disponibilidad[Responsable Falla],"Matrix Tech",disponibilidad[Gana - Antioquia],"SI")))/$C18)*100</f>
        <v>100</v>
      </c>
      <c r="E18" s="143">
        <f>+(($C18-(SUMIFS(disponibilidad[Tiempo falla 
(en Mintuos)],disponibilidad[SIGA],"SI",disponibilidad[Mes],$B18,disponibilidad[[Tipo de afectación ]],"caÍda total",disponibilidad[Responsable Falla],"Matrix Tech",disponibilidad[Gana - Antioquia],"SI")))/$C18)*100</f>
        <v>100</v>
      </c>
      <c r="F18" s="119">
        <f>+(($C18-(SUMIFS(disponibilidad[Tiempo falla 
(en Mintuos)],disponibilidad[INVICTUS],"SI",disponibilidad[Mes],$B18,disponibilidad[[Tipo de afectación ]],"caÍda total",disponibilidad[Responsable Falla],"Matrix Tech",disponibilidad[Gana - Antioquia],"SI")))/$C18)*100</f>
        <v>100</v>
      </c>
      <c r="G18" s="119">
        <f>+(($C18-(SUMIFS(disponibilidad[Tiempo falla 
(en Mintuos)],disponibilidad[APLICACIONES WEB GANA],"SI",disponibilidad[Mes],$B18,disponibilidad[[Tipo de afectación ]],"caÍda total",disponibilidad[Responsable Falla],"Matrix Tech",disponibilidad[Gana - Antioquia],"SI")))/$C18)*100</f>
        <v>100</v>
      </c>
      <c r="H18" s="119">
        <f>+(($C18-(SUMIFS(disponibilidad[Tiempo falla 
(en Mintuos)],disponibilidad[SALO -LOTERIA],"SI",disponibilidad[Mes],$B18,disponibilidad[[Tipo de afectación ]],"caÍda total",disponibilidad[Responsable Falla],"Matrix Tech",disponibilidad[Gana - Antioquia],"SI")))/$C18)*100</f>
        <v>100</v>
      </c>
      <c r="I18" s="120">
        <f t="shared" si="2"/>
        <v>100</v>
      </c>
      <c r="J18" s="143">
        <f>+(($C18-(SUMIFS(disponibilidad[Tiempo falla 
(en Mintuos)],disponibilidad[Apuestas - Chance],"SI",disponibilidad[Mes],$B18,disponibilidad[[Tipo de afectación ]],"caÍda total",disponibilidad[Responsable Falla],"Matrix Tech",disponibilidad[Gana - Antioquia],"SI")))/$C18)*100</f>
        <v>100</v>
      </c>
      <c r="K18" s="143">
        <f>+(($C18-(SUMIFS(disponibilidad[Tiempo falla 
(en Mintuos)],disponibilidad[PAGOS],"SI",disponibilidad[Mes],$B18,disponibilidad[[Tipo de afectación ]],"caÍda total",disponibilidad[Responsable Falla],"Matrix Tech",disponibilidad[Gana - Antioquia],"SI")))/$C18)*100</f>
        <v>100</v>
      </c>
      <c r="L18" s="143">
        <f>+(($C18-(SUMIFS(disponibilidad[Tiempo falla 
(en Mintuos)],disponibilidad[RECAUDOS],"SI",disponibilidad[Mes],$B18,disponibilidad[[Tipo de afectación ]],"caÍda total",disponibilidad[Responsable Falla],"Matrix Tech",disponibilidad[Gana - Antioquia],"SI")))/$C18)*100</f>
        <v>100</v>
      </c>
      <c r="M18" s="143">
        <f>+(($C18-(SUMIFS(disponibilidad[Tiempo falla 
(en Mintuos)],disponibilidad[RECARGAS],"SI",disponibilidad[Mes],$B18,disponibilidad[[Tipo de afectación ]],"caÍda total",disponibilidad[Responsable Falla],"Matrix Tech",disponibilidad[Gana - Antioquia],"SI")))/$C18)*100</f>
        <v>100</v>
      </c>
      <c r="N18" s="144">
        <f t="shared" si="0"/>
        <v>100</v>
      </c>
      <c r="O18" s="143">
        <f>+(($C18-(SUMIFS(disponibilidad[Tiempo falla 
(en Mintuos)],disponibilidad[Apuestas - Chance],"SI",disponibilidad[Mes],$B18,disponibilidad[[Tipo de afectación ]],"caÍda total",disponibilidad[Responsable Falla],"Aliados o terceros",disponibilidad[Gana - Antioquia],"SI")))/$C18)*100</f>
        <v>100</v>
      </c>
      <c r="P18" s="143">
        <f>+(($C18-(SUMIFS(disponibilidad[Tiempo falla 
(en Mintuos)],disponibilidad[PAGOS],"SI",disponibilidad[Mes],$B18,disponibilidad[[Tipo de afectación ]],"caÍda total",disponibilidad[Responsable Falla],"Aliados o terceros",disponibilidad[Gana - Antioquia],"SI")))/$C18)*100</f>
        <v>100</v>
      </c>
      <c r="Q18" s="143">
        <f>+(($C18-(SUMIFS(disponibilidad[Tiempo falla 
(en Mintuos)],disponibilidad[RECAUDOS],"SI",disponibilidad[Mes],$B18,disponibilidad[[Tipo de afectación ]],"caÍda total",disponibilidad[Responsable Falla],"Aliados o terceros",disponibilidad[Gana - Antioquia],"SI")))/$C18)*100</f>
        <v>100</v>
      </c>
      <c r="R18" s="143">
        <f>+(($C18-(SUMIFS(disponibilidad[Tiempo falla 
(en Mintuos)],disponibilidad[RECARGAS],"SI",disponibilidad[Mes],$B18,disponibilidad[[Tipo de afectación ]],"caÍda total",disponibilidad[Responsable Falla],"Aliados o terceros",disponibilidad[Gana - Antioquia],"SI")))/$C18)*100</f>
        <v>100</v>
      </c>
      <c r="S18" s="144">
        <f t="shared" si="3"/>
        <v>100</v>
      </c>
      <c r="T18" s="145">
        <f>SUMIFS(disponibilidad[Tiempo falla 
(en Mintuos)],disponibilidad[Mes],$B18,disponibilidad[[Tipo de afectación ]],"caÍda total",disponibilidad[Responsable Falla],"Matrix Tech",disponibilidad[Gana - Antioquia],"SI")</f>
        <v>0</v>
      </c>
      <c r="U18" s="146">
        <f t="shared" si="4"/>
        <v>0</v>
      </c>
      <c r="V18" s="145">
        <f>SUMIFS(disponibilidad[Tiempo falla 
(en Mintuos)],disponibilidad[Mes],$B18,disponibilidad[[Tipo de afectación ]],"caÍda total",disponibilidad[Responsable Falla],"Aliados o terceros",disponibilidad[Gana - Antioquia],"SI")</f>
        <v>0</v>
      </c>
      <c r="W18" s="146">
        <f>+$V$8/$C$8</f>
        <v>3.5170250895692244E-3</v>
      </c>
      <c r="Y18" s="129"/>
      <c r="AQ18" t="s">
        <v>460</v>
      </c>
      <c r="AR18" s="290">
        <f>+AR16-AR17</f>
        <v>28.94736842105263</v>
      </c>
    </row>
    <row r="19" spans="1:44">
      <c r="Y19" s="82" t="s">
        <v>28</v>
      </c>
      <c r="Z19" s="271">
        <f>VLOOKUP($Z$7,$B$8:$S$18,9,FALSE)</f>
        <v>99.746168582376043</v>
      </c>
    </row>
    <row r="20" spans="1:44">
      <c r="Y20" s="82" t="s">
        <v>29</v>
      </c>
      <c r="Z20" s="271">
        <f>VLOOKUP($Z$7,$B$8:$S$18,10,FALSE)</f>
        <v>100</v>
      </c>
    </row>
    <row r="21" spans="1:44">
      <c r="Y21" s="82" t="s">
        <v>30</v>
      </c>
      <c r="Z21" s="271">
        <f>VLOOKUP($Z$7,$B$8:$S$18,11,FALSE)</f>
        <v>100</v>
      </c>
    </row>
    <row r="22" spans="1:44">
      <c r="Y22" s="82" t="s">
        <v>31</v>
      </c>
      <c r="Z22" s="271">
        <f>VLOOKUP($Z$7,$B$8:$S$18,12,FALSE)</f>
        <v>100</v>
      </c>
    </row>
    <row r="23" spans="1:44">
      <c r="Y23" s="272" t="s">
        <v>179</v>
      </c>
      <c r="Z23" s="273">
        <f>VLOOKUP($Z$7,$B$8:$S$18,13,FALSE)</f>
        <v>99.855316091954336</v>
      </c>
    </row>
  </sheetData>
  <mergeCells count="20">
    <mergeCell ref="N5:N6"/>
    <mergeCell ref="W6:W7"/>
    <mergeCell ref="B5:B7"/>
    <mergeCell ref="O5:R5"/>
    <mergeCell ref="T5:U5"/>
    <mergeCell ref="V5:W5"/>
    <mergeCell ref="C5:C6"/>
    <mergeCell ref="J5:M5"/>
    <mergeCell ref="I5:I7"/>
    <mergeCell ref="S5:S7"/>
    <mergeCell ref="T6:T7"/>
    <mergeCell ref="U6:U7"/>
    <mergeCell ref="V6:V7"/>
    <mergeCell ref="D5:G5"/>
    <mergeCell ref="C1:D3"/>
    <mergeCell ref="E1:N1"/>
    <mergeCell ref="Q1:S1"/>
    <mergeCell ref="E2:N2"/>
    <mergeCell ref="E3:N3"/>
    <mergeCell ref="Q3:S3"/>
  </mergeCells>
  <conditionalFormatting sqref="N8:N18 S8:S18 I8:I18">
    <cfRule type="cellIs" dxfId="47" priority="5" operator="lessThan">
      <formula>99.7</formula>
    </cfRule>
    <cfRule type="cellIs" dxfId="46" priority="6" operator="greaterThanOrEqual">
      <formula>99.7</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D96974D2-0591-455E-B79E-BC6989918FE0}">
          <x14:formula1>
            <xm:f>Maestro!$A$8:$A$19</xm:f>
          </x14:formula1>
          <xm:sqref>Z7</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2281-097B-4177-8B7A-058E86E8A0A0}">
  <sheetPr codeName="Hoja1"/>
  <dimension ref="B1:Y23"/>
  <sheetViews>
    <sheetView showGridLines="0" topLeftCell="A5" zoomScaleNormal="100" workbookViewId="0">
      <selection activeCell="AA6" sqref="AA6"/>
    </sheetView>
  </sheetViews>
  <sheetFormatPr defaultColWidth="11.42578125" defaultRowHeight="15"/>
  <cols>
    <col min="2" max="2" width="11.42578125" bestFit="1" customWidth="1"/>
    <col min="3" max="3" width="8.28515625" style="5" bestFit="1" customWidth="1"/>
    <col min="4" max="4" width="9.7109375" style="6" customWidth="1"/>
    <col min="5" max="5" width="10.5703125" style="6" customWidth="1"/>
    <col min="6" max="6" width="10" style="6" customWidth="1"/>
    <col min="7" max="7" width="9" style="6" customWidth="1"/>
    <col min="8" max="8" width="8.85546875" style="6" customWidth="1"/>
    <col min="9" max="9" width="7.7109375" style="6" customWidth="1"/>
    <col min="10" max="10" width="8.7109375" style="6" customWidth="1"/>
    <col min="11" max="11" width="9" style="6" customWidth="1"/>
    <col min="12" max="13" width="9" customWidth="1"/>
    <col min="14" max="14" width="8.5703125" customWidth="1"/>
    <col min="15" max="15" width="10.42578125" customWidth="1"/>
    <col min="16" max="16" width="14.85546875" customWidth="1"/>
    <col min="17" max="17" width="7.5703125" customWidth="1"/>
    <col min="18" max="18" width="7.85546875" customWidth="1"/>
    <col min="19" max="19" width="6.85546875" customWidth="1"/>
    <col min="24" max="24" width="17.85546875" customWidth="1"/>
  </cols>
  <sheetData>
    <row r="1" spans="2:25" ht="18" customHeight="1">
      <c r="C1" s="324"/>
      <c r="D1" s="325"/>
      <c r="E1" s="330" t="s">
        <v>156</v>
      </c>
      <c r="F1" s="331"/>
      <c r="G1" s="331"/>
      <c r="H1" s="331"/>
      <c r="I1" s="331"/>
      <c r="J1" s="331"/>
      <c r="K1" s="332"/>
      <c r="L1" s="180" t="s">
        <v>0</v>
      </c>
      <c r="M1" s="180"/>
      <c r="N1" s="333" t="s">
        <v>1</v>
      </c>
      <c r="O1" s="334"/>
      <c r="P1" s="335"/>
    </row>
    <row r="2" spans="2:25" ht="15.75" customHeight="1">
      <c r="C2" s="326"/>
      <c r="D2" s="327"/>
      <c r="E2" s="336" t="s">
        <v>2</v>
      </c>
      <c r="F2" s="337"/>
      <c r="G2" s="337"/>
      <c r="H2" s="337"/>
      <c r="I2" s="337"/>
      <c r="J2" s="337"/>
      <c r="K2" s="338"/>
      <c r="L2" s="181" t="s">
        <v>3</v>
      </c>
      <c r="M2" s="181"/>
      <c r="N2" s="181">
        <v>0</v>
      </c>
      <c r="O2" s="181"/>
      <c r="P2" s="181"/>
    </row>
    <row r="3" spans="2:25" ht="15.75" customHeight="1">
      <c r="C3" s="328"/>
      <c r="D3" s="329"/>
      <c r="E3" s="333" t="s">
        <v>4</v>
      </c>
      <c r="F3" s="334"/>
      <c r="G3" s="334"/>
      <c r="H3" s="334"/>
      <c r="I3" s="334"/>
      <c r="J3" s="334"/>
      <c r="K3" s="335"/>
      <c r="L3" s="180" t="s">
        <v>5</v>
      </c>
      <c r="M3" s="180"/>
      <c r="N3" s="339">
        <v>45525</v>
      </c>
      <c r="O3" s="340"/>
      <c r="P3" s="341"/>
    </row>
    <row r="4" spans="2:25" ht="15.75" customHeight="1">
      <c r="C4" s="184"/>
      <c r="D4" s="184"/>
      <c r="E4" s="182"/>
      <c r="F4" s="182"/>
      <c r="G4" s="182"/>
      <c r="H4" s="182"/>
      <c r="I4" s="182"/>
      <c r="J4" s="182"/>
      <c r="K4" s="182"/>
      <c r="L4" s="182"/>
      <c r="M4" s="182"/>
      <c r="N4" s="183"/>
      <c r="O4" s="183"/>
      <c r="P4" s="183"/>
    </row>
    <row r="5" spans="2:25" ht="31.5" customHeight="1">
      <c r="B5" s="344" t="s">
        <v>9</v>
      </c>
      <c r="C5" s="344" t="s">
        <v>157</v>
      </c>
      <c r="D5" s="347" t="s">
        <v>462</v>
      </c>
      <c r="E5" s="347"/>
      <c r="F5" s="342" t="s">
        <v>159</v>
      </c>
      <c r="G5" s="347" t="s">
        <v>160</v>
      </c>
      <c r="H5" s="348"/>
      <c r="I5" s="348"/>
      <c r="J5" s="348"/>
      <c r="K5" s="342" t="s">
        <v>161</v>
      </c>
      <c r="L5" s="350" t="s">
        <v>162</v>
      </c>
      <c r="M5" s="351"/>
      <c r="N5" s="352"/>
      <c r="O5" s="353" t="s">
        <v>161</v>
      </c>
      <c r="P5" s="356" t="s">
        <v>163</v>
      </c>
      <c r="Q5" s="356"/>
      <c r="R5" s="357" t="s">
        <v>164</v>
      </c>
      <c r="S5" s="357"/>
    </row>
    <row r="6" spans="2:25" ht="66" customHeight="1">
      <c r="B6" s="345"/>
      <c r="C6" s="346"/>
      <c r="D6" s="15" t="s">
        <v>16</v>
      </c>
      <c r="E6" s="15" t="s">
        <v>17</v>
      </c>
      <c r="F6" s="343"/>
      <c r="G6" s="15" t="s">
        <v>28</v>
      </c>
      <c r="H6" s="15" t="s">
        <v>29</v>
      </c>
      <c r="I6" s="15" t="s">
        <v>30</v>
      </c>
      <c r="J6" s="15" t="s">
        <v>31</v>
      </c>
      <c r="K6" s="343"/>
      <c r="L6" s="11" t="s">
        <v>29</v>
      </c>
      <c r="M6" s="11" t="s">
        <v>30</v>
      </c>
      <c r="N6" s="11" t="s">
        <v>31</v>
      </c>
      <c r="O6" s="354"/>
      <c r="P6" s="358" t="s">
        <v>165</v>
      </c>
      <c r="Q6" s="358" t="s">
        <v>166</v>
      </c>
      <c r="R6" s="360" t="s">
        <v>165</v>
      </c>
      <c r="S6" s="360" t="s">
        <v>166</v>
      </c>
    </row>
    <row r="7" spans="2:25" s="19" customFormat="1" ht="18.75" customHeight="1">
      <c r="B7" s="346"/>
      <c r="C7" s="17" t="s">
        <v>167</v>
      </c>
      <c r="D7" s="58">
        <v>0.97</v>
      </c>
      <c r="E7" s="58">
        <v>0.03</v>
      </c>
      <c r="F7" s="349"/>
      <c r="G7" s="58">
        <v>0.56999999999999995</v>
      </c>
      <c r="H7" s="58">
        <v>0.03</v>
      </c>
      <c r="I7" s="58">
        <v>0.1</v>
      </c>
      <c r="J7" s="58">
        <v>0.3</v>
      </c>
      <c r="K7" s="60">
        <f>SUM(G7:J7)</f>
        <v>1</v>
      </c>
      <c r="L7" s="18"/>
      <c r="M7" s="18"/>
      <c r="N7" s="18"/>
      <c r="O7" s="355"/>
      <c r="P7" s="359"/>
      <c r="Q7" s="359"/>
      <c r="R7" s="361"/>
      <c r="S7" s="361"/>
      <c r="X7" s="275" t="s">
        <v>168</v>
      </c>
      <c r="Y7" s="276" t="s">
        <v>169</v>
      </c>
    </row>
    <row r="8" spans="2:25">
      <c r="B8" s="7" t="s">
        <v>37</v>
      </c>
      <c r="C8" s="8">
        <f>VLOOKUP(B8,Maestro!$A$7:$D$19,4,FALSE)</f>
        <v>44640</v>
      </c>
      <c r="D8" s="9">
        <f>+(($C8-(SUMIFS(disponibilidad[Tiempo falla 
(en Mintuos)],disponibilidad[JADE],"SI",disponibilidad[Mes],$B8,disponibilidad[[Tipo de afectación ]],"caÍda total",disponibilidad[Responsable Falla],"Matrix Tech",disponibilidad[Acertemos - Cauca],"SI")))/$C8)*100</f>
        <v>100</v>
      </c>
      <c r="E8" s="9">
        <f>+(($C8-(SUMIFS(disponibilidad[Tiempo falla 
(en Mintuos)],disponibilidad[SIGA],"SI",disponibilidad[Mes],$B8,disponibilidad[[Tipo de afectación ]],"caÍda total",disponibilidad[Responsable Falla],"Matrix Tech",disponibilidad[Acertemos - Cauca],"SI")))/$C8)*100</f>
        <v>100</v>
      </c>
      <c r="F8" s="13">
        <f t="shared" ref="F8:F19" si="0">SUMPRODUCT($D$7:$E$7,D8:E8)/$K$7</f>
        <v>100</v>
      </c>
      <c r="G8" s="9">
        <f>+(($C8-(SUMIFS(disponibilidad[Tiempo falla 
(en Mintuos)],disponibilidad[Apuestas - Chance],"SI",disponibilidad[Mes],$B8,disponibilidad[[Tipo de afectación ]],"caÍda total",disponibilidad[Responsable Falla],"Matrix Tech",disponibilidad[Acertemos - Cauca],"SI")))/$C8)*100</f>
        <v>100</v>
      </c>
      <c r="H8" s="9">
        <f>+(($C8-(SUMIFS(disponibilidad[Tiempo falla 
(en Mintuos)],disponibilidad[PAGOS],"SI",disponibilidad[Mes],$B8,disponibilidad[[Tipo de afectación ]],"caÍda total",disponibilidad[Responsable Falla],"Matrix Tech",disponibilidad[Acertemos - Cauca],"SI")))/$C8)*100</f>
        <v>100</v>
      </c>
      <c r="I8" s="9">
        <f>+(($C8-(SUMIFS(disponibilidad[Tiempo falla 
(en Mintuos)],disponibilidad[RECAUDOS],"SI",disponibilidad[Mes],$B8,disponibilidad[[Tipo de afectación ]],"caÍda total",disponibilidad[Responsable Falla],"Matrix Tech",disponibilidad[Acertemos - Cauca],"SI")))/$C8)*100</f>
        <v>100</v>
      </c>
      <c r="J8" s="9">
        <f>+(($C8-(SUMIFS(disponibilidad[Tiempo falla 
(en Mintuos)],disponibilidad[RECARGAS],"SI",disponibilidad[Mes],$B8,disponibilidad[[Tipo de afectación ]],"caÍda total",disponibilidad[Responsable Falla],"Matrix Tech",disponibilidad[Acertemos - Cauca],"SI")))/$C8)*100</f>
        <v>100</v>
      </c>
      <c r="K8" s="13">
        <f t="shared" ref="K8:K19" si="1">SUMPRODUCT($G$7:$J$7,G8:J8)/$K$7</f>
        <v>100</v>
      </c>
      <c r="L8" s="9">
        <f>+(($C8-(SUMIFS(disponibilidad[Tiempo falla 
(en Mintuos)],disponibilidad[PAGOS],"SI",disponibilidad[Mes],$B8,disponibilidad[[Tipo de afectación ]],"caÍda total",disponibilidad[Responsable Falla],"Aliados o terceros",disponibilidad[Acertemos - Cauca],"SI")))/$C8)*100</f>
        <v>100</v>
      </c>
      <c r="M8" s="9">
        <f>+(($C8-(SUMIFS(disponibilidad[Tiempo falla 
(en Mintuos)],disponibilidad[RECAUDOS],"SI",disponibilidad[Mes],$B8,disponibilidad[[Tipo de afectación ]],"caÍda total",disponibilidad[Responsable Falla],"Aliados o terceros",disponibilidad[Acertemos - Cauca],"SI")))/$C8)*100</f>
        <v>100</v>
      </c>
      <c r="N8" s="9">
        <f>+(($C8-(SUMIFS(disponibilidad[Tiempo falla 
(en Mintuos)],disponibilidad[RECARGAS],"SI",disponibilidad[Mes],$B8,disponibilidad[[Tipo de afectación ]],"caÍda total",disponibilidad[Responsable Falla],"Aliados o terceros",disponibilidad[Acertemos - Cauca],"SI")))/$C8)*100</f>
        <v>100</v>
      </c>
      <c r="O8" s="13">
        <f t="shared" ref="O8:O19" si="2">AVERAGE(L8:N8)</f>
        <v>100</v>
      </c>
      <c r="P8" s="12">
        <f>SUMIFS(disponibilidad[Tiempo falla 
(en Mintuos)],disponibilidad[Mes],$B8,disponibilidad[[Tipo de afectación ]],"caÍda total",disponibilidad[Responsable Falla],"Matrix Tech",disponibilidad[Acertemos - Cauca],"SI")</f>
        <v>0</v>
      </c>
      <c r="Q8" s="14">
        <f>+$P$8/$C$8</f>
        <v>0</v>
      </c>
      <c r="R8" s="12">
        <f>SUMIFS(disponibilidad[Tiempo falla 
(en Mintuos)],disponibilidad[Mes],$B8,disponibilidad[[Tipo de afectación ]],"caÍda total",disponibilidad[Responsable Falla],"Aliados o terceros",disponibilidad[Acertemos - Cauca],"SI")</f>
        <v>0</v>
      </c>
      <c r="S8" s="14">
        <f t="shared" ref="S8:S16" si="3">+$R$8/$C$8</f>
        <v>0</v>
      </c>
      <c r="X8" s="277"/>
      <c r="Y8" s="278"/>
    </row>
    <row r="9" spans="2:25">
      <c r="B9" s="10" t="s">
        <v>91</v>
      </c>
      <c r="C9" s="8">
        <f>VLOOKUP(B9,Maestro!$A$7:$D$19,4,FALSE)</f>
        <v>41760</v>
      </c>
      <c r="D9" s="9">
        <f>+(($C9-(SUMIFS(disponibilidad[Tiempo falla 
(en Mintuos)],disponibilidad[JADE],"SI",disponibilidad[Mes],$B9,disponibilidad[[Tipo de afectación ]],"caÍda total",disponibilidad[Responsable Falla],"Matrix Tech",disponibilidad[Acertemos - Cauca],"SI")))/$C9)*100</f>
        <v>100</v>
      </c>
      <c r="E9" s="9">
        <f>+(($C9-(SUMIFS(disponibilidad[Tiempo falla 
(en Mintuos)],disponibilidad[SIGA],"SI",disponibilidad[Mes],$B9,disponibilidad[[Tipo de afectación ]],"caÍda total",disponibilidad[Responsable Falla],"Matrix Tech",disponibilidad[Acertemos - Cauca],"SI")))/$C9)*100</f>
        <v>100</v>
      </c>
      <c r="F9" s="13">
        <f t="shared" si="0"/>
        <v>100</v>
      </c>
      <c r="G9" s="9">
        <f>+(($C9-(SUMIFS(disponibilidad[Tiempo falla 
(en Mintuos)],disponibilidad[Apuestas - Chance],"SI",disponibilidad[Mes],$B9,disponibilidad[[Tipo de afectación ]],"caÍda total",disponibilidad[Responsable Falla],"Matrix Tech",disponibilidad[Acertemos - Cauca],"SI")))/$C9)*100</f>
        <v>100</v>
      </c>
      <c r="H9" s="9">
        <f>+(($C9-(SUMIFS(disponibilidad[Tiempo falla 
(en Mintuos)],disponibilidad[PAGOS],"SI",disponibilidad[Mes],$B9,disponibilidad[[Tipo de afectación ]],"caÍda total",disponibilidad[Responsable Falla],"Matrix Tech",disponibilidad[Acertemos - Cauca],"SI")))/$C9)*100</f>
        <v>100</v>
      </c>
      <c r="I9" s="9">
        <f>+(($C9-(SUMIFS(disponibilidad[Tiempo falla 
(en Mintuos)],disponibilidad[RECAUDOS],"SI",disponibilidad[Mes],$B9,disponibilidad[[Tipo de afectación ]],"caÍda total",disponibilidad[Responsable Falla],"Matrix Tech",disponibilidad[Acertemos - Cauca],"SI")))/$C9)*100</f>
        <v>100</v>
      </c>
      <c r="J9" s="9">
        <f>+(($C9-(SUMIFS(disponibilidad[Tiempo falla 
(en Mintuos)],disponibilidad[RECARGAS],"SI",disponibilidad[Mes],$B9,disponibilidad[[Tipo de afectación ]],"caÍda total",disponibilidad[Responsable Falla],"Matrix Tech",disponibilidad[Acertemos - Cauca],"SI")))/$C9)*100</f>
        <v>100</v>
      </c>
      <c r="K9" s="13">
        <f t="shared" si="1"/>
        <v>100</v>
      </c>
      <c r="L9" s="9">
        <f>+(($C9-(SUMIFS(disponibilidad[Tiempo falla 
(en Mintuos)],disponibilidad[PAGOS],"SI",disponibilidad[Mes],$B9,disponibilidad[[Tipo de afectación ]],"caÍda total",disponibilidad[Responsable Falla],"Aliados o terceros",disponibilidad[Acertemos - Cauca],"SI")))/$C9)*100</f>
        <v>100</v>
      </c>
      <c r="M9" s="9">
        <f>+(($C9-(SUMIFS(disponibilidad[Tiempo falla 
(en Mintuos)],disponibilidad[RECAUDOS],"SI",disponibilidad[Mes],$B9,disponibilidad[[Tipo de afectación ]],"caÍda total",disponibilidad[Responsable Falla],"Aliados o terceros",disponibilidad[Acertemos - Cauca],"SI")))/$C9)*100</f>
        <v>100</v>
      </c>
      <c r="N9" s="9">
        <f>+(($C9-(SUMIFS(disponibilidad[Tiempo falla 
(en Mintuos)],disponibilidad[RECARGAS],"SI",disponibilidad[Mes],$B9,disponibilidad[[Tipo de afectación ]],"caÍda total",disponibilidad[Responsable Falla],"Aliados o terceros",disponibilidad[Acertemos - Cauca],"SI")))/$C9)*100</f>
        <v>100</v>
      </c>
      <c r="O9" s="13">
        <f t="shared" si="2"/>
        <v>100</v>
      </c>
      <c r="P9" s="12">
        <f>SUMIFS(disponibilidad[Tiempo falla 
(en Mintuos)],disponibilidad[Mes],$B9,disponibilidad[[Tipo de afectación ]],"caÍda total",disponibilidad[Responsable Falla],"Matrix Tech",disponibilidad[Acertemos - Cauca],"SI")</f>
        <v>0</v>
      </c>
      <c r="Q9" s="14">
        <f t="shared" ref="Q9:Q19" si="4">+P9/C9</f>
        <v>0</v>
      </c>
      <c r="R9" s="12">
        <f>SUMIFS(disponibilidad[Tiempo falla 
(en Mintuos)],disponibilidad[Mes],$B9,disponibilidad[[Tipo de afectación ]],"caÍda total",disponibilidad[Responsable Falla],"Aliados o terceros",disponibilidad[Acertemos - Cauca],"SI")</f>
        <v>0</v>
      </c>
      <c r="S9" s="14">
        <f t="shared" si="3"/>
        <v>0</v>
      </c>
      <c r="X9" s="279" t="s">
        <v>16</v>
      </c>
      <c r="Y9" s="280">
        <f>VLOOKUP($Y$7,$B$8:$R$17,3,FALSE)</f>
        <v>100</v>
      </c>
    </row>
    <row r="10" spans="2:25">
      <c r="B10" s="10" t="s">
        <v>148</v>
      </c>
      <c r="C10" s="8">
        <f>VLOOKUP(B10,Maestro!$A$7:$D$19,4,FALSE)</f>
        <v>44640</v>
      </c>
      <c r="D10" s="9">
        <f>+(($C10-(SUMIFS(disponibilidad[Tiempo falla 
(en Mintuos)],disponibilidad[JADE],"SI",disponibilidad[Mes],$B10,disponibilidad[[Tipo de afectación ]],"caÍda total",disponibilidad[Responsable Falla],"Matrix Tech",disponibilidad[Acertemos - Cauca],"SI")))/$C10)*100</f>
        <v>100</v>
      </c>
      <c r="E10" s="9">
        <f>+(($C10-(SUMIFS(disponibilidad[Tiempo falla 
(en Mintuos)],disponibilidad[SIGA],"SI",disponibilidad[Mes],$B10,disponibilidad[[Tipo de afectación ]],"caÍda total",disponibilidad[Responsable Falla],"Matrix Tech",disponibilidad[Acertemos - Cauca],"SI")))/$C10)*100</f>
        <v>100</v>
      </c>
      <c r="F10" s="13">
        <f t="shared" si="0"/>
        <v>100</v>
      </c>
      <c r="G10" s="9">
        <f>+(($C10-(SUMIFS(disponibilidad[Tiempo falla 
(en Mintuos)],disponibilidad[Apuestas - Chance],"SI",disponibilidad[Mes],$B10,disponibilidad[[Tipo de afectación ]],"caÍda total",disponibilidad[Responsable Falla],"Matrix Tech",disponibilidad[Acertemos - Cauca],"SI")))/$C10)*100</f>
        <v>100</v>
      </c>
      <c r="H10" s="9">
        <f>+(($C10-(SUMIFS(disponibilidad[Tiempo falla 
(en Mintuos)],disponibilidad[PAGOS],"SI",disponibilidad[Mes],$B10,disponibilidad[[Tipo de afectación ]],"caÍda total",disponibilidad[Responsable Falla],"Matrix Tech",disponibilidad[Acertemos - Cauca],"SI")))/$C10)*100</f>
        <v>100</v>
      </c>
      <c r="I10" s="9">
        <f>+(($C10-(SUMIFS(disponibilidad[Tiempo falla 
(en Mintuos)],disponibilidad[RECAUDOS],"SI",disponibilidad[Mes],$B10,disponibilidad[[Tipo de afectación ]],"caÍda total",disponibilidad[Responsable Falla],"Matrix Tech",disponibilidad[Acertemos - Cauca],"SI")))/$C10)*100</f>
        <v>100</v>
      </c>
      <c r="J10" s="9">
        <f>+(($C10-(SUMIFS(disponibilidad[Tiempo falla 
(en Mintuos)],disponibilidad[RECARGAS],"SI",disponibilidad[Mes],$B10,disponibilidad[[Tipo de afectación ]],"caÍda total",disponibilidad[Responsable Falla],"Matrix Tech",disponibilidad[Acertemos - Cauca],"SI")))/$C10)*100</f>
        <v>100</v>
      </c>
      <c r="K10" s="13">
        <f t="shared" si="1"/>
        <v>100</v>
      </c>
      <c r="L10" s="9">
        <f>+(($C10-(SUMIFS(disponibilidad[Tiempo falla 
(en Mintuos)],disponibilidad[PAGOS],"SI",disponibilidad[Mes],$B10,disponibilidad[[Tipo de afectación ]],"caÍda total",disponibilidad[Responsable Falla],"Aliados o terceros",disponibilidad[Acertemos - Cauca],"SI")))/$C10)*100</f>
        <v>100</v>
      </c>
      <c r="M10" s="9">
        <f>+(($C10-(SUMIFS(disponibilidad[Tiempo falla 
(en Mintuos)],disponibilidad[RECAUDOS],"SI",disponibilidad[Mes],$B10,disponibilidad[[Tipo de afectación ]],"caÍda total",disponibilidad[Responsable Falla],"Aliados o terceros",disponibilidad[Acertemos - Cauca],"SI")))/$C10)*100</f>
        <v>100</v>
      </c>
      <c r="N10" s="9">
        <f>+(($C10-(SUMIFS(disponibilidad[Tiempo falla 
(en Mintuos)],disponibilidad[RECARGAS],"SI",disponibilidad[Mes],$B10,disponibilidad[[Tipo de afectación ]],"caÍda total",disponibilidad[Responsable Falla],"Aliados o terceros",disponibilidad[Acertemos - Cauca],"SI")))/$C10)*100</f>
        <v>100</v>
      </c>
      <c r="O10" s="13">
        <f t="shared" si="2"/>
        <v>100</v>
      </c>
      <c r="P10" s="12">
        <f>SUMIFS(disponibilidad[Tiempo falla 
(en Mintuos)],disponibilidad[Mes],$B10,disponibilidad[[Tipo de afectación ]],"caÍda total",disponibilidad[Responsable Falla],"Matrix Tech",disponibilidad[Acertemos - Cauca],"SI")</f>
        <v>0</v>
      </c>
      <c r="Q10" s="14">
        <f t="shared" si="4"/>
        <v>0</v>
      </c>
      <c r="R10" s="12">
        <f>SUMIFS(disponibilidad[Tiempo falla 
(en Mintuos)],disponibilidad[Mes],$B10,disponibilidad[[Tipo de afectación ]],"caÍda total",disponibilidad[Responsable Falla],"Aliados o terceros",disponibilidad[Acertemos - Cauca],"SI")</f>
        <v>0</v>
      </c>
      <c r="S10" s="14">
        <f t="shared" si="3"/>
        <v>0</v>
      </c>
      <c r="X10" s="281" t="s">
        <v>17</v>
      </c>
      <c r="Y10" s="280">
        <f>VLOOKUP($Y$7,$B$8:$R$17,4,FALSE)</f>
        <v>100</v>
      </c>
    </row>
    <row r="11" spans="2:25">
      <c r="B11" s="10" t="s">
        <v>170</v>
      </c>
      <c r="C11" s="8">
        <f>VLOOKUP(B11,Maestro!$A$7:$D$19,4,FALSE)</f>
        <v>43200</v>
      </c>
      <c r="D11" s="9">
        <f>+(($C11-(SUMIFS(disponibilidad[Tiempo falla 
(en Mintuos)],disponibilidad[JADE],"SI",disponibilidad[Mes],$B11,disponibilidad[[Tipo de afectación ]],"caÍda total",disponibilidad[Responsable Falla],"Matrix Tech",disponibilidad[Acertemos - Cauca],"SI")))/$C11)*100</f>
        <v>100</v>
      </c>
      <c r="E11" s="9">
        <f>+(($C11-(SUMIFS(disponibilidad[Tiempo falla 
(en Mintuos)],disponibilidad[SIGA],"SI",disponibilidad[Mes],$B11,disponibilidad[[Tipo de afectación ]],"caÍda total",disponibilidad[Responsable Falla],"Matrix Tech",disponibilidad[Acertemos - Cauca],"SI")))/$C11)*100</f>
        <v>100</v>
      </c>
      <c r="F11" s="13">
        <f t="shared" si="0"/>
        <v>100</v>
      </c>
      <c r="G11" s="9">
        <f>+(($C11-(SUMIFS(disponibilidad[Tiempo falla 
(en Mintuos)],disponibilidad[Apuestas - Chance],"SI",disponibilidad[Mes],$B11,disponibilidad[[Tipo de afectación ]],"caÍda total",disponibilidad[Responsable Falla],"Matrix Tech",disponibilidad[Acertemos - Cauca],"SI")))/$C11)*100</f>
        <v>100</v>
      </c>
      <c r="H11" s="9">
        <f>+(($C11-(SUMIFS(disponibilidad[Tiempo falla 
(en Mintuos)],disponibilidad[PAGOS],"SI",disponibilidad[Mes],$B11,disponibilidad[[Tipo de afectación ]],"caÍda total",disponibilidad[Responsable Falla],"Matrix Tech",disponibilidad[Acertemos - Cauca],"SI")))/$C11)*100</f>
        <v>100</v>
      </c>
      <c r="I11" s="9">
        <f>+(($C11-(SUMIFS(disponibilidad[Tiempo falla 
(en Mintuos)],disponibilidad[RECAUDOS],"SI",disponibilidad[Mes],$B11,disponibilidad[[Tipo de afectación ]],"caÍda total",disponibilidad[Responsable Falla],"Matrix Tech",disponibilidad[Acertemos - Cauca],"SI")))/$C11)*100</f>
        <v>100</v>
      </c>
      <c r="J11" s="9">
        <f>+(($C11-(SUMIFS(disponibilidad[Tiempo falla 
(en Mintuos)],disponibilidad[RECARGAS],"SI",disponibilidad[Mes],$B11,disponibilidad[[Tipo de afectación ]],"caÍda total",disponibilidad[Responsable Falla],"Matrix Tech",disponibilidad[Acertemos - Cauca],"SI")))/$C11)*100</f>
        <v>100</v>
      </c>
      <c r="K11" s="13">
        <f t="shared" si="1"/>
        <v>100</v>
      </c>
      <c r="L11" s="9">
        <f>+(($C11-(SUMIFS(disponibilidad[Tiempo falla 
(en Mintuos)],disponibilidad[PAGOS],"SI",disponibilidad[Mes],$B11,disponibilidad[[Tipo de afectación ]],"caÍda total",disponibilidad[Responsable Falla],"Aliados o terceros",disponibilidad[Acertemos - Cauca],"SI")))/$C11)*100</f>
        <v>100</v>
      </c>
      <c r="M11" s="9">
        <f>+(($C11-(SUMIFS(disponibilidad[Tiempo falla 
(en Mintuos)],disponibilidad[RECAUDOS],"SI",disponibilidad[Mes],$B11,disponibilidad[[Tipo de afectación ]],"caÍda total",disponibilidad[Responsable Falla],"Aliados o terceros",disponibilidad[Acertemos - Cauca],"SI")))/$C11)*100</f>
        <v>100</v>
      </c>
      <c r="N11" s="9">
        <f>+(($C11-(SUMIFS(disponibilidad[Tiempo falla 
(en Mintuos)],disponibilidad[RECARGAS],"SI",disponibilidad[Mes],$B11,disponibilidad[[Tipo de afectación ]],"caÍda total",disponibilidad[Responsable Falla],"Aliados o terceros",disponibilidad[Acertemos - Cauca],"SI")))/$C11)*100</f>
        <v>100</v>
      </c>
      <c r="O11" s="13">
        <f t="shared" si="2"/>
        <v>100</v>
      </c>
      <c r="P11" s="12">
        <f>SUMIFS(disponibilidad[Tiempo falla 
(en Mintuos)],disponibilidad[Mes],$B11,disponibilidad[[Tipo de afectación ]],"caÍda total",disponibilidad[Responsable Falla],"Matrix Tech",disponibilidad[Acertemos - Cauca],"SI")</f>
        <v>0</v>
      </c>
      <c r="Q11" s="14">
        <f t="shared" si="4"/>
        <v>0</v>
      </c>
      <c r="R11" s="12">
        <f>SUMIFS(disponibilidad[Tiempo falla 
(en Mintuos)],disponibilidad[Mes],$B11,disponibilidad[[Tipo de afectación ]],"caÍda total",disponibilidad[Responsable Falla],"Aliados o terceros",disponibilidad[Acertemos - Cauca],"SI")</f>
        <v>0</v>
      </c>
      <c r="S11" s="14">
        <f t="shared" si="3"/>
        <v>0</v>
      </c>
      <c r="T11" s="80">
        <f>AVERAGE(F11,K11)</f>
        <v>100</v>
      </c>
      <c r="X11" s="282" t="s">
        <v>171</v>
      </c>
      <c r="Y11" s="280">
        <f>VLOOKUP($Y$7,$B$8:$R$17,7,FALSE)</f>
        <v>100</v>
      </c>
    </row>
    <row r="12" spans="2:25">
      <c r="B12" s="10" t="s">
        <v>169</v>
      </c>
      <c r="C12" s="8">
        <f>VLOOKUP(B12,Maestro!$A$7:$D$19,4,FALSE)</f>
        <v>44640</v>
      </c>
      <c r="D12" s="9">
        <f>+(($C12-(SUMIFS(disponibilidad[Tiempo falla 
(en Mintuos)],disponibilidad[JADE],"SI",disponibilidad[Mes],$B12,disponibilidad[[Tipo de afectación ]],"caÍda total",disponibilidad[Responsable Falla],"Matrix Tech",disponibilidad[Acertemos - Cauca],"SI")))/$C12)*100</f>
        <v>100</v>
      </c>
      <c r="E12" s="9">
        <f>+(($C12-(SUMIFS(disponibilidad[Tiempo falla 
(en Mintuos)],disponibilidad[SIGA],"SI",disponibilidad[Mes],$B12,disponibilidad[[Tipo de afectación ]],"caÍda total",disponibilidad[Responsable Falla],"Matrix Tech",disponibilidad[Acertemos - Cauca],"SI")))/$C12)*100</f>
        <v>100</v>
      </c>
      <c r="F12" s="13">
        <f t="shared" si="0"/>
        <v>100</v>
      </c>
      <c r="G12" s="9">
        <f>+(($C12-(SUMIFS(disponibilidad[Tiempo falla 
(en Mintuos)],disponibilidad[Apuestas - Chance],"SI",disponibilidad[Mes],$B12,disponibilidad[[Tipo de afectación ]],"caÍda total",disponibilidad[Responsable Falla],"Matrix Tech",disponibilidad[Acertemos - Cauca],"SI")))/$C12)*100</f>
        <v>100</v>
      </c>
      <c r="H12" s="9">
        <f>+(($C12-(SUMIFS(disponibilidad[Tiempo falla 
(en Mintuos)],disponibilidad[PAGOS],"SI",disponibilidad[Mes],$B12,disponibilidad[[Tipo de afectación ]],"caÍda total",disponibilidad[Responsable Falla],"Matrix Tech",disponibilidad[Acertemos - Cauca],"SI")))/$C12)*100</f>
        <v>100</v>
      </c>
      <c r="I12" s="9">
        <f>+(($C12-(SUMIFS(disponibilidad[Tiempo falla 
(en Mintuos)],disponibilidad[RECAUDOS],"SI",disponibilidad[Mes],$B12,disponibilidad[[Tipo de afectación ]],"caÍda total",disponibilidad[Responsable Falla],"Matrix Tech",disponibilidad[Acertemos - Cauca],"SI")))/$C12)*100</f>
        <v>100</v>
      </c>
      <c r="J12" s="9">
        <f>+(($C12-(SUMIFS(disponibilidad[Tiempo falla 
(en Mintuos)],disponibilidad[RECARGAS],"SI",disponibilidad[Mes],$B12,disponibilidad[[Tipo de afectación ]],"caÍda total",disponibilidad[Responsable Falla],"Matrix Tech",disponibilidad[Acertemos - Cauca],"SI")))/$C12)*100</f>
        <v>100</v>
      </c>
      <c r="K12" s="13">
        <f t="shared" si="1"/>
        <v>100</v>
      </c>
      <c r="L12" s="9">
        <f>+(($C12-(SUMIFS(disponibilidad[Tiempo falla 
(en Mintuos)],disponibilidad[PAGOS],"SI",disponibilidad[Mes],$B12,disponibilidad[[Tipo de afectación ]],"caÍda total",disponibilidad[Responsable Falla],"Aliados o terceros",disponibilidad[Acertemos - Cauca],"SI")))/$C12)*100</f>
        <v>100</v>
      </c>
      <c r="M12" s="9">
        <f>+(($C12-(SUMIFS(disponibilidad[Tiempo falla 
(en Mintuos)],disponibilidad[RECAUDOS],"SI",disponibilidad[Mes],$B12,disponibilidad[[Tipo de afectación ]],"caÍda total",disponibilidad[Responsable Falla],"Aliados o terceros",disponibilidad[Acertemos - Cauca],"SI")))/$C12)*100</f>
        <v>100</v>
      </c>
      <c r="N12" s="9">
        <f>+(($C12-(SUMIFS(disponibilidad[Tiempo falla 
(en Mintuos)],disponibilidad[RECARGAS],"SI",disponibilidad[Mes],$B12,disponibilidad[[Tipo de afectación ]],"caÍda total",disponibilidad[Responsable Falla],"Aliados o terceros",disponibilidad[Acertemos - Cauca],"SI")))/$C12)*100</f>
        <v>100</v>
      </c>
      <c r="O12" s="13">
        <f t="shared" si="2"/>
        <v>100</v>
      </c>
      <c r="P12" s="12">
        <f>SUMIFS(disponibilidad[Tiempo falla 
(en Mintuos)],disponibilidad[Mes],$B12,disponibilidad[[Tipo de afectación ]],"caÍda total",disponibilidad[Responsable Falla],"Matrix Tech",disponibilidad[Acertemos - Cauca],"SI")</f>
        <v>0</v>
      </c>
      <c r="Q12" s="14">
        <f t="shared" si="4"/>
        <v>0</v>
      </c>
      <c r="R12" s="12">
        <f>SUMIFS(disponibilidad[Tiempo falla 
(en Mintuos)],disponibilidad[Mes],$B12,disponibilidad[[Tipo de afectación ]],"caÍda total",disponibilidad[Responsable Falla],"Aliados o terceros",disponibilidad[Acertemos - Cauca],"SI")</f>
        <v>0</v>
      </c>
      <c r="S12" s="14">
        <f t="shared" si="3"/>
        <v>0</v>
      </c>
      <c r="X12" s="283"/>
      <c r="Y12" s="278"/>
    </row>
    <row r="13" spans="2:25">
      <c r="B13" s="10" t="s">
        <v>172</v>
      </c>
      <c r="C13" s="8">
        <f>VLOOKUP(B13,Maestro!$A$7:$D$19,4,FALSE)</f>
        <v>43200</v>
      </c>
      <c r="D13" s="9">
        <f>+(($C13-(SUMIFS(disponibilidad[Tiempo falla 
(en Mintuos)],disponibilidad[JADE],"SI",disponibilidad[Mes],$B13,disponibilidad[[Tipo de afectación ]],"caÍda total",disponibilidad[Responsable Falla],"Matrix Tech",disponibilidad[Acertemos - Cauca],"SI")))/$C13)*100</f>
        <v>100</v>
      </c>
      <c r="E13" s="9">
        <f>+(($C13-(SUMIFS(disponibilidad[Tiempo falla 
(en Mintuos)],disponibilidad[SIGA],"SI",disponibilidad[Mes],$B13,disponibilidad[[Tipo de afectación ]],"caÍda total",disponibilidad[Responsable Falla],"Matrix Tech",disponibilidad[Acertemos - Cauca],"SI")))/$C13)*100</f>
        <v>100</v>
      </c>
      <c r="F13" s="13">
        <f t="shared" si="0"/>
        <v>100</v>
      </c>
      <c r="G13" s="9">
        <f>+(($C13-(SUMIFS(disponibilidad[Tiempo falla 
(en Mintuos)],disponibilidad[Apuestas - Chance],"SI",disponibilidad[Mes],$B13,disponibilidad[[Tipo de afectación ]],"caÍda total",disponibilidad[Responsable Falla],"Matrix Tech",disponibilidad[Acertemos - Cauca],"SI")))/$C13)*100</f>
        <v>100</v>
      </c>
      <c r="H13" s="9">
        <f>+(($C13-(SUMIFS(disponibilidad[Tiempo falla 
(en Mintuos)],disponibilidad[PAGOS],"SI",disponibilidad[Mes],$B13,disponibilidad[[Tipo de afectación ]],"caÍda total",disponibilidad[Responsable Falla],"Matrix Tech",disponibilidad[Acertemos - Cauca],"SI")))/$C13)*100</f>
        <v>100</v>
      </c>
      <c r="I13" s="9">
        <f>+(($C13-(SUMIFS(disponibilidad[Tiempo falla 
(en Mintuos)],disponibilidad[RECAUDOS],"SI",disponibilidad[Mes],$B13,disponibilidad[[Tipo de afectación ]],"caÍda total",disponibilidad[Responsable Falla],"Matrix Tech",disponibilidad[Acertemos - Cauca],"SI")))/$C13)*100</f>
        <v>100</v>
      </c>
      <c r="J13" s="9">
        <f>+(($C13-(SUMIFS(disponibilidad[Tiempo falla 
(en Mintuos)],disponibilidad[RECARGAS],"SI",disponibilidad[Mes],$B13,disponibilidad[[Tipo de afectación ]],"caÍda total",disponibilidad[Responsable Falla],"Matrix Tech",disponibilidad[Acertemos - Cauca],"SI")))/$C13)*100</f>
        <v>100</v>
      </c>
      <c r="K13" s="13">
        <f t="shared" si="1"/>
        <v>100</v>
      </c>
      <c r="L13" s="9">
        <f>+(($C13-(SUMIFS(disponibilidad[Tiempo falla 
(en Mintuos)],disponibilidad[PAGOS],"SI",disponibilidad[Mes],$B13,disponibilidad[[Tipo de afectación ]],"caÍda total",disponibilidad[Responsable Falla],"Aliados o terceros",disponibilidad[Acertemos - Cauca],"SI")))/$C13)*100</f>
        <v>100</v>
      </c>
      <c r="M13" s="9">
        <f>+(($C13-(SUMIFS(disponibilidad[Tiempo falla 
(en Mintuos)],disponibilidad[RECAUDOS],"SI",disponibilidad[Mes],$B13,disponibilidad[[Tipo de afectación ]],"caÍda total",disponibilidad[Responsable Falla],"Aliados o terceros",disponibilidad[Acertemos - Cauca],"SI")))/$C13)*100</f>
        <v>100</v>
      </c>
      <c r="N13" s="9">
        <f>+(($C13-(SUMIFS(disponibilidad[Tiempo falla 
(en Mintuos)],disponibilidad[RECARGAS],"SI",disponibilidad[Mes],$B13,disponibilidad[[Tipo de afectación ]],"caÍda total",disponibilidad[Responsable Falla],"Aliados o terceros",disponibilidad[Acertemos - Cauca],"SI")))/$C13)*100</f>
        <v>100</v>
      </c>
      <c r="O13" s="13">
        <f t="shared" si="2"/>
        <v>100</v>
      </c>
      <c r="P13" s="12">
        <f>SUMIFS(disponibilidad[Tiempo falla 
(en Mintuos)],disponibilidad[Mes],$B13,disponibilidad[[Tipo de afectación ]],"caÍda total",disponibilidad[Responsable Falla],"Matrix Tech",disponibilidad[Acertemos - Cauca],"SI")</f>
        <v>0</v>
      </c>
      <c r="Q13" s="14">
        <f t="shared" si="4"/>
        <v>0</v>
      </c>
      <c r="R13" s="12">
        <f>SUMIFS(disponibilidad[Tiempo falla 
(en Mintuos)],disponibilidad[Mes],$B13,disponibilidad[[Tipo de afectación ]],"caÍda total",disponibilidad[Responsable Falla],"Aliados o terceros",disponibilidad[Acertemos - Cauca],"SI")</f>
        <v>0</v>
      </c>
      <c r="S13" s="14">
        <f t="shared" si="3"/>
        <v>0</v>
      </c>
      <c r="X13" s="283"/>
      <c r="Y13" s="278"/>
    </row>
    <row r="14" spans="2:25">
      <c r="B14" s="10" t="s">
        <v>173</v>
      </c>
      <c r="C14" s="8">
        <f>VLOOKUP(B14,Maestro!$A$7:$D$19,4,FALSE)</f>
        <v>44640</v>
      </c>
      <c r="D14" s="9">
        <f>+(($C14-(SUMIFS(disponibilidad[Tiempo falla 
(en Mintuos)],disponibilidad[JADE],"SI",disponibilidad[Mes],$B14,disponibilidad[[Tipo de afectación ]],"caÍda total",disponibilidad[Responsable Falla],"Matrix Tech",disponibilidad[Acertemos - Cauca],"SI")))/$C14)*100</f>
        <v>100</v>
      </c>
      <c r="E14" s="9">
        <f>+(($C14-(SUMIFS(disponibilidad[Tiempo falla 
(en Mintuos)],disponibilidad[SIGA],"SI",disponibilidad[Mes],$B14,disponibilidad[[Tipo de afectación ]],"caÍda total",disponibilidad[Responsable Falla],"Matrix Tech",disponibilidad[Acertemos - Cauca],"SI")))/$C14)*100</f>
        <v>100</v>
      </c>
      <c r="F14" s="13">
        <f t="shared" si="0"/>
        <v>100</v>
      </c>
      <c r="G14" s="9">
        <f>+(($C14-(SUMIFS(disponibilidad[Tiempo falla 
(en Mintuos)],disponibilidad[Apuestas - Chance],"SI",disponibilidad[Mes],$B14,disponibilidad[[Tipo de afectación ]],"caÍda total",disponibilidad[Responsable Falla],"Matrix Tech",disponibilidad[Acertemos - Cauca],"SI")))/$C14)*100</f>
        <v>100</v>
      </c>
      <c r="H14" s="9">
        <f>+(($C14-(SUMIFS(disponibilidad[Tiempo falla 
(en Mintuos)],disponibilidad[PAGOS],"SI",disponibilidad[Mes],$B14,disponibilidad[[Tipo de afectación ]],"caÍda total",disponibilidad[Responsable Falla],"Matrix Tech",disponibilidad[Acertemos - Cauca],"SI")))/$C14)*100</f>
        <v>100</v>
      </c>
      <c r="I14" s="9">
        <f>+(($C14-(SUMIFS(disponibilidad[Tiempo falla 
(en Mintuos)],disponibilidad[RECAUDOS],"SI",disponibilidad[Mes],$B14,disponibilidad[[Tipo de afectación ]],"caÍda total",disponibilidad[Responsable Falla],"Matrix Tech",disponibilidad[Acertemos - Cauca],"SI")))/$C14)*100</f>
        <v>100</v>
      </c>
      <c r="J14" s="9">
        <f>+(($C14-(SUMIFS(disponibilidad[Tiempo falla 
(en Mintuos)],disponibilidad[RECARGAS],"SI",disponibilidad[Mes],$B14,disponibilidad[[Tipo de afectación ]],"caÍda total",disponibilidad[Responsable Falla],"Matrix Tech",disponibilidad[Acertemos - Cauca],"SI")))/$C14)*100</f>
        <v>100</v>
      </c>
      <c r="K14" s="13">
        <f t="shared" si="1"/>
        <v>100</v>
      </c>
      <c r="L14" s="9">
        <f>+(($C14-(SUMIFS(disponibilidad[Tiempo falla 
(en Mintuos)],disponibilidad[PAGOS],"SI",disponibilidad[Mes],$B14,disponibilidad[[Tipo de afectación ]],"caÍda total",disponibilidad[Responsable Falla],"Aliados o terceros",disponibilidad[Acertemos - Cauca],"SI")))/$C14)*100</f>
        <v>100</v>
      </c>
      <c r="M14" s="9">
        <f>+(($C14-(SUMIFS(disponibilidad[Tiempo falla 
(en Mintuos)],disponibilidad[RECAUDOS],"SI",disponibilidad[Mes],$B14,disponibilidad[[Tipo de afectación ]],"caÍda total",disponibilidad[Responsable Falla],"Aliados o terceros",disponibilidad[Acertemos - Cauca],"SI")))/$C14)*100</f>
        <v>100</v>
      </c>
      <c r="N14" s="9">
        <f>+(($C14-(SUMIFS(disponibilidad[Tiempo falla 
(en Mintuos)],disponibilidad[RECARGAS],"SI",disponibilidad[Mes],$B14,disponibilidad[[Tipo de afectación ]],"caÍda total",disponibilidad[Responsable Falla],"Aliados o terceros",disponibilidad[Acertemos - Cauca],"SI")))/$C14)*100</f>
        <v>100</v>
      </c>
      <c r="O14" s="13">
        <f t="shared" si="2"/>
        <v>100</v>
      </c>
      <c r="P14" s="12">
        <f>SUMIFS(disponibilidad[Tiempo falla 
(en Mintuos)],disponibilidad[Mes],$B14,disponibilidad[[Tipo de afectación ]],"caÍda total",disponibilidad[Responsable Falla],"Matrix Tech",disponibilidad[Acertemos - Cauca],"SI")</f>
        <v>0</v>
      </c>
      <c r="Q14" s="14">
        <f t="shared" si="4"/>
        <v>0</v>
      </c>
      <c r="R14" s="12">
        <f>SUMIFS(disponibilidad[Tiempo falla 
(en Mintuos)],disponibilidad[Mes],$B14,disponibilidad[[Tipo de afectación ]],"caÍda total",disponibilidad[Responsable Falla],"Aliados o terceros",disponibilidad[Acertemos - Cauca],"SI")</f>
        <v>0</v>
      </c>
      <c r="S14" s="14">
        <f t="shared" si="3"/>
        <v>0</v>
      </c>
      <c r="X14" s="277"/>
      <c r="Y14" s="278"/>
    </row>
    <row r="15" spans="2:25">
      <c r="B15" s="10" t="s">
        <v>174</v>
      </c>
      <c r="C15" s="8">
        <f>VLOOKUP(B15,Maestro!$A$7:$D$19,4,FALSE)</f>
        <v>44640</v>
      </c>
      <c r="D15" s="9">
        <f>+(($C15-(SUMIFS(disponibilidad[Tiempo falla 
(en Mintuos)],disponibilidad[JADE],"SI",disponibilidad[Mes],$B15,disponibilidad[[Tipo de afectación ]],"caÍda total",disponibilidad[Responsable Falla],"Matrix Tech",disponibilidad[Acertemos - Cauca],"SI")))/$C15)*100</f>
        <v>100</v>
      </c>
      <c r="E15" s="9">
        <f>+(($C15-(SUMIFS(disponibilidad[Tiempo falla 
(en Mintuos)],disponibilidad[SIGA],"SI",disponibilidad[Mes],$B15,disponibilidad[[Tipo de afectación ]],"caÍda total",disponibilidad[Responsable Falla],"Matrix Tech",disponibilidad[Acertemos - Cauca],"SI")))/$C15)*100</f>
        <v>100</v>
      </c>
      <c r="F15" s="13">
        <f t="shared" si="0"/>
        <v>100</v>
      </c>
      <c r="G15" s="9">
        <f>+(($C15-(SUMIFS(disponibilidad[Tiempo falla 
(en Mintuos)],disponibilidad[Apuestas - Chance],"SI",disponibilidad[Mes],$B15,disponibilidad[[Tipo de afectación ]],"caÍda total",disponibilidad[Responsable Falla],"Matrix Tech",disponibilidad[Acertemos - Cauca],"SI")))/$C15)*100</f>
        <v>100</v>
      </c>
      <c r="H15" s="9">
        <f>+(($C15-(SUMIFS(disponibilidad[Tiempo falla 
(en Mintuos)],disponibilidad[PAGOS],"SI",disponibilidad[Mes],$B15,disponibilidad[[Tipo de afectación ]],"caÍda total",disponibilidad[Responsable Falla],"Matrix Tech",disponibilidad[Acertemos - Cauca],"SI")))/$C15)*100</f>
        <v>100</v>
      </c>
      <c r="I15" s="9">
        <f>+(($C15-(SUMIFS(disponibilidad[Tiempo falla 
(en Mintuos)],disponibilidad[RECAUDOS],"SI",disponibilidad[Mes],$B15,disponibilidad[[Tipo de afectación ]],"caÍda total",disponibilidad[Responsable Falla],"Matrix Tech",disponibilidad[Acertemos - Cauca],"SI")))/$C15)*100</f>
        <v>100</v>
      </c>
      <c r="J15" s="9">
        <f>+(($C15-(SUMIFS(disponibilidad[Tiempo falla 
(en Mintuos)],disponibilidad[RECARGAS],"SI",disponibilidad[Mes],$B15,disponibilidad[[Tipo de afectación ]],"caÍda total",disponibilidad[Responsable Falla],"Matrix Tech",disponibilidad[Acertemos - Cauca],"SI")))/$C15)*100</f>
        <v>100</v>
      </c>
      <c r="K15" s="13">
        <f t="shared" si="1"/>
        <v>100</v>
      </c>
      <c r="L15" s="9">
        <f>+(($C15-(SUMIFS(disponibilidad[Tiempo falla 
(en Mintuos)],disponibilidad[PAGOS],"SI",disponibilidad[Mes],$B15,disponibilidad[[Tipo de afectación ]],"caÍda total",disponibilidad[Responsable Falla],"Aliados o terceros",disponibilidad[Acertemos - Cauca],"SI")))/$C15)*100</f>
        <v>100</v>
      </c>
      <c r="M15" s="9">
        <f>+(($C15-(SUMIFS(disponibilidad[Tiempo falla 
(en Mintuos)],disponibilidad[RECAUDOS],"SI",disponibilidad[Mes],$B15,disponibilidad[[Tipo de afectación ]],"caÍda total",disponibilidad[Responsable Falla],"Aliados o terceros",disponibilidad[Acertemos - Cauca],"SI")))/$C15)*100</f>
        <v>100</v>
      </c>
      <c r="N15" s="9">
        <f>+(($C15-(SUMIFS(disponibilidad[Tiempo falla 
(en Mintuos)],disponibilidad[RECARGAS],"SI",disponibilidad[Mes],$B15,disponibilidad[[Tipo de afectación ]],"caÍda total",disponibilidad[Responsable Falla],"Aliados o terceros",disponibilidad[Acertemos - Cauca],"SI")))/$C15)*100</f>
        <v>100</v>
      </c>
      <c r="O15" s="13">
        <f t="shared" si="2"/>
        <v>100</v>
      </c>
      <c r="P15" s="12">
        <f>SUMIFS(disponibilidad[Tiempo falla 
(en Mintuos)],disponibilidad[Mes],$B15,disponibilidad[[Tipo de afectación ]],"caÍda total",disponibilidad[Responsable Falla],"Matrix Tech",disponibilidad[Acertemos - Cauca],"SI")</f>
        <v>0</v>
      </c>
      <c r="Q15" s="14">
        <f t="shared" si="4"/>
        <v>0</v>
      </c>
      <c r="R15" s="12">
        <f>SUMIFS(disponibilidad[Tiempo falla 
(en Mintuos)],disponibilidad[Mes],$B15,disponibilidad[[Tipo de afectación ]],"caÍda total",disponibilidad[Responsable Falla],"Aliados o terceros",disponibilidad[Acertemos - Cauca],"SI")</f>
        <v>0</v>
      </c>
      <c r="S15" s="14">
        <f t="shared" si="3"/>
        <v>0</v>
      </c>
      <c r="X15" s="281" t="s">
        <v>28</v>
      </c>
      <c r="Y15" s="280">
        <f>VLOOKUP($Y$7,$B$8:$R$17,8,FALSE)</f>
        <v>100</v>
      </c>
    </row>
    <row r="16" spans="2:25">
      <c r="B16" s="10" t="s">
        <v>175</v>
      </c>
      <c r="C16" s="8">
        <f>VLOOKUP(B16,Maestro!$A$7:$D$19,4,FALSE)</f>
        <v>43200</v>
      </c>
      <c r="D16" s="9">
        <f>+(($C16-(SUMIFS(disponibilidad[Tiempo falla 
(en Mintuos)],disponibilidad[JADE],"SI",disponibilidad[Mes],$B16,disponibilidad[[Tipo de afectación ]],"caÍda total",disponibilidad[Responsable Falla],"Matrix Tech",disponibilidad[Acertemos - Cauca],"SI")))/$C16)*100</f>
        <v>100</v>
      </c>
      <c r="E16" s="9">
        <f>+(($C16-(SUMIFS(disponibilidad[Tiempo falla 
(en Mintuos)],disponibilidad[SIGA],"SI",disponibilidad[Mes],$B16,disponibilidad[[Tipo de afectación ]],"caÍda total",disponibilidad[Responsable Falla],"Matrix Tech",disponibilidad[Acertemos - Cauca],"SI")))/$C16)*100</f>
        <v>100</v>
      </c>
      <c r="F16" s="13">
        <f t="shared" si="0"/>
        <v>100</v>
      </c>
      <c r="G16" s="9">
        <f>+(($C16-(SUMIFS(disponibilidad[Tiempo falla 
(en Mintuos)],disponibilidad[Apuestas - Chance],"SI",disponibilidad[Mes],$B16,disponibilidad[[Tipo de afectación ]],"caÍda total",disponibilidad[Responsable Falla],"Matrix Tech",disponibilidad[Acertemos - Cauca],"SI")))/$C16)*100</f>
        <v>100</v>
      </c>
      <c r="H16" s="9">
        <f>+(($C16-(SUMIFS(disponibilidad[Tiempo falla 
(en Mintuos)],disponibilidad[PAGOS],"SI",disponibilidad[Mes],$B16,disponibilidad[[Tipo de afectación ]],"caÍda total",disponibilidad[Responsable Falla],"Matrix Tech",disponibilidad[Acertemos - Cauca],"SI")))/$C16)*100</f>
        <v>100</v>
      </c>
      <c r="I16" s="9">
        <f>+(($C16-(SUMIFS(disponibilidad[Tiempo falla 
(en Mintuos)],disponibilidad[RECAUDOS],"SI",disponibilidad[Mes],$B16,disponibilidad[[Tipo de afectación ]],"caÍda total",disponibilidad[Responsable Falla],"Matrix Tech",disponibilidad[Acertemos - Cauca],"SI")))/$C16)*100</f>
        <v>100</v>
      </c>
      <c r="J16" s="9">
        <f>+(($C16-(SUMIFS(disponibilidad[Tiempo falla 
(en Mintuos)],disponibilidad[RECARGAS],"SI",disponibilidad[Mes],$B16,disponibilidad[[Tipo de afectación ]],"caÍda total",disponibilidad[Responsable Falla],"Matrix Tech",disponibilidad[Acertemos - Cauca],"SI")))/$C16)*100</f>
        <v>100</v>
      </c>
      <c r="K16" s="13">
        <f t="shared" si="1"/>
        <v>100</v>
      </c>
      <c r="L16" s="9">
        <f>+(($C16-(SUMIFS(disponibilidad[Tiempo falla 
(en Mintuos)],disponibilidad[PAGOS],"SI",disponibilidad[Mes],$B16,disponibilidad[[Tipo de afectación ]],"caÍda total",disponibilidad[Responsable Falla],"Aliados o terceros",disponibilidad[Acertemos - Cauca],"SI")))/$C16)*100</f>
        <v>100</v>
      </c>
      <c r="M16" s="9">
        <f>+(($C16-(SUMIFS(disponibilidad[Tiempo falla 
(en Mintuos)],disponibilidad[RECAUDOS],"SI",disponibilidad[Mes],$B16,disponibilidad[[Tipo de afectación ]],"caÍda total",disponibilidad[Responsable Falla],"Aliados o terceros",disponibilidad[Acertemos - Cauca],"SI")))/$C16)*100</f>
        <v>100</v>
      </c>
      <c r="N16" s="9">
        <f>+(($C16-(SUMIFS(disponibilidad[Tiempo falla 
(en Mintuos)],disponibilidad[RECARGAS],"SI",disponibilidad[Mes],$B16,disponibilidad[[Tipo de afectación ]],"caÍda total",disponibilidad[Responsable Falla],"Aliados o terceros",disponibilidad[Acertemos - Cauca],"SI")))/$C16)*100</f>
        <v>100</v>
      </c>
      <c r="O16" s="13">
        <f t="shared" si="2"/>
        <v>100</v>
      </c>
      <c r="P16" s="12">
        <f>SUMIFS(disponibilidad[Tiempo falla 
(en Mintuos)],disponibilidad[Mes],$B16,disponibilidad[[Tipo de afectación ]],"caÍda total",disponibilidad[Responsable Falla],"Matrix Tech",disponibilidad[Acertemos - Cauca],"SI")</f>
        <v>0</v>
      </c>
      <c r="Q16" s="14">
        <f t="shared" si="4"/>
        <v>0</v>
      </c>
      <c r="R16" s="12">
        <f>SUMIFS(disponibilidad[Tiempo falla 
(en Mintuos)],disponibilidad[Mes],$B16,disponibilidad[[Tipo de afectación ]],"caÍda total",disponibilidad[Responsable Falla],"Aliados o terceros",disponibilidad[Acertemos - Cauca],"SI")</f>
        <v>0</v>
      </c>
      <c r="S16" s="14">
        <f t="shared" si="3"/>
        <v>0</v>
      </c>
      <c r="X16" s="281" t="s">
        <v>29</v>
      </c>
      <c r="Y16" s="280">
        <f>VLOOKUP($Y$7,$B$8:$R$17,9,FALSE)</f>
        <v>100</v>
      </c>
    </row>
    <row r="17" spans="2:25">
      <c r="B17" s="10" t="s">
        <v>176</v>
      </c>
      <c r="C17" s="8">
        <f>VLOOKUP(B17,Maestro!$A$7:$D$19,4,FALSE)</f>
        <v>44640</v>
      </c>
      <c r="D17" s="9">
        <f>+(($C17-(SUMIFS(disponibilidad[Tiempo falla 
(en Mintuos)],disponibilidad[JADE],"SI",disponibilidad[Mes],$B17,disponibilidad[[Tipo de afectación ]],"caÍda total",disponibilidad[Responsable Falla],"Matrix Tech",disponibilidad[Acertemos - Cauca],"SI")))/$C17)*100</f>
        <v>100</v>
      </c>
      <c r="E17" s="9">
        <f>+(($C17-(SUMIFS(disponibilidad[Tiempo falla 
(en Mintuos)],disponibilidad[SIGA],"SI",disponibilidad[Mes],$B17,disponibilidad[[Tipo de afectación ]],"caÍda total",disponibilidad[Responsable Falla],"Matrix Tech",disponibilidad[Acertemos - Cauca],"SI")))/$C17)*100</f>
        <v>100</v>
      </c>
      <c r="F17" s="13">
        <f t="shared" si="0"/>
        <v>100</v>
      </c>
      <c r="G17" s="9">
        <f>+((($C17-(SUMIFS(disponibilidad[Tiempo falla 
(en Mintuos)],disponibilidad[Apuestas - Chance],"SI",disponibilidad[Mes],$B17,disponibilidad[[Tipo de afectación ]],"caÍda total",disponibilidad[Responsable Falla],"Matrix Tech",disponibilidad[Acertemos - Cauca],"SI")))/$C17)*100)</f>
        <v>100</v>
      </c>
      <c r="H17" s="9">
        <f>+((($C17-(SUMIFS(disponibilidad[Tiempo falla 
(en Mintuos)],disponibilidad[PAGOS],"SI",disponibilidad[Mes],$B17,disponibilidad[[Tipo de afectación ]],"caÍda total",disponibilidad[Responsable Falla],"Matrix Tech",disponibilidad[Acertemos - Cauca],"SI")))/$C17)*100)</f>
        <v>100</v>
      </c>
      <c r="I17" s="9">
        <f>+((($C17-(SUMIFS(disponibilidad[Tiempo falla 
(en Mintuos)],disponibilidad[RECAUDOS],"SI",disponibilidad[Mes],$B17,disponibilidad[[Tipo de afectación ]],"caÍda total",disponibilidad[Responsable Falla],"Matrix Tech",disponibilidad[Acertemos - Cauca],"SI")))/$C17))*100</f>
        <v>100</v>
      </c>
      <c r="J17" s="9">
        <f>+((($C17-(SUMIFS(disponibilidad[Tiempo falla 
(en Mintuos)],disponibilidad[RECARGAS],"SI",disponibilidad[Mes],$B17,disponibilidad[[Tipo de afectación ]],"caÍda total",disponibilidad[Responsable Falla],"Matrix Tech",disponibilidad[Acertemos - Cauca],"SI")))/$C17)*100)</f>
        <v>100</v>
      </c>
      <c r="K17" s="13">
        <f t="shared" si="1"/>
        <v>100</v>
      </c>
      <c r="L17" s="9">
        <f>+(($C17-(SUMIFS(disponibilidad[Tiempo falla 
(en Mintuos)],disponibilidad[PAGOS],"SI",disponibilidad[Mes],$B17,disponibilidad[[Tipo de afectación ]],"caÍda total",disponibilidad[Responsable Falla],"Aliados o terceros",disponibilidad[Acertemos - Cauca],"SI")))/$C17)*100</f>
        <v>100</v>
      </c>
      <c r="M17" s="9">
        <f>+(($C17-(SUMIFS(disponibilidad[Tiempo falla 
(en Mintuos)],disponibilidad[RECAUDOS],"SI",disponibilidad[Mes],$B17,disponibilidad[[Tipo de afectación ]],"caÍda total",disponibilidad[Responsable Falla],"Aliados o terceros",disponibilidad[Acertemos - Cauca],"SI")))/$C17)*100</f>
        <v>100</v>
      </c>
      <c r="N17" s="9">
        <f>+(($C17-(SUMIFS(disponibilidad[Tiempo falla 
(en Mintuos)],disponibilidad[RECARGAS],"SI",disponibilidad[Mes],$B17,disponibilidad[[Tipo de afectación ]],"caÍda total",disponibilidad[Responsable Falla],"Aliados o terceros",disponibilidad[Acertemos - Cauca],"SI")))/$C17)*100</f>
        <v>100</v>
      </c>
      <c r="O17" s="13">
        <f t="shared" si="2"/>
        <v>100</v>
      </c>
      <c r="P17" s="12">
        <f>SUMIFS(disponibilidad[Tiempo falla 
(en Mintuos)],disponibilidad[Mes],$B17,disponibilidad[[Tipo de afectación ]],"caÍda total",disponibilidad[Responsable Falla],"Matrix Tech",disponibilidad[Acertemos - Cauca],"SI")</f>
        <v>0</v>
      </c>
      <c r="Q17" s="14">
        <f t="shared" si="4"/>
        <v>0</v>
      </c>
      <c r="R17" s="12">
        <f>SUMIFS(disponibilidad[Tiempo falla 
(en Mintuos)],disponibilidad[Mes],$B17,disponibilidad[[Tipo de afectación ]],"caÍda total",disponibilidad[Responsable Falla],"Aliados o terceros",disponibilidad[Acertemos - Cauca],"SI")</f>
        <v>0</v>
      </c>
      <c r="S17" s="14">
        <f>+R17/C17</f>
        <v>0</v>
      </c>
      <c r="X17" s="281" t="s">
        <v>30</v>
      </c>
      <c r="Y17" s="280">
        <f>VLOOKUP($Y$7,$B$8:$R$17,10,FALSE)</f>
        <v>100</v>
      </c>
    </row>
    <row r="18" spans="2:25">
      <c r="B18" s="10" t="s">
        <v>177</v>
      </c>
      <c r="C18" s="8">
        <f>VLOOKUP(B18,Maestro!$A$7:$D$19,4,FALSE)</f>
        <v>43200</v>
      </c>
      <c r="D18" s="9">
        <f>+(($C18-(SUMIFS(disponibilidad[Tiempo falla 
(en Mintuos)],disponibilidad[JADE],"SI",disponibilidad[Mes],$B18,disponibilidad[[Tipo de afectación ]],"caÍda total",disponibilidad[Responsable Falla],"Matrix Tech",disponibilidad[Acertemos - Cauca],"SI")))/$C18)*100</f>
        <v>100</v>
      </c>
      <c r="E18" s="9">
        <f>+(($C18-(SUMIFS(disponibilidad[Tiempo falla 
(en Mintuos)],disponibilidad[SIGA],"SI",disponibilidad[Mes],$B18,disponibilidad[[Tipo de afectación ]],"caÍda total",disponibilidad[Responsable Falla],"Matrix Tech",disponibilidad[Acertemos - Cauca],"SI")))/$C18)*100</f>
        <v>100</v>
      </c>
      <c r="F18" s="13">
        <f t="shared" si="0"/>
        <v>100</v>
      </c>
      <c r="G18" s="9">
        <f>+((($C18-(SUMIFS(disponibilidad[Tiempo falla 
(en Mintuos)],disponibilidad[Apuestas - Chance],"SI",disponibilidad[Mes],$B18,disponibilidad[[Tipo de afectación ]],"caÍda total",disponibilidad[Responsable Falla],"Matrix Tech",disponibilidad[Acertemos - Cauca],"SI")))/$C18)*100)</f>
        <v>100</v>
      </c>
      <c r="H18" s="9">
        <f>+((($C18-(SUMIFS(disponibilidad[Tiempo falla 
(en Mintuos)],disponibilidad[PAGOS],"SI",disponibilidad[Mes],$B18,disponibilidad[[Tipo de afectación ]],"caÍda total",disponibilidad[Responsable Falla],"Matrix Tech",disponibilidad[Acertemos - Cauca],"SI")))/$C18)*100)</f>
        <v>100</v>
      </c>
      <c r="I18" s="9">
        <f>+((($C18-(SUMIFS(disponibilidad[Tiempo falla 
(en Mintuos)],disponibilidad[RECAUDOS],"SI",disponibilidad[Mes],$B18,disponibilidad[[Tipo de afectación ]],"caÍda total",disponibilidad[Responsable Falla],"Matrix Tech",disponibilidad[Acertemos - Cauca],"SI")))/$C18)*100)</f>
        <v>100</v>
      </c>
      <c r="J18" s="9">
        <f>+((($C18-(SUMIFS(disponibilidad[Tiempo falla 
(en Mintuos)],disponibilidad[RECARGAS],"SI",disponibilidad[Mes],$B18,disponibilidad[[Tipo de afectación ]],"caÍda total",disponibilidad[Responsable Falla],"Matrix Tech",disponibilidad[Acertemos - Cauca],"SI")))/$C18)*100)</f>
        <v>100</v>
      </c>
      <c r="K18" s="13">
        <f t="shared" si="1"/>
        <v>100</v>
      </c>
      <c r="L18" s="9">
        <f>+(($C18-(SUMIFS(disponibilidad[Tiempo falla 
(en Mintuos)],disponibilidad[PAGOS],"SI",disponibilidad[Mes],$B18,disponibilidad[[Tipo de afectación ]],"caÍda total",disponibilidad[Responsable Falla],"Aliados o terceros",disponibilidad[Acertemos - Cauca],"SI")))/$C18)*100</f>
        <v>100</v>
      </c>
      <c r="M18" s="9">
        <f>+(($C18-(SUMIFS(disponibilidad[Tiempo falla 
(en Mintuos)],disponibilidad[RECAUDOS],"SI",disponibilidad[Mes],$B18,disponibilidad[[Tipo de afectación ]],"caÍda total",disponibilidad[Responsable Falla],"Aliados o terceros",disponibilidad[Acertemos - Cauca],"SI")))/$C18)*100</f>
        <v>100</v>
      </c>
      <c r="N18" s="9">
        <f>+(($C18-(SUMIFS(disponibilidad[Tiempo falla 
(en Mintuos)],disponibilidad[RECARGAS],"SI",disponibilidad[Mes],$B18,disponibilidad[[Tipo de afectación ]],"caÍda total",disponibilidad[Responsable Falla],"Aliados o terceros",disponibilidad[Acertemos - Cauca],"SI")))/$C18)*100</f>
        <v>100</v>
      </c>
      <c r="O18" s="13">
        <f t="shared" si="2"/>
        <v>100</v>
      </c>
      <c r="P18" s="12">
        <f>SUMIFS(disponibilidad[Tiempo falla 
(en Mintuos)],disponibilidad[Mes],$B18,disponibilidad[[Tipo de afectación ]],"caÍda total",disponibilidad[Responsable Falla],"Matrix Tech",disponibilidad[Acertemos - Cauca],"SI")</f>
        <v>0</v>
      </c>
      <c r="Q18" s="14">
        <f t="shared" si="4"/>
        <v>0</v>
      </c>
      <c r="R18" s="12">
        <f>SUMIFS(disponibilidad[Tiempo falla 
(en Mintuos)],disponibilidad[Mes],$B18,disponibilidad[[Tipo de afectación ]],"caÍda total",disponibilidad[Responsable Falla],"Aliados o terceros",disponibilidad[Acertemos - Cauca],"SI")</f>
        <v>0</v>
      </c>
      <c r="S18" s="14">
        <f>+R18/C18</f>
        <v>0</v>
      </c>
      <c r="X18" s="281" t="s">
        <v>31</v>
      </c>
      <c r="Y18" s="280">
        <f>VLOOKUP($Y$7,$B$8:$R$17,11,FALSE)</f>
        <v>100</v>
      </c>
    </row>
    <row r="19" spans="2:25">
      <c r="B19" s="10" t="s">
        <v>178</v>
      </c>
      <c r="C19" s="8">
        <f>VLOOKUP(B19,Maestro!$A$7:$D$19,4,FALSE)</f>
        <v>44640</v>
      </c>
      <c r="D19" s="9">
        <f>+(($C19-(SUMIFS(disponibilidad[Tiempo falla 
(en Mintuos)],disponibilidad[JADE],"SI",disponibilidad[Mes],$B19,disponibilidad[[Tipo de afectación ]],"caÍda total",disponibilidad[Responsable Falla],"Matrix Tech",disponibilidad[Acertemos - Cauca],"SI")))/$C19)*100</f>
        <v>100</v>
      </c>
      <c r="E19" s="9">
        <f>+(($C19-(SUMIFS(disponibilidad[Tiempo falla 
(en Mintuos)],disponibilidad[SIGA],"SI",disponibilidad[Mes],$B19,disponibilidad[[Tipo de afectación ]],"caÍda total",disponibilidad[Responsable Falla],"Matrix Tech",disponibilidad[Acertemos - Cauca],"SI")))/$C19)*100</f>
        <v>100</v>
      </c>
      <c r="F19" s="13">
        <f t="shared" si="0"/>
        <v>100</v>
      </c>
      <c r="G19" s="9">
        <f>+((($C19-(SUMIFS(disponibilidad[Tiempo falla 
(en Mintuos)],disponibilidad[Apuestas - Chance],"SI",disponibilidad[Mes],$B19,disponibilidad[[Tipo de afectación ]],"caÍda total",disponibilidad[Responsable Falla],"Matrix Tech",disponibilidad[Acertemos - Cauca],"SI")))/$C19)*100)</f>
        <v>100</v>
      </c>
      <c r="H19" s="9">
        <f>+((($C19-(SUMIFS(disponibilidad[Tiempo falla 
(en Mintuos)],disponibilidad[PAGOS],"SI",disponibilidad[Mes],$B19,disponibilidad[[Tipo de afectación ]],"caÍda total",disponibilidad[Responsable Falla],"Matrix Tech",disponibilidad[Acertemos - Cauca],"SI")))/$C19)*100)</f>
        <v>100</v>
      </c>
      <c r="I19" s="9">
        <f>+((($C19-(SUMIFS(disponibilidad[Tiempo falla 
(en Mintuos)],disponibilidad[RECAUDOS],"SI",disponibilidad[Mes],$B19,disponibilidad[[Tipo de afectación ]],"caÍda total",disponibilidad[Responsable Falla],"Matrix Tech",disponibilidad[Acertemos - Cauca],"SI")))/$C19)*100)</f>
        <v>100</v>
      </c>
      <c r="J19" s="9">
        <f>+((($C19-(SUMIFS(disponibilidad[Tiempo falla 
(en Mintuos)],disponibilidad[RECARGAS],"SI",disponibilidad[Mes],$B19,disponibilidad[[Tipo de afectación ]],"caÍda total",disponibilidad[Responsable Falla],"Matrix Tech",disponibilidad[Acertemos - Cauca],"SI")))/$C19)*100)</f>
        <v>100</v>
      </c>
      <c r="K19" s="13">
        <f t="shared" si="1"/>
        <v>100</v>
      </c>
      <c r="L19" s="9">
        <f>+(($C19-(SUMIFS(disponibilidad[Tiempo falla 
(en Mintuos)],disponibilidad[PAGOS],"SI",disponibilidad[Mes],$B19,disponibilidad[[Tipo de afectación ]],"caÍda total",disponibilidad[Responsable Falla],"Aliados o terceros",disponibilidad[Acertemos - Cauca],"SI")))/$C19)*100</f>
        <v>100</v>
      </c>
      <c r="M19" s="9">
        <f>+(($C19-(SUMIFS(disponibilidad[Tiempo falla 
(en Mintuos)],disponibilidad[RECAUDOS],"SI",disponibilidad[Mes],$B19,disponibilidad[[Tipo de afectación ]],"caÍda total",disponibilidad[Responsable Falla],"Aliados o terceros",disponibilidad[Acertemos - Cauca],"SI")))/$C19)*100</f>
        <v>100</v>
      </c>
      <c r="N19" s="9">
        <f>+(($C19-(SUMIFS(disponibilidad[Tiempo falla 
(en Mintuos)],disponibilidad[RECARGAS],"SI",disponibilidad[Mes],$B19,disponibilidad[[Tipo de afectación ]],"caÍda total",disponibilidad[Responsable Falla],"Aliados o terceros",disponibilidad[Acertemos - Cauca],"SI")))/$C19)*100</f>
        <v>100</v>
      </c>
      <c r="O19" s="13">
        <f t="shared" si="2"/>
        <v>100</v>
      </c>
      <c r="P19" s="12">
        <f>SUMIFS(disponibilidad[Tiempo falla 
(en Mintuos)],disponibilidad[Mes],$B19,disponibilidad[[Tipo de afectación ]],"caÍda total",disponibilidad[Responsable Falla],"Matrix Tech",disponibilidad[Acertemos - Cauca],"SI")</f>
        <v>0</v>
      </c>
      <c r="Q19" s="14">
        <f t="shared" si="4"/>
        <v>0</v>
      </c>
      <c r="R19" s="12">
        <f>SUMIFS(disponibilidad[Tiempo falla 
(en Mintuos)],disponibilidad[Mes],$B19,disponibilidad[[Tipo de afectación ]],"caÍda total",disponibilidad[Responsable Falla],"Aliados o terceros",disponibilidad[Acertemos - Cauca],"SI")</f>
        <v>0</v>
      </c>
      <c r="S19" s="14">
        <f>+R19/C19</f>
        <v>0</v>
      </c>
      <c r="X19" s="284" t="s">
        <v>179</v>
      </c>
      <c r="Y19" s="285">
        <f>VLOOKUP($Y$7,$B$8:$R$17,12,FALSE)</f>
        <v>100</v>
      </c>
    </row>
    <row r="23" spans="2:25">
      <c r="G23" s="57"/>
      <c r="H23" s="57"/>
      <c r="I23" s="57"/>
      <c r="J23" s="57"/>
      <c r="K23" s="57"/>
    </row>
  </sheetData>
  <mergeCells count="20">
    <mergeCell ref="L5:N5"/>
    <mergeCell ref="O5:O7"/>
    <mergeCell ref="P5:Q5"/>
    <mergeCell ref="R5:S5"/>
    <mergeCell ref="P6:P7"/>
    <mergeCell ref="Q6:Q7"/>
    <mergeCell ref="R6:R7"/>
    <mergeCell ref="S6:S7"/>
    <mergeCell ref="K5:K6"/>
    <mergeCell ref="B5:B7"/>
    <mergeCell ref="C5:C6"/>
    <mergeCell ref="D5:E5"/>
    <mergeCell ref="F5:F7"/>
    <mergeCell ref="G5:J5"/>
    <mergeCell ref="C1:D3"/>
    <mergeCell ref="E1:K1"/>
    <mergeCell ref="N1:P1"/>
    <mergeCell ref="E2:K2"/>
    <mergeCell ref="E3:K3"/>
    <mergeCell ref="N3:P3"/>
  </mergeCells>
  <conditionalFormatting sqref="F8:F19">
    <cfRule type="cellIs" dxfId="45" priority="5" operator="lessThan">
      <formula>99.7</formula>
    </cfRule>
    <cfRule type="cellIs" dxfId="44" priority="6" operator="greaterThanOrEqual">
      <formula>99.7</formula>
    </cfRule>
  </conditionalFormatting>
  <conditionalFormatting sqref="K8:K19">
    <cfRule type="cellIs" dxfId="43" priority="3" operator="lessThan">
      <formula>99.7</formula>
    </cfRule>
    <cfRule type="cellIs" dxfId="42" priority="4" operator="greaterThanOrEqual">
      <formula>99.7</formula>
    </cfRule>
  </conditionalFormatting>
  <conditionalFormatting sqref="O8:O19">
    <cfRule type="cellIs" dxfId="41" priority="1" operator="lessThan">
      <formula>99.7</formula>
    </cfRule>
    <cfRule type="cellIs" dxfId="40" priority="2" operator="greaterThanOrEqual">
      <formula>99.7</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F877BA49-837E-4D64-A587-47E9D7C12A9C}">
          <x14:formula1>
            <xm:f>Maestro!$A$8:$A$19</xm:f>
          </x14:formula1>
          <xm:sqref>Y7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A392-98CC-4B35-B269-25B7632F643E}">
  <sheetPr codeName="Hoja18"/>
  <dimension ref="B1:AD21"/>
  <sheetViews>
    <sheetView workbookViewId="0">
      <selection activeCell="A7" sqref="A7"/>
    </sheetView>
  </sheetViews>
  <sheetFormatPr defaultColWidth="11.42578125" defaultRowHeight="15"/>
  <cols>
    <col min="2" max="2" width="17.28515625" customWidth="1"/>
    <col min="3" max="3" width="8.28515625" style="5" bestFit="1" customWidth="1"/>
    <col min="4" max="4" width="10.42578125" style="6" customWidth="1"/>
    <col min="5" max="5" width="16.42578125" style="6" customWidth="1"/>
    <col min="6" max="6" width="10" style="6" customWidth="1"/>
    <col min="7" max="10" width="7.7109375" style="6" customWidth="1"/>
    <col min="11" max="11" width="9" style="6" customWidth="1"/>
    <col min="12" max="14" width="8.42578125" customWidth="1"/>
    <col min="15" max="15" width="10.42578125" customWidth="1"/>
    <col min="16" max="16" width="12.7109375" customWidth="1"/>
    <col min="17" max="17" width="7.5703125" customWidth="1"/>
    <col min="18" max="18" width="7.85546875" customWidth="1"/>
    <col min="19" max="19" width="6.85546875" customWidth="1"/>
    <col min="24" max="24" width="18.28515625" bestFit="1" customWidth="1"/>
  </cols>
  <sheetData>
    <row r="1" spans="2:30" ht="18" customHeight="1">
      <c r="B1" s="375"/>
      <c r="C1" s="375"/>
      <c r="D1" s="376" t="s">
        <v>156</v>
      </c>
      <c r="E1" s="376"/>
      <c r="F1" s="376"/>
      <c r="G1" s="376"/>
      <c r="H1" s="376"/>
      <c r="I1" s="377" t="s">
        <v>0</v>
      </c>
      <c r="J1" s="377"/>
      <c r="K1" s="377" t="s">
        <v>1</v>
      </c>
      <c r="L1" s="377"/>
      <c r="M1" s="377"/>
    </row>
    <row r="2" spans="2:30" ht="15.75" customHeight="1">
      <c r="B2" s="375"/>
      <c r="C2" s="375"/>
      <c r="D2" s="378" t="s">
        <v>2</v>
      </c>
      <c r="E2" s="378"/>
      <c r="F2" s="378"/>
      <c r="G2" s="378"/>
      <c r="H2" s="378"/>
      <c r="I2" s="378" t="s">
        <v>3</v>
      </c>
      <c r="J2" s="378"/>
      <c r="K2" s="378">
        <v>0</v>
      </c>
      <c r="L2" s="378"/>
      <c r="M2" s="378"/>
    </row>
    <row r="3" spans="2:30" ht="15.75" customHeight="1">
      <c r="B3" s="375"/>
      <c r="C3" s="375"/>
      <c r="D3" s="377" t="s">
        <v>4</v>
      </c>
      <c r="E3" s="377"/>
      <c r="F3" s="377"/>
      <c r="G3" s="377"/>
      <c r="H3" s="377"/>
      <c r="I3" s="377" t="s">
        <v>5</v>
      </c>
      <c r="J3" s="377"/>
      <c r="K3" s="379">
        <v>45525</v>
      </c>
      <c r="L3" s="379"/>
      <c r="M3" s="379"/>
    </row>
    <row r="5" spans="2:30" ht="50.25" customHeight="1">
      <c r="B5" s="344" t="s">
        <v>9</v>
      </c>
      <c r="C5" s="344" t="s">
        <v>157</v>
      </c>
      <c r="D5" s="380" t="s">
        <v>158</v>
      </c>
      <c r="E5" s="381"/>
      <c r="F5" s="342" t="s">
        <v>159</v>
      </c>
      <c r="G5" s="380" t="s">
        <v>463</v>
      </c>
      <c r="H5" s="381"/>
      <c r="I5" s="381"/>
      <c r="J5" s="381"/>
      <c r="K5" s="342" t="s">
        <v>161</v>
      </c>
      <c r="L5" s="350" t="s">
        <v>162</v>
      </c>
      <c r="M5" s="351"/>
      <c r="N5" s="352"/>
      <c r="O5" s="353" t="s">
        <v>161</v>
      </c>
      <c r="P5" s="365" t="s">
        <v>163</v>
      </c>
      <c r="Q5" s="366"/>
      <c r="R5" s="367" t="s">
        <v>164</v>
      </c>
      <c r="S5" s="368"/>
    </row>
    <row r="6" spans="2:30" ht="66" customHeight="1">
      <c r="B6" s="345"/>
      <c r="C6" s="346"/>
      <c r="D6" s="15" t="s">
        <v>16</v>
      </c>
      <c r="E6" s="15" t="s">
        <v>17</v>
      </c>
      <c r="F6" s="343"/>
      <c r="G6" s="15" t="s">
        <v>28</v>
      </c>
      <c r="H6" s="15" t="s">
        <v>29</v>
      </c>
      <c r="I6" s="15" t="s">
        <v>30</v>
      </c>
      <c r="J6" s="15" t="s">
        <v>31</v>
      </c>
      <c r="K6" s="343"/>
      <c r="L6" s="11" t="s">
        <v>29</v>
      </c>
      <c r="M6" s="11" t="s">
        <v>30</v>
      </c>
      <c r="N6" s="11" t="s">
        <v>31</v>
      </c>
      <c r="O6" s="354"/>
      <c r="P6" s="358" t="s">
        <v>165</v>
      </c>
      <c r="Q6" s="358" t="s">
        <v>166</v>
      </c>
      <c r="R6" s="360" t="s">
        <v>165</v>
      </c>
      <c r="S6" s="360" t="s">
        <v>166</v>
      </c>
    </row>
    <row r="7" spans="2:30" s="19" customFormat="1" ht="18.75" customHeight="1">
      <c r="B7" s="346"/>
      <c r="C7" s="17" t="s">
        <v>167</v>
      </c>
      <c r="D7" s="58">
        <v>0.97</v>
      </c>
      <c r="E7" s="58">
        <v>0.03</v>
      </c>
      <c r="F7" s="349"/>
      <c r="G7" s="58">
        <v>0.56999999999999995</v>
      </c>
      <c r="H7" s="58">
        <v>0.03</v>
      </c>
      <c r="I7" s="58">
        <v>0.1</v>
      </c>
      <c r="J7" s="58">
        <v>0.3</v>
      </c>
      <c r="K7" s="59">
        <f>SUM(G7:J7)</f>
        <v>1</v>
      </c>
      <c r="L7" s="18"/>
      <c r="M7" s="18"/>
      <c r="N7" s="18"/>
      <c r="O7" s="355"/>
      <c r="P7" s="359"/>
      <c r="Q7" s="359"/>
      <c r="R7" s="361"/>
      <c r="S7" s="361"/>
      <c r="X7" s="274" t="s">
        <v>168</v>
      </c>
      <c r="Y7" s="274" t="s">
        <v>172</v>
      </c>
      <c r="Z7"/>
      <c r="AA7"/>
      <c r="AB7"/>
      <c r="AC7"/>
      <c r="AD7"/>
    </row>
    <row r="8" spans="2:30">
      <c r="B8" s="7" t="s">
        <v>37</v>
      </c>
      <c r="C8" s="8">
        <f>VLOOKUP(B8,Maestro!$A$7:$D$19,4,FALSE)</f>
        <v>44640</v>
      </c>
      <c r="D8" s="9">
        <f>+(($C8-(SUMIFS(disponibilidad[Tiempo falla 
(en Mintuos)],disponibilidad[JADE],"SI",disponibilidad[Mes],$B8,disponibilidad[[Tipo de afectación ]],"caÍda total",disponibilidad[Responsable Falla],"Matrix Tech",disponibilidad[MatrixRedes],"SI")))/$C8)*100</f>
        <v>100</v>
      </c>
      <c r="E8" s="9">
        <f>+(($C8-(SUMIFS(disponibilidad[Tiempo falla 
(en Mintuos)],disponibilidad[JADE],"SI",disponibilidad[Mes],$B8,disponibilidad[[Tipo de afectación ]],"caÍda total",disponibilidad[Responsable Falla],"Matrix Tech",disponibilidad[MatrixRedes],"SI")))/$C8)*100</f>
        <v>100</v>
      </c>
      <c r="F8" s="13">
        <f t="shared" ref="F8:F19" si="0">SUMPRODUCT($D$7:$E$7,D8:E8)/$K$7</f>
        <v>100</v>
      </c>
      <c r="G8" s="9">
        <f>+(($C8-(SUMIFS(disponibilidad[Tiempo falla 
(en Mintuos)],disponibilidad[Apuestas - Chance],"SI",disponibilidad[Mes],$B8,disponibilidad[[Tipo de afectación ]],"caÍda total",disponibilidad[Responsable Falla],"Matrix Tech",disponibilidad[MatrixRedes],"SI")))/$C8)*100</f>
        <v>100</v>
      </c>
      <c r="H8" s="9">
        <f>+(($C8-(SUMIFS(disponibilidad[Tiempo falla 
(en Mintuos)],disponibilidad[PAGOS],"SI",disponibilidad[Mes],$B8,disponibilidad[[Tipo de afectación ]],"caÍda total",disponibilidad[Responsable Falla],"Matrix Tech",disponibilidad[MatrixRedes],"SI")))/$C8)*100</f>
        <v>100</v>
      </c>
      <c r="I8" s="9">
        <f>+(($C8-(SUMIFS(disponibilidad[Tiempo falla 
(en Mintuos)],disponibilidad[RECAUDOS],"SI",disponibilidad[Mes],$B8,disponibilidad[[Tipo de afectación ]],"caÍda total",disponibilidad[Responsable Falla],"Matrix Tech",disponibilidad[MatrixRedes],"SI")))/$C8)*100</f>
        <v>100</v>
      </c>
      <c r="J8" s="9">
        <f>+(($C8-(SUMIFS(disponibilidad[Tiempo falla 
(en Mintuos)],disponibilidad[RECARGAS],"SI",disponibilidad[Mes],$B8,disponibilidad[[Tipo de afectación ]],"caÍda total",disponibilidad[Responsable Falla],"Matrix Tech",disponibilidad[MatrixRedes],"SI")))/$C8)*100</f>
        <v>100</v>
      </c>
      <c r="K8" s="13">
        <f t="shared" ref="K8:K19" si="1">SUMPRODUCT($G$7:$J$7,G8:J8)/$K$7</f>
        <v>100</v>
      </c>
      <c r="L8" s="9">
        <f>+(($C8-(SUMIFS(disponibilidad[Tiempo falla 
(en Mintuos)],disponibilidad[PAGOS],"SI",disponibilidad[Mes],$B8,disponibilidad[[Tipo de afectación ]],"caÍda total",disponibilidad[Responsable Falla],"Aliados o terceros",disponibilidad[MatrixRedes],"SI")))/$C8)*100</f>
        <v>100</v>
      </c>
      <c r="M8" s="9">
        <f>+(($C8-(SUMIFS(disponibilidad[Tiempo falla 
(en Mintuos)],disponibilidad[RECAUDOS],"SI",disponibilidad[Mes],$B8,disponibilidad[[Tipo de afectación ]],"caÍda total",disponibilidad[Responsable Falla],"Aliados o terceros",disponibilidad[MatrixRedes],"SI")))/$C8)*100</f>
        <v>100</v>
      </c>
      <c r="N8" s="9">
        <f>+(($C8-(SUMIFS(disponibilidad[Tiempo falla 
(en Mintuos)],disponibilidad[RECARGAS],"SI",disponibilidad[Mes],$B8,disponibilidad[[Tipo de afectación ]],"caÍda total",disponibilidad[Responsable Falla],"Aliados o terceros",disponibilidad[MatrixRedes],"SI")))/$C8)*100</f>
        <v>100</v>
      </c>
      <c r="O8" s="13">
        <f t="shared" ref="O8:O19" si="2">AVERAGE(L8:N8)</f>
        <v>100</v>
      </c>
      <c r="P8" s="12">
        <f>SUMIFS(disponibilidad[Tiempo falla 
(en Mintuos)],disponibilidad[Mes],$B8,disponibilidad[[Tipo de afectación ]],"caÍda total",disponibilidad[Responsable Falla],"Matrix Tech",disponibilidad[MatrixRedes],"SI")</f>
        <v>0</v>
      </c>
      <c r="Q8" s="14">
        <f>+$P$8/$C$8</f>
        <v>0</v>
      </c>
      <c r="R8" s="12">
        <f>SUMIFS(disponibilidad[Tiempo falla 
(en Mintuos)],disponibilidad[Mes],$B8,disponibilidad[[Tipo de afectación ]],"caÍda total",disponibilidad[Responsable Falla],"Aliados o terceros",disponibilidad[Acertemos - Cauca],"SI")</f>
        <v>0</v>
      </c>
      <c r="S8" s="14">
        <f t="shared" ref="S8:S19" si="3">+$R$8/$C$8</f>
        <v>0</v>
      </c>
      <c r="X8" s="129"/>
    </row>
    <row r="9" spans="2:30">
      <c r="B9" s="10" t="s">
        <v>91</v>
      </c>
      <c r="C9" s="8">
        <f>VLOOKUP(B9,Maestro!$A$7:$D$19,4,FALSE)</f>
        <v>41760</v>
      </c>
      <c r="D9" s="9">
        <f>+(($C9-(SUMIFS(disponibilidad[Tiempo falla 
(en Mintuos)],disponibilidad[JADE],"SI",disponibilidad[Mes],$B9,disponibilidad[[Tipo de afectación ]],"caÍda total",disponibilidad[Responsable Falla],"Matrix Tech",disponibilidad[MatrixRedes],"SI")))/$C9)*100</f>
        <v>100</v>
      </c>
      <c r="E9" s="9">
        <f>+(($C9-(SUMIFS(disponibilidad[Tiempo falla 
(en Mintuos)],disponibilidad[JADE],"SI",disponibilidad[Mes],$B9,disponibilidad[[Tipo de afectación ]],"caÍda total",disponibilidad[Responsable Falla],"Matrix Tech",disponibilidad[MatrixRedes],"SI")))/$C9)*100</f>
        <v>100</v>
      </c>
      <c r="F9" s="13">
        <f t="shared" si="0"/>
        <v>100</v>
      </c>
      <c r="G9" s="9">
        <f>+(($C9-(SUMIFS(disponibilidad[Tiempo falla 
(en Mintuos)],disponibilidad[Apuestas - Chance],"SI",disponibilidad[Mes],$B9,disponibilidad[[Tipo de afectación ]],"caÍda total",disponibilidad[Responsable Falla],"Matrix Tech",disponibilidad[MatrixRedes],"SI")))/$C9)*100</f>
        <v>100</v>
      </c>
      <c r="H9" s="9">
        <f>+(($C9-(SUMIFS(disponibilidad[Tiempo falla 
(en Mintuos)],disponibilidad[PAGOS],"SI",disponibilidad[Mes],$B9,disponibilidad[[Tipo de afectación ]],"caÍda total",disponibilidad[Responsable Falla],"Matrix Tech",disponibilidad[MatrixRedes],"SI")))/$C9)*100</f>
        <v>100</v>
      </c>
      <c r="I9" s="9">
        <f>+(($C9-(SUMIFS(disponibilidad[Tiempo falla 
(en Mintuos)],disponibilidad[RECAUDOS],"SI",disponibilidad[Mes],$B9,disponibilidad[[Tipo de afectación ]],"caÍda total",disponibilidad[Responsable Falla],"Matrix Tech",disponibilidad[MatrixRedes],"SI")))/$C9)*100</f>
        <v>100</v>
      </c>
      <c r="J9" s="9">
        <f>+(($C9-(SUMIFS(disponibilidad[Tiempo falla 
(en Mintuos)],disponibilidad[RECARGAS],"SI",disponibilidad[Mes],$B9,disponibilidad[[Tipo de afectación ]],"caÍda total",disponibilidad[Responsable Falla],"Matrix Tech",disponibilidad[MatrixRedes],"SI")))/$C9)*100</f>
        <v>100</v>
      </c>
      <c r="K9" s="13">
        <f t="shared" si="1"/>
        <v>100</v>
      </c>
      <c r="L9" s="9">
        <f>+(($C9-(SUMIFS(disponibilidad[Tiempo falla 
(en Mintuos)],disponibilidad[PAGOS],"SI",disponibilidad[Mes],$B9,disponibilidad[[Tipo de afectación ]],"caÍda total",disponibilidad[Responsable Falla],"Aliados o terceros",disponibilidad[MatrixRedes],"SI")))/$C9)*100</f>
        <v>100</v>
      </c>
      <c r="M9" s="9">
        <f>+(($C9-(SUMIFS(disponibilidad[Tiempo falla 
(en Mintuos)],disponibilidad[RECAUDOS],"SI",disponibilidad[Mes],$B9,disponibilidad[[Tipo de afectación ]],"caÍda total",disponibilidad[Responsable Falla],"Aliados o terceros",disponibilidad[MatrixRedes],"SI")))/$C9)*100</f>
        <v>100</v>
      </c>
      <c r="N9" s="9">
        <f>+(($C9-(SUMIFS(disponibilidad[Tiempo falla 
(en Mintuos)],disponibilidad[RECARGAS],"SI",disponibilidad[Mes],$B9,disponibilidad[[Tipo de afectación ]],"caÍda total",disponibilidad[Responsable Falla],"Aliados o terceros",disponibilidad[MatrixRedes],"SI")))/$C9)*100</f>
        <v>100</v>
      </c>
      <c r="O9" s="13">
        <f t="shared" si="2"/>
        <v>100</v>
      </c>
      <c r="P9" s="12">
        <f>SUMIFS(disponibilidad[Tiempo falla 
(en Mintuos)],disponibilidad[Mes],$B9,disponibilidad[[Tipo de afectación ]],"caÍda total",disponibilidad[Responsable Falla],"Matrix Tech",disponibilidad[MatrixRedes],"SI")</f>
        <v>0</v>
      </c>
      <c r="Q9" s="14">
        <f t="shared" ref="Q9:Q19" si="4">+P9/C9</f>
        <v>0</v>
      </c>
      <c r="R9" s="12">
        <f>SUMIFS(disponibilidad[Tiempo falla 
(en Mintuos)],disponibilidad[Mes],$B9,disponibilidad[[Tipo de afectación ]],"caÍda total",disponibilidad[Responsable Falla],"Aliados o terceros",disponibilidad[Acertemos - Cauca],"SI")</f>
        <v>0</v>
      </c>
      <c r="S9" s="14">
        <f t="shared" si="3"/>
        <v>0</v>
      </c>
      <c r="X9" s="270" t="s">
        <v>16</v>
      </c>
      <c r="Y9" s="271">
        <f>VLOOKUP($Y$7,$B$8:$S$19,3,FALSE)</f>
        <v>100</v>
      </c>
    </row>
    <row r="10" spans="2:30">
      <c r="B10" s="10" t="s">
        <v>148</v>
      </c>
      <c r="C10" s="8">
        <f>VLOOKUP(B10,Maestro!$A$7:$D$19,4,FALSE)</f>
        <v>44640</v>
      </c>
      <c r="D10" s="9">
        <f>+(($C10-(SUMIFS(disponibilidad[Tiempo falla 
(en Mintuos)],disponibilidad[JADE],"SI",disponibilidad[Mes],$B10,disponibilidad[[Tipo de afectación ]],"caÍda total",disponibilidad[Responsable Falla],"Matrix Tech",disponibilidad[MatrixRedes],"SI")))/$C10)*100</f>
        <v>100</v>
      </c>
      <c r="E10" s="9">
        <f>+(($C10-(SUMIFS(disponibilidad[Tiempo falla 
(en Mintuos)],disponibilidad[JADE],"SI",disponibilidad[Mes],$B10,disponibilidad[[Tipo de afectación ]],"caÍda total",disponibilidad[Responsable Falla],"Matrix Tech",disponibilidad[MatrixRedes],"SI")))/$C10)*100</f>
        <v>100</v>
      </c>
      <c r="F10" s="13">
        <f t="shared" si="0"/>
        <v>100</v>
      </c>
      <c r="G10" s="9">
        <f>+(($C10-(SUMIFS(disponibilidad[Tiempo falla 
(en Mintuos)],disponibilidad[Apuestas - Chance],"SI",disponibilidad[Mes],$B10,disponibilidad[[Tipo de afectación ]],"caÍda total",disponibilidad[Responsable Falla],"Matrix Tech",disponibilidad[MatrixRedes],"SI")))/$C10)*100</f>
        <v>100</v>
      </c>
      <c r="H10" s="9">
        <f>+(($C10-(SUMIFS(disponibilidad[Tiempo falla 
(en Mintuos)],disponibilidad[PAGOS],"SI",disponibilidad[Mes],$B10,disponibilidad[[Tipo de afectación ]],"caÍda total",disponibilidad[Responsable Falla],"Matrix Tech",disponibilidad[MatrixRedes],"SI")))/$C10)*100</f>
        <v>100</v>
      </c>
      <c r="I10" s="9">
        <f>+(($C10-(SUMIFS(disponibilidad[Tiempo falla 
(en Mintuos)],disponibilidad[RECAUDOS],"SI",disponibilidad[Mes],$B10,disponibilidad[[Tipo de afectación ]],"caÍda total",disponibilidad[Responsable Falla],"Matrix Tech",disponibilidad[MatrixRedes],"SI")))/$C10)*100</f>
        <v>100</v>
      </c>
      <c r="J10" s="9">
        <f>+(($C10-(SUMIFS(disponibilidad[Tiempo falla 
(en Mintuos)],disponibilidad[RECARGAS],"SI",disponibilidad[Mes],$B10,disponibilidad[[Tipo de afectación ]],"caÍda total",disponibilidad[Responsable Falla],"Matrix Tech",disponibilidad[MatrixRedes],"SI")))/$C10)*100</f>
        <v>100</v>
      </c>
      <c r="K10" s="13">
        <f t="shared" si="1"/>
        <v>100</v>
      </c>
      <c r="L10" s="9">
        <f>+(($C10-(SUMIFS(disponibilidad[Tiempo falla 
(en Mintuos)],disponibilidad[PAGOS],"SI",disponibilidad[Mes],$B10,disponibilidad[[Tipo de afectación ]],"caÍda total",disponibilidad[Responsable Falla],"Aliados o terceros",disponibilidad[MatrixRedes],"SI")))/$C10)*100</f>
        <v>100</v>
      </c>
      <c r="M10" s="9">
        <f>+(($C10-(SUMIFS(disponibilidad[Tiempo falla 
(en Mintuos)],disponibilidad[RECAUDOS],"SI",disponibilidad[Mes],$B10,disponibilidad[[Tipo de afectación ]],"caÍda total",disponibilidad[Responsable Falla],"Aliados o terceros",disponibilidad[MatrixRedes],"SI")))/$C10)*100</f>
        <v>100</v>
      </c>
      <c r="N10" s="9">
        <f>+(($C10-(SUMIFS(disponibilidad[Tiempo falla 
(en Mintuos)],disponibilidad[RECARGAS],"SI",disponibilidad[Mes],$B10,disponibilidad[[Tipo de afectación ]],"caÍda total",disponibilidad[Responsable Falla],"Aliados o terceros",disponibilidad[MatrixRedes],"SI")))/$C10)*100</f>
        <v>100</v>
      </c>
      <c r="O10" s="13">
        <f t="shared" si="2"/>
        <v>100</v>
      </c>
      <c r="P10" s="12">
        <f>SUMIFS(disponibilidad[Tiempo falla 
(en Mintuos)],disponibilidad[Mes],$B10,disponibilidad[[Tipo de afectación ]],"caÍda total",disponibilidad[Responsable Falla],"Matrix Tech",disponibilidad[MatrixRedes],"SI")</f>
        <v>0</v>
      </c>
      <c r="Q10" s="14">
        <f t="shared" si="4"/>
        <v>0</v>
      </c>
      <c r="R10" s="12">
        <f>SUMIFS(disponibilidad[Tiempo falla 
(en Mintuos)],disponibilidad[Mes],$B10,disponibilidad[[Tipo de afectación ]],"caÍda total",disponibilidad[Responsable Falla],"Aliados o terceros",disponibilidad[Acertemos - Cauca],"SI")</f>
        <v>0</v>
      </c>
      <c r="S10" s="14">
        <f t="shared" si="3"/>
        <v>0</v>
      </c>
      <c r="X10" s="82" t="s">
        <v>17</v>
      </c>
      <c r="Y10" s="271">
        <f>VLOOKUP($Y$7,$B$8:$S$19,3,FALSE)</f>
        <v>100</v>
      </c>
    </row>
    <row r="11" spans="2:30">
      <c r="B11" s="10" t="s">
        <v>170</v>
      </c>
      <c r="C11" s="8">
        <f>VLOOKUP(B11,Maestro!$A$7:$D$19,4,FALSE)</f>
        <v>43200</v>
      </c>
      <c r="D11" s="9">
        <f>+(($C11-(SUMIFS(disponibilidad[Tiempo falla 
(en Mintuos)],disponibilidad[JADE],"SI",disponibilidad[Mes],$B11,disponibilidad[[Tipo de afectación ]],"caÍda total",disponibilidad[Responsable Falla],"Matrix Tech",disponibilidad[MatrixRedes],"SI")))/$C11)*100</f>
        <v>100</v>
      </c>
      <c r="E11" s="9">
        <f>+(($C11-(SUMIFS(disponibilidad[Tiempo falla 
(en Mintuos)],disponibilidad[JADE],"SI",disponibilidad[Mes],$B11,disponibilidad[[Tipo de afectación ]],"caÍda total",disponibilidad[Responsable Falla],"Matrix Tech",disponibilidad[MatrixRedes],"SI")))/$C11)*100</f>
        <v>100</v>
      </c>
      <c r="F11" s="13">
        <f t="shared" si="0"/>
        <v>100</v>
      </c>
      <c r="G11" s="9">
        <f>+(($C11-(SUMIFS(disponibilidad[Tiempo falla 
(en Mintuos)],disponibilidad[Apuestas - Chance],"SI",disponibilidad[Mes],$B11,disponibilidad[[Tipo de afectación ]],"caÍda total",disponibilidad[Responsable Falla],"Matrix Tech",disponibilidad[MatrixRedes],"SI")))/$C11)*100</f>
        <v>100</v>
      </c>
      <c r="H11" s="9">
        <f>+(($C11-(SUMIFS(disponibilidad[Tiempo falla 
(en Mintuos)],disponibilidad[PAGOS],"SI",disponibilidad[Mes],$B11,disponibilidad[[Tipo de afectación ]],"caÍda total",disponibilidad[Responsable Falla],"Matrix Tech",disponibilidad[MatrixRedes],"SI")))/$C11)*100</f>
        <v>100</v>
      </c>
      <c r="I11" s="9">
        <f>+(($C11-(SUMIFS(disponibilidad[Tiempo falla 
(en Mintuos)],disponibilidad[RECAUDOS],"SI",disponibilidad[Mes],$B11,disponibilidad[[Tipo de afectación ]],"caÍda total",disponibilidad[Responsable Falla],"Matrix Tech",disponibilidad[MatrixRedes],"SI")))/$C11)*100</f>
        <v>100</v>
      </c>
      <c r="J11" s="9">
        <f>+(($C11-(SUMIFS(disponibilidad[Tiempo falla 
(en Mintuos)],disponibilidad[RECARGAS],"SI",disponibilidad[Mes],$B11,disponibilidad[[Tipo de afectación ]],"caÍda total",disponibilidad[Responsable Falla],"Matrix Tech",disponibilidad[MatrixRedes],"SI")))/$C11)*100</f>
        <v>100</v>
      </c>
      <c r="K11" s="13">
        <f t="shared" si="1"/>
        <v>100</v>
      </c>
      <c r="L11" s="9">
        <f>+(($C11-(SUMIFS(disponibilidad[Tiempo falla 
(en Mintuos)],disponibilidad[PAGOS],"SI",disponibilidad[Mes],$B11,disponibilidad[[Tipo de afectación ]],"caÍda total",disponibilidad[Responsable Falla],"Aliados o terceros",disponibilidad[MatrixRedes],"SI")))/$C11)*100</f>
        <v>100</v>
      </c>
      <c r="M11" s="9">
        <f>+(($C11-(SUMIFS(disponibilidad[Tiempo falla 
(en Mintuos)],disponibilidad[RECAUDOS],"SI",disponibilidad[Mes],$B11,disponibilidad[[Tipo de afectación ]],"caÍda total",disponibilidad[Responsable Falla],"Aliados o terceros",disponibilidad[MatrixRedes],"SI")))/$C11)*100</f>
        <v>100</v>
      </c>
      <c r="N11" s="9">
        <f>+(($C11-(SUMIFS(disponibilidad[Tiempo falla 
(en Mintuos)],disponibilidad[RECARGAS],"SI",disponibilidad[Mes],$B11,disponibilidad[[Tipo de afectación ]],"caÍda total",disponibilidad[Responsable Falla],"Aliados o terceros",disponibilidad[MatrixRedes],"SI")))/$C11)*100</f>
        <v>100</v>
      </c>
      <c r="O11" s="13">
        <f t="shared" si="2"/>
        <v>100</v>
      </c>
      <c r="P11" s="12">
        <f>SUMIFS(disponibilidad[Tiempo falla 
(en Mintuos)],disponibilidad[Mes],$B11,disponibilidad[[Tipo de afectación ]],"caÍda total",disponibilidad[Responsable Falla],"Matrix Tech",disponibilidad[MatrixRedes],"SI")</f>
        <v>0</v>
      </c>
      <c r="Q11" s="14">
        <f t="shared" si="4"/>
        <v>0</v>
      </c>
      <c r="R11" s="12">
        <f>SUMIFS(disponibilidad[Tiempo falla 
(en Mintuos)],disponibilidad[Mes],$B11,disponibilidad[[Tipo de afectación ]],"caÍda total",disponibilidad[Responsable Falla],"Aliados o terceros",disponibilidad[Acertemos - Cauca],"SI")</f>
        <v>0</v>
      </c>
      <c r="S11" s="14">
        <f t="shared" si="3"/>
        <v>0</v>
      </c>
      <c r="X11" s="82" t="s">
        <v>19</v>
      </c>
      <c r="Y11" s="271">
        <f>VLOOKUP($Y$7,$B$8:$S$19,3,FALSE)</f>
        <v>100</v>
      </c>
    </row>
    <row r="12" spans="2:30">
      <c r="B12" s="10" t="s">
        <v>169</v>
      </c>
      <c r="C12" s="8">
        <f>VLOOKUP(B12,Maestro!$A$7:$D$19,4,FALSE)</f>
        <v>44640</v>
      </c>
      <c r="D12" s="9">
        <f>+(($C12-(SUMIFS(disponibilidad[Tiempo falla 
(en Mintuos)],disponibilidad[JADE],"SI",disponibilidad[Mes],$B12,disponibilidad[[Tipo de afectación ]],"caÍda total",disponibilidad[Responsable Falla],"Matrix Tech",disponibilidad[MatrixRedes],"SI")))/$C12)*100</f>
        <v>100</v>
      </c>
      <c r="E12" s="9">
        <f>+(($C12-(SUMIFS(disponibilidad[Tiempo falla 
(en Mintuos)],disponibilidad[JADE],"SI",disponibilidad[Mes],$B12,disponibilidad[[Tipo de afectación ]],"caÍda total",disponibilidad[Responsable Falla],"Matrix Tech",disponibilidad[MatrixRedes],"SI")))/$C12)*100</f>
        <v>100</v>
      </c>
      <c r="F12" s="13">
        <f t="shared" si="0"/>
        <v>100</v>
      </c>
      <c r="G12" s="9">
        <f>+(($C12-(SUMIFS(disponibilidad[Tiempo falla 
(en Mintuos)],disponibilidad[Apuestas - Chance],"SI",disponibilidad[Mes],$B12,disponibilidad[[Tipo de afectación ]],"caÍda total",disponibilidad[Responsable Falla],"Matrix Tech",disponibilidad[MatrixRedes],"SI")))/$C12)*100</f>
        <v>100</v>
      </c>
      <c r="H12" s="9">
        <f>+(($C12-(SUMIFS(disponibilidad[Tiempo falla 
(en Mintuos)],disponibilidad[PAGOS],"SI",disponibilidad[Mes],$B12,disponibilidad[[Tipo de afectación ]],"caÍda total",disponibilidad[Responsable Falla],"Matrix Tech",disponibilidad[MatrixRedes],"SI")))/$C12)*100</f>
        <v>100</v>
      </c>
      <c r="I12" s="9">
        <f>+(($C12-(SUMIFS(disponibilidad[Tiempo falla 
(en Mintuos)],disponibilidad[RECAUDOS],"SI",disponibilidad[Mes],$B12,disponibilidad[[Tipo de afectación ]],"caÍda total",disponibilidad[Responsable Falla],"Matrix Tech",disponibilidad[MatrixRedes],"SI")))/$C12)*100</f>
        <v>100</v>
      </c>
      <c r="J12" s="9">
        <f>+(($C12-(SUMIFS(disponibilidad[Tiempo falla 
(en Mintuos)],disponibilidad[RECARGAS],"SI",disponibilidad[Mes],$B12,disponibilidad[[Tipo de afectación ]],"caÍda total",disponibilidad[Responsable Falla],"Matrix Tech",disponibilidad[MatrixRedes],"SI")))/$C12)*100</f>
        <v>100</v>
      </c>
      <c r="K12" s="13">
        <f t="shared" si="1"/>
        <v>100</v>
      </c>
      <c r="L12" s="9">
        <f>+(($C12-(SUMIFS(disponibilidad[Tiempo falla 
(en Mintuos)],disponibilidad[PAGOS],"SI",disponibilidad[Mes],$B12,disponibilidad[[Tipo de afectación ]],"caÍda total",disponibilidad[Responsable Falla],"Aliados o terceros",disponibilidad[MatrixRedes],"SI")))/$C12)*100</f>
        <v>100</v>
      </c>
      <c r="M12" s="9">
        <f>+(($C12-(SUMIFS(disponibilidad[Tiempo falla 
(en Mintuos)],disponibilidad[RECAUDOS],"SI",disponibilidad[Mes],$B12,disponibilidad[[Tipo de afectación ]],"caÍda total",disponibilidad[Responsable Falla],"Aliados o terceros",disponibilidad[MatrixRedes],"SI")))/$C12)*100</f>
        <v>100</v>
      </c>
      <c r="N12" s="9">
        <f>+(($C12-(SUMIFS(disponibilidad[Tiempo falla 
(en Mintuos)],disponibilidad[RECARGAS],"SI",disponibilidad[Mes],$B12,disponibilidad[[Tipo de afectación ]],"caÍda total",disponibilidad[Responsable Falla],"Aliados o terceros",disponibilidad[MatrixRedes],"SI")))/$C12)*100</f>
        <v>100</v>
      </c>
      <c r="O12" s="13">
        <f t="shared" si="2"/>
        <v>100</v>
      </c>
      <c r="P12" s="12">
        <f>SUMIFS(disponibilidad[Tiempo falla 
(en Mintuos)],disponibilidad[Mes],$B12,disponibilidad[[Tipo de afectación ]],"caÍda total",disponibilidad[Responsable Falla],"Matrix Tech",disponibilidad[MatrixRedes],"SI")</f>
        <v>0</v>
      </c>
      <c r="Q12" s="14">
        <f t="shared" si="4"/>
        <v>0</v>
      </c>
      <c r="R12" s="12">
        <f>SUMIFS(disponibilidad[Tiempo falla 
(en Mintuos)],disponibilidad[Mes],$B12,disponibilidad[[Tipo de afectación ]],"caÍda total",disponibilidad[Responsable Falla],"Aliados o terceros",disponibilidad[Acertemos - Cauca],"SI")</f>
        <v>0</v>
      </c>
      <c r="S12" s="14">
        <f t="shared" si="3"/>
        <v>0</v>
      </c>
      <c r="X12" s="82" t="s">
        <v>456</v>
      </c>
      <c r="Y12" s="271">
        <f>VLOOKUP($Y$7,$B$8:$S$19,3,FALSE)</f>
        <v>100</v>
      </c>
    </row>
    <row r="13" spans="2:30">
      <c r="B13" s="10" t="s">
        <v>172</v>
      </c>
      <c r="C13" s="8">
        <f>VLOOKUP(B13,Maestro!$A$7:$D$19,4,FALSE)</f>
        <v>43200</v>
      </c>
      <c r="D13" s="9">
        <f>+(($C13-(SUMIFS(disponibilidad[Tiempo falla 
(en Mintuos)],disponibilidad[JADE],"SI",disponibilidad[Mes],$B13,disponibilidad[[Tipo de afectación ]],"caÍda total",disponibilidad[Responsable Falla],"Matrix Tech",disponibilidad[MatrixRedes],"SI")))/$C13)*100</f>
        <v>100</v>
      </c>
      <c r="E13" s="9">
        <f>+(($C13-(SUMIFS(disponibilidad[Tiempo falla 
(en Mintuos)],disponibilidad[JADE],"SI",disponibilidad[Mes],$B13,disponibilidad[[Tipo de afectación ]],"caÍda total",disponibilidad[Responsable Falla],"Matrix Tech",disponibilidad[MatrixRedes],"SI")))/$C13)*100</f>
        <v>100</v>
      </c>
      <c r="F13" s="13">
        <f t="shared" si="0"/>
        <v>100</v>
      </c>
      <c r="G13" s="9">
        <f>+(($C13-(SUMIFS(disponibilidad[Tiempo falla 
(en Mintuos)],disponibilidad[Apuestas - Chance],"SI",disponibilidad[Mes],$B13,disponibilidad[[Tipo de afectación ]],"caÍda total",disponibilidad[Responsable Falla],"Matrix Tech",disponibilidad[MatrixRedes],"SI")))/$C13)*100</f>
        <v>100</v>
      </c>
      <c r="H13" s="9">
        <f>+(($C13-(SUMIFS(disponibilidad[Tiempo falla 
(en Mintuos)],disponibilidad[PAGOS],"SI",disponibilidad[Mes],$B13,disponibilidad[[Tipo de afectación ]],"caÍda total",disponibilidad[Responsable Falla],"Matrix Tech",disponibilidad[MatrixRedes],"SI")))/$C13)*100</f>
        <v>100</v>
      </c>
      <c r="I13" s="9">
        <f>+(($C13-(SUMIFS(disponibilidad[Tiempo falla 
(en Mintuos)],disponibilidad[RECAUDOS],"SI",disponibilidad[Mes],$B13,disponibilidad[[Tipo de afectación ]],"caÍda total",disponibilidad[Responsable Falla],"Matrix Tech",disponibilidad[MatrixRedes],"SI")))/$C13)*100</f>
        <v>100</v>
      </c>
      <c r="J13" s="9">
        <f>+(($C13-(SUMIFS(disponibilidad[Tiempo falla 
(en Mintuos)],disponibilidad[RECARGAS],"SI",disponibilidad[Mes],$B13,disponibilidad[[Tipo de afectación ]],"caÍda total",disponibilidad[Responsable Falla],"Matrix Tech",disponibilidad[MatrixRedes],"SI")))/$C13)*100</f>
        <v>100</v>
      </c>
      <c r="K13" s="13">
        <f t="shared" si="1"/>
        <v>100</v>
      </c>
      <c r="L13" s="9">
        <f>+(($C13-(SUMIFS(disponibilidad[Tiempo falla 
(en Mintuos)],disponibilidad[PAGOS],"SI",disponibilidad[Mes],$B13,disponibilidad[[Tipo de afectación ]],"caÍda total",disponibilidad[Responsable Falla],"Aliados o terceros",disponibilidad[MatrixRedes],"SI")))/$C13)*100</f>
        <v>100</v>
      </c>
      <c r="M13" s="9">
        <f>+(($C13-(SUMIFS(disponibilidad[Tiempo falla 
(en Mintuos)],disponibilidad[RECAUDOS],"SI",disponibilidad[Mes],$B13,disponibilidad[[Tipo de afectación ]],"caÍda total",disponibilidad[Responsable Falla],"Aliados o terceros",disponibilidad[MatrixRedes],"SI")))/$C13)*100</f>
        <v>100</v>
      </c>
      <c r="N13" s="9">
        <f>+(($C13-(SUMIFS(disponibilidad[Tiempo falla 
(en Mintuos)],disponibilidad[RECARGAS],"SI",disponibilidad[Mes],$B13,disponibilidad[[Tipo de afectación ]],"caÍda total",disponibilidad[Responsable Falla],"Aliados o terceros",disponibilidad[MatrixRedes],"SI")))/$C13)*100</f>
        <v>100</v>
      </c>
      <c r="O13" s="13">
        <f t="shared" si="2"/>
        <v>100</v>
      </c>
      <c r="P13" s="12">
        <f>SUMIFS(disponibilidad[Tiempo falla 
(en Mintuos)],disponibilidad[Mes],$B13,disponibilidad[[Tipo de afectación ]],"caÍda total",disponibilidad[Responsable Falla],"Matrix Tech",disponibilidad[MatrixRedes],"SI")</f>
        <v>0</v>
      </c>
      <c r="Q13" s="14">
        <f t="shared" si="4"/>
        <v>0</v>
      </c>
      <c r="R13" s="12">
        <f>SUMIFS(disponibilidad[Tiempo falla 
(en Mintuos)],disponibilidad[Mes],$B13,disponibilidad[[Tipo de afectación ]],"caÍda total",disponibilidad[Responsable Falla],"Aliados o terceros",disponibilidad[Acertemos - Cauca],"SI")</f>
        <v>0</v>
      </c>
      <c r="S13" s="14">
        <f t="shared" si="3"/>
        <v>0</v>
      </c>
      <c r="X13" s="272" t="s">
        <v>171</v>
      </c>
      <c r="Y13" s="271">
        <f>VLOOKUP($Y$7,$B$8:$S$19,3,FALSE)</f>
        <v>100</v>
      </c>
    </row>
    <row r="14" spans="2:30">
      <c r="B14" s="10" t="s">
        <v>173</v>
      </c>
      <c r="C14" s="8">
        <f>VLOOKUP(B14,Maestro!$A$7:$D$19,4,FALSE)</f>
        <v>44640</v>
      </c>
      <c r="D14" s="9">
        <f>+(($C14-(SUMIFS(disponibilidad[Tiempo falla 
(en Mintuos)],disponibilidad[JADE],"SI",disponibilidad[Mes],$B14,disponibilidad[[Tipo de afectación ]],"caÍda total",disponibilidad[Responsable Falla],"Matrix Tech",disponibilidad[MatrixRedes],"SI")))/$C14)*100</f>
        <v>100</v>
      </c>
      <c r="E14" s="9">
        <f>+(($C14-(SUMIFS(disponibilidad[Tiempo falla 
(en Mintuos)],disponibilidad[JADE],"SI",disponibilidad[Mes],$B14,disponibilidad[[Tipo de afectación ]],"caÍda total",disponibilidad[Responsable Falla],"Matrix Tech",disponibilidad[MatrixRedes],"SI")))/$C14)*100</f>
        <v>100</v>
      </c>
      <c r="F14" s="13">
        <f t="shared" si="0"/>
        <v>100</v>
      </c>
      <c r="G14" s="9">
        <f>+(($C14-(SUMIFS(disponibilidad[Tiempo falla 
(en Mintuos)],disponibilidad[Apuestas - Chance],"SI",disponibilidad[Mes],$B14,disponibilidad[[Tipo de afectación ]],"caÍda total",disponibilidad[Responsable Falla],"Matrix Tech",disponibilidad[MatrixRedes],"SI")))/$C14)*100</f>
        <v>100</v>
      </c>
      <c r="H14" s="9">
        <f>+(($C14-(SUMIFS(disponibilidad[Tiempo falla 
(en Mintuos)],disponibilidad[PAGOS],"SI",disponibilidad[Mes],$B14,disponibilidad[[Tipo de afectación ]],"caÍda total",disponibilidad[Responsable Falla],"Matrix Tech",disponibilidad[MatrixRedes],"SI")))/$C14)*100</f>
        <v>100</v>
      </c>
      <c r="I14" s="9">
        <f>+(($C14-(SUMIFS(disponibilidad[Tiempo falla 
(en Mintuos)],disponibilidad[RECAUDOS],"SI",disponibilidad[Mes],$B14,disponibilidad[[Tipo de afectación ]],"caÍda total",disponibilidad[Responsable Falla],"Matrix Tech",disponibilidad[MatrixRedes],"SI")))/$C14)*100</f>
        <v>100</v>
      </c>
      <c r="J14" s="9">
        <f>+(($C14-(SUMIFS(disponibilidad[Tiempo falla 
(en Mintuos)],disponibilidad[RECARGAS],"SI",disponibilidad[Mes],$B14,disponibilidad[[Tipo de afectación ]],"caÍda total",disponibilidad[Responsable Falla],"Matrix Tech",disponibilidad[MatrixRedes],"SI")))/$C14)*100</f>
        <v>100</v>
      </c>
      <c r="K14" s="13">
        <f t="shared" si="1"/>
        <v>100</v>
      </c>
      <c r="L14" s="9">
        <f>+(($C14-(SUMIFS(disponibilidad[Tiempo falla 
(en Mintuos)],disponibilidad[PAGOS],"SI",disponibilidad[Mes],$B14,disponibilidad[[Tipo de afectación ]],"caÍda total",disponibilidad[Responsable Falla],"Aliados o terceros",disponibilidad[MatrixRedes],"SI")))/$C14)*100</f>
        <v>100</v>
      </c>
      <c r="M14" s="9">
        <f>+(($C14-(SUMIFS(disponibilidad[Tiempo falla 
(en Mintuos)],disponibilidad[RECAUDOS],"SI",disponibilidad[Mes],$B14,disponibilidad[[Tipo de afectación ]],"caÍda total",disponibilidad[Responsable Falla],"Aliados o terceros",disponibilidad[MatrixRedes],"SI")))/$C14)*100</f>
        <v>100</v>
      </c>
      <c r="N14" s="9">
        <f>+(($C14-(SUMIFS(disponibilidad[Tiempo falla 
(en Mintuos)],disponibilidad[RECARGAS],"SI",disponibilidad[Mes],$B14,disponibilidad[[Tipo de afectación ]],"caÍda total",disponibilidad[Responsable Falla],"Aliados o terceros",disponibilidad[MatrixRedes],"SI")))/$C14)*100</f>
        <v>100</v>
      </c>
      <c r="O14" s="13">
        <f t="shared" si="2"/>
        <v>100</v>
      </c>
      <c r="P14" s="12">
        <f>SUMIFS(disponibilidad[Tiempo falla 
(en Mintuos)],disponibilidad[Mes],$B14,disponibilidad[[Tipo de afectación ]],"caÍda total",disponibilidad[Responsable Falla],"Matrix Tech",disponibilidad[MatrixRedes],"SI")</f>
        <v>0</v>
      </c>
      <c r="Q14" s="14">
        <f t="shared" si="4"/>
        <v>0</v>
      </c>
      <c r="R14" s="12">
        <f>SUMIFS(disponibilidad[Tiempo falla 
(en Mintuos)],disponibilidad[Mes],$B14,disponibilidad[[Tipo de afectación ]],"caÍda total",disponibilidad[Responsable Falla],"Aliados o terceros",disponibilidad[Acertemos - Cauca],"SI")</f>
        <v>0</v>
      </c>
      <c r="S14" s="14">
        <f t="shared" si="3"/>
        <v>0</v>
      </c>
    </row>
    <row r="15" spans="2:30">
      <c r="B15" s="10" t="s">
        <v>174</v>
      </c>
      <c r="C15" s="8">
        <f>VLOOKUP(B15,Maestro!$A$7:$D$19,4,FALSE)</f>
        <v>44640</v>
      </c>
      <c r="D15" s="9">
        <f>+(($C15-(SUMIFS(disponibilidad[Tiempo falla 
(en Mintuos)],disponibilidad[JADE],"SI",disponibilidad[Mes],$B15,disponibilidad[[Tipo de afectación ]],"caÍda total",disponibilidad[Responsable Falla],"Matrix Tech",disponibilidad[MatrixRedes],"SI")))/$C15)*100</f>
        <v>100</v>
      </c>
      <c r="E15" s="9">
        <f>+(($C15-(SUMIFS(disponibilidad[Tiempo falla 
(en Mintuos)],disponibilidad[JADE],"SI",disponibilidad[Mes],$B15,disponibilidad[[Tipo de afectación ]],"caÍda total",disponibilidad[Responsable Falla],"Matrix Tech",disponibilidad[MatrixRedes],"SI")))/$C15)*100</f>
        <v>100</v>
      </c>
      <c r="F15" s="13">
        <f t="shared" si="0"/>
        <v>100</v>
      </c>
      <c r="G15" s="9">
        <f>+(($C15-(SUMIFS(disponibilidad[Tiempo falla 
(en Mintuos)],disponibilidad[Apuestas - Chance],"SI",disponibilidad[Mes],$B15,disponibilidad[[Tipo de afectación ]],"caÍda total",disponibilidad[Responsable Falla],"Matrix Tech",disponibilidad[MatrixRedes],"SI")))/$C15)*100</f>
        <v>100</v>
      </c>
      <c r="H15" s="9">
        <f>+(($C15-(SUMIFS(disponibilidad[Tiempo falla 
(en Mintuos)],disponibilidad[PAGOS],"SI",disponibilidad[Mes],$B15,disponibilidad[[Tipo de afectación ]],"caÍda total",disponibilidad[Responsable Falla],"Matrix Tech",disponibilidad[MatrixRedes],"SI")))/$C15)*100</f>
        <v>100</v>
      </c>
      <c r="I15" s="9">
        <f>+(($C15-(SUMIFS(disponibilidad[Tiempo falla 
(en Mintuos)],disponibilidad[RECAUDOS],"SI",disponibilidad[Mes],$B15,disponibilidad[[Tipo de afectación ]],"caÍda total",disponibilidad[Responsable Falla],"Matrix Tech",disponibilidad[MatrixRedes],"SI")))/$C15)*100</f>
        <v>100</v>
      </c>
      <c r="J15" s="9">
        <f>+(($C15-(SUMIFS(disponibilidad[Tiempo falla 
(en Mintuos)],disponibilidad[RECARGAS],"SI",disponibilidad[Mes],$B15,disponibilidad[[Tipo de afectación ]],"caÍda total",disponibilidad[Responsable Falla],"Matrix Tech",disponibilidad[MatrixRedes],"SI")))/$C15)*100</f>
        <v>100</v>
      </c>
      <c r="K15" s="13">
        <f t="shared" si="1"/>
        <v>100</v>
      </c>
      <c r="L15" s="9">
        <f>+(($C15-(SUMIFS(disponibilidad[Tiempo falla 
(en Mintuos)],disponibilidad[PAGOS],"SI",disponibilidad[Mes],$B15,disponibilidad[[Tipo de afectación ]],"caÍda total",disponibilidad[Responsable Falla],"Aliados o terceros",disponibilidad[MatrixRedes],"SI")))/$C15)*100</f>
        <v>100</v>
      </c>
      <c r="M15" s="9">
        <f>+(($C15-(SUMIFS(disponibilidad[Tiempo falla 
(en Mintuos)],disponibilidad[RECAUDOS],"SI",disponibilidad[Mes],$B15,disponibilidad[[Tipo de afectación ]],"caÍda total",disponibilidad[Responsable Falla],"Aliados o terceros",disponibilidad[MatrixRedes],"SI")))/$C15)*100</f>
        <v>100</v>
      </c>
      <c r="N15" s="9">
        <f>+(($C15-(SUMIFS(disponibilidad[Tiempo falla 
(en Mintuos)],disponibilidad[RECARGAS],"SI",disponibilidad[Mes],$B15,disponibilidad[[Tipo de afectación ]],"caÍda total",disponibilidad[Responsable Falla],"Aliados o terceros",disponibilidad[MatrixRedes],"SI")))/$C15)*100</f>
        <v>100</v>
      </c>
      <c r="O15" s="13">
        <f t="shared" si="2"/>
        <v>100</v>
      </c>
      <c r="P15" s="12">
        <f>SUMIFS(disponibilidad[Tiempo falla 
(en Mintuos)],disponibilidad[Mes],$B15,disponibilidad[[Tipo de afectación ]],"caÍda total",disponibilidad[Responsable Falla],"Matrix Tech",disponibilidad[MatrixRedes],"SI")</f>
        <v>0</v>
      </c>
      <c r="Q15" s="14">
        <f t="shared" si="4"/>
        <v>0</v>
      </c>
      <c r="R15" s="12">
        <f>SUMIFS(disponibilidad[Tiempo falla 
(en Mintuos)],disponibilidad[Mes],$B15,disponibilidad[[Tipo de afectación ]],"caÍda total",disponibilidad[Responsable Falla],"Aliados o terceros",disponibilidad[Acertemos - Cauca],"SI")</f>
        <v>0</v>
      </c>
      <c r="S15" s="14">
        <f t="shared" si="3"/>
        <v>0</v>
      </c>
    </row>
    <row r="16" spans="2:30">
      <c r="B16" s="10" t="s">
        <v>175</v>
      </c>
      <c r="C16" s="8">
        <f>VLOOKUP(B16,Maestro!$A$7:$D$19,4,FALSE)</f>
        <v>43200</v>
      </c>
      <c r="D16" s="9">
        <f>+(($C16-(SUMIFS(disponibilidad[Tiempo falla 
(en Mintuos)],disponibilidad[JADE],"SI",disponibilidad[Mes],$B16,disponibilidad[[Tipo de afectación ]],"caÍda total",disponibilidad[Responsable Falla],"Matrix Tech",disponibilidad[MatrixRedes],"SI")))/$C16)*100</f>
        <v>100</v>
      </c>
      <c r="E16" s="9">
        <f>+(($C16-(SUMIFS(disponibilidad[Tiempo falla 
(en Mintuos)],disponibilidad[JADE],"SI",disponibilidad[Mes],$B16,disponibilidad[[Tipo de afectación ]],"caÍda total",disponibilidad[Responsable Falla],"Matrix Tech",disponibilidad[MatrixRedes],"SI")))/$C16)*100</f>
        <v>100</v>
      </c>
      <c r="F16" s="13">
        <f t="shared" si="0"/>
        <v>100</v>
      </c>
      <c r="G16" s="9">
        <f>+(($C16-(SUMIFS(disponibilidad[Tiempo falla 
(en Mintuos)],disponibilidad[Apuestas - Chance],"SI",disponibilidad[Mes],$B16,disponibilidad[[Tipo de afectación ]],"caÍda total",disponibilidad[Responsable Falla],"Matrix Tech",disponibilidad[MatrixRedes],"SI")))/$C16)*100</f>
        <v>100</v>
      </c>
      <c r="H16" s="9">
        <f>+(($C16-(SUMIFS(disponibilidad[Tiempo falla 
(en Mintuos)],disponibilidad[PAGOS],"SI",disponibilidad[Mes],$B16,disponibilidad[[Tipo de afectación ]],"caÍda total",disponibilidad[Responsable Falla],"Matrix Tech",disponibilidad[MatrixRedes],"SI")))/$C16)*100</f>
        <v>100</v>
      </c>
      <c r="I16" s="9">
        <f>+(($C16-(SUMIFS(disponibilidad[Tiempo falla 
(en Mintuos)],disponibilidad[RECAUDOS],"SI",disponibilidad[Mes],$B16,disponibilidad[[Tipo de afectación ]],"caÍda total",disponibilidad[Responsable Falla],"Matrix Tech",disponibilidad[MatrixRedes],"SI")))/$C16)*100</f>
        <v>100</v>
      </c>
      <c r="J16" s="9">
        <f>+(($C16-(SUMIFS(disponibilidad[Tiempo falla 
(en Mintuos)],disponibilidad[RECARGAS],"SI",disponibilidad[Mes],$B16,disponibilidad[[Tipo de afectación ]],"caÍda total",disponibilidad[Responsable Falla],"Matrix Tech",disponibilidad[MatrixRedes],"SI")))/$C16)*100</f>
        <v>100</v>
      </c>
      <c r="K16" s="13">
        <f t="shared" si="1"/>
        <v>100</v>
      </c>
      <c r="L16" s="9">
        <f>+(($C16-(SUMIFS(disponibilidad[Tiempo falla 
(en Mintuos)],disponibilidad[PAGOS],"SI",disponibilidad[Mes],$B16,disponibilidad[[Tipo de afectación ]],"caÍda total",disponibilidad[Responsable Falla],"Aliados o terceros",disponibilidad[MatrixRedes],"SI")))/$C16)*100</f>
        <v>100</v>
      </c>
      <c r="M16" s="9">
        <f>+(($C16-(SUMIFS(disponibilidad[Tiempo falla 
(en Mintuos)],disponibilidad[RECAUDOS],"SI",disponibilidad[Mes],$B16,disponibilidad[[Tipo de afectación ]],"caÍda total",disponibilidad[Responsable Falla],"Aliados o terceros",disponibilidad[MatrixRedes],"SI")))/$C16)*100</f>
        <v>100</v>
      </c>
      <c r="N16" s="9">
        <f>+(($C16-(SUMIFS(disponibilidad[Tiempo falla 
(en Mintuos)],disponibilidad[RECARGAS],"SI",disponibilidad[Mes],$B16,disponibilidad[[Tipo de afectación ]],"caÍda total",disponibilidad[Responsable Falla],"Aliados o terceros",disponibilidad[MatrixRedes],"SI")))/$C16)*100</f>
        <v>100</v>
      </c>
      <c r="O16" s="13">
        <f t="shared" si="2"/>
        <v>100</v>
      </c>
      <c r="P16" s="12">
        <f>SUMIFS(disponibilidad[Tiempo falla 
(en Mintuos)],disponibilidad[Mes],$B16,disponibilidad[[Tipo de afectación ]],"caÍda total",disponibilidad[Responsable Falla],"Matrix Tech",disponibilidad[MatrixRedes],"SI")</f>
        <v>0</v>
      </c>
      <c r="Q16" s="14">
        <f t="shared" si="4"/>
        <v>0</v>
      </c>
      <c r="R16" s="12">
        <f>SUMIFS(disponibilidad[Tiempo falla 
(en Mintuos)],disponibilidad[Mes],$B16,disponibilidad[[Tipo de afectación ]],"caÍda total",disponibilidad[Responsable Falla],"Aliados o terceros",disponibilidad[Acertemos - Cauca],"SI")</f>
        <v>0</v>
      </c>
      <c r="S16" s="14">
        <f t="shared" si="3"/>
        <v>0</v>
      </c>
      <c r="X16" s="129"/>
    </row>
    <row r="17" spans="2:25">
      <c r="B17" s="188" t="s">
        <v>176</v>
      </c>
      <c r="C17" s="189">
        <f>VLOOKUP(B17,Maestro!$A$7:$D$19,4,FALSE)</f>
        <v>44640</v>
      </c>
      <c r="D17" s="190">
        <f>+(($C17-(SUMIFS(disponibilidad[Tiempo falla 
(en Mintuos)],disponibilidad[JADE],"SI",disponibilidad[Mes],$B17,disponibilidad[[Tipo de afectación ]],"caÍda total",disponibilidad[Responsable Falla],"Matrix Tech",disponibilidad[MatrixRedes],"SI")))/$C17)*100</f>
        <v>100</v>
      </c>
      <c r="E17" s="190">
        <f>+(($C17-(SUMIFS(disponibilidad[Tiempo falla 
(en Mintuos)],disponibilidad[JADE],"SI",disponibilidad[Mes],$B17,disponibilidad[[Tipo de afectación ]],"caÍda total",disponibilidad[Responsable Falla],"Matrix Tech",disponibilidad[MatrixRedes],"SI")))/$C17)*100</f>
        <v>100</v>
      </c>
      <c r="F17" s="13">
        <f t="shared" si="0"/>
        <v>100</v>
      </c>
      <c r="G17" s="190">
        <f>+(($C17-(SUMIFS(disponibilidad[Tiempo falla 
(en Mintuos)],disponibilidad[Apuestas - Chance],"SI",disponibilidad[Mes],$B17,disponibilidad[[Tipo de afectación ]],"caÍda total",disponibilidad[Responsable Falla],"Matrix Tech",disponibilidad[MatrixRedes],"SI")))/$C17)*100</f>
        <v>100</v>
      </c>
      <c r="H17" s="190">
        <f>+(($C17-(SUMIFS(disponibilidad[Tiempo falla 
(en Mintuos)],disponibilidad[PAGOS],"SI",disponibilidad[Mes],$B17,disponibilidad[[Tipo de afectación ]],"caÍda total",disponibilidad[Responsable Falla],"Matrix Tech",disponibilidad[MatrixRedes],"SI")))/$C17)*100</f>
        <v>100</v>
      </c>
      <c r="I17" s="190">
        <f>+(($C17-(SUMIFS(disponibilidad[Tiempo falla 
(en Mintuos)],disponibilidad[RECAUDOS],"SI",disponibilidad[Mes],$B17,disponibilidad[[Tipo de afectación ]],"caÍda total",disponibilidad[Responsable Falla],"Matrix Tech",disponibilidad[MatrixRedes],"SI")))/$C17)*100</f>
        <v>100</v>
      </c>
      <c r="J17" s="190">
        <f>+(($C17-(SUMIFS(disponibilidad[Tiempo falla 
(en Mintuos)],disponibilidad[RECARGAS],"SI",disponibilidad[Mes],$B17,disponibilidad[[Tipo de afectación ]],"caÍda total",disponibilidad[Responsable Falla],"Matrix Tech",disponibilidad[MatrixRedes],"SI")))/$C17)*100</f>
        <v>100</v>
      </c>
      <c r="K17" s="13">
        <f t="shared" si="1"/>
        <v>100</v>
      </c>
      <c r="L17" s="190">
        <f>+(($C17-(SUMIFS(disponibilidad[Tiempo falla 
(en Mintuos)],disponibilidad[PAGOS],"SI",disponibilidad[Mes],$B17,disponibilidad[[Tipo de afectación ]],"caÍda total",disponibilidad[Responsable Falla],"Aliados o terceros",disponibilidad[MatrixRedes],"SI")))/$C17)*100</f>
        <v>100</v>
      </c>
      <c r="M17" s="190">
        <f>+(($C17-(SUMIFS(disponibilidad[Tiempo falla 
(en Mintuos)],disponibilidad[RECAUDOS],"SI",disponibilidad[Mes],$B17,disponibilidad[[Tipo de afectación ]],"caÍda total",disponibilidad[Responsable Falla],"Aliados o terceros",disponibilidad[MatrixRedes],"SI")))/$C17)*100</f>
        <v>100</v>
      </c>
      <c r="N17" s="190">
        <f>+(($C17-(SUMIFS(disponibilidad[Tiempo falla 
(en Mintuos)],disponibilidad[RECARGAS],"SI",disponibilidad[Mes],$B17,disponibilidad[[Tipo de afectación ]],"caÍda total",disponibilidad[Responsable Falla],"Aliados o terceros",disponibilidad[MatrixRedes],"SI")))/$C17)*100</f>
        <v>100</v>
      </c>
      <c r="O17" s="13">
        <f t="shared" si="2"/>
        <v>100</v>
      </c>
      <c r="P17" s="191">
        <f>SUMIFS(disponibilidad[Tiempo falla 
(en Mintuos)],disponibilidad[Mes],$B17,disponibilidad[[Tipo de afectación ]],"caÍda total",disponibilidad[Responsable Falla],"Matrix Tech",disponibilidad[MatrixRedes],"SI")</f>
        <v>0</v>
      </c>
      <c r="Q17" s="192">
        <f t="shared" si="4"/>
        <v>0</v>
      </c>
      <c r="R17" s="12">
        <f>SUMIFS(disponibilidad[Tiempo falla 
(en Mintuos)],disponibilidad[Mes],$B17,disponibilidad[[Tipo de afectación ]],"caÍda total",disponibilidad[Responsable Falla],"Aliados o terceros",disponibilidad[MatrixRedes],"SI")</f>
        <v>0</v>
      </c>
      <c r="S17" s="14">
        <f t="shared" si="3"/>
        <v>0</v>
      </c>
      <c r="X17" s="82" t="s">
        <v>28</v>
      </c>
      <c r="Y17" s="271">
        <f>VLOOKUP($Y$7,$B$8:$S$19,8,FALSE)</f>
        <v>100</v>
      </c>
    </row>
    <row r="18" spans="2:25">
      <c r="B18" s="10" t="s">
        <v>177</v>
      </c>
      <c r="C18" s="8">
        <f>VLOOKUP(B18,Maestro!$A$7:$D$19,4,FALSE)</f>
        <v>43200</v>
      </c>
      <c r="D18" s="9">
        <f>+(($C18-(SUMIFS(disponibilidad[Tiempo falla 
(en Mintuos)],disponibilidad[JADE],"SI",disponibilidad[Mes],$B18,disponibilidad[[Tipo de afectación ]],"caÍda total",disponibilidad[Responsable Falla],"Matrix Tech",disponibilidad[MatrixRedes],"SI")))/$C18)*100</f>
        <v>100</v>
      </c>
      <c r="E18" s="9">
        <f>+(($C18-(SUMIFS(disponibilidad[Tiempo falla 
(en Mintuos)],disponibilidad[JADE],"SI",disponibilidad[Mes],$B18,disponibilidad[[Tipo de afectación ]],"caÍda total",disponibilidad[Responsable Falla],"Matrix Tech",disponibilidad[MatrixRedes],"SI")))/$C18)*100</f>
        <v>100</v>
      </c>
      <c r="F18" s="13">
        <f t="shared" si="0"/>
        <v>100</v>
      </c>
      <c r="G18" s="9">
        <f>+(($C18-(SUMIFS(disponibilidad[Tiempo falla 
(en Mintuos)],disponibilidad[Apuestas - Chance],"SI",disponibilidad[Mes],$B18,disponibilidad[[Tipo de afectación ]],"caÍda total",disponibilidad[Responsable Falla],"Matrix Tech",disponibilidad[MatrixRedes],"SI")))/$C18)*100</f>
        <v>100</v>
      </c>
      <c r="H18" s="9">
        <f>+(($C18-(SUMIFS(disponibilidad[Tiempo falla 
(en Mintuos)],disponibilidad[PAGOS],"SI",disponibilidad[Mes],$B18,disponibilidad[[Tipo de afectación ]],"caÍda total",disponibilidad[Responsable Falla],"Matrix Tech",disponibilidad[MatrixRedes],"SI")))/$C18)*100</f>
        <v>100</v>
      </c>
      <c r="I18" s="9">
        <f>+(($C18-(SUMIFS(disponibilidad[Tiempo falla 
(en Mintuos)],disponibilidad[RECAUDOS],"SI",disponibilidad[Mes],$B18,disponibilidad[[Tipo de afectación ]],"caÍda total",disponibilidad[Responsable Falla],"Matrix Tech",disponibilidad[MatrixRedes],"SI")))/$C18)*100</f>
        <v>100</v>
      </c>
      <c r="J18" s="9">
        <f>+(($C18-(SUMIFS(disponibilidad[Tiempo falla 
(en Mintuos)],disponibilidad[RECARGAS],"SI",disponibilidad[Mes],$B18,disponibilidad[[Tipo de afectación ]],"caÍda total",disponibilidad[Responsable Falla],"Matrix Tech",disponibilidad[MatrixRedes],"SI")))/$C18)*100</f>
        <v>100</v>
      </c>
      <c r="K18" s="13">
        <f t="shared" si="1"/>
        <v>100</v>
      </c>
      <c r="L18" s="9">
        <f>+(($C18-(SUMIFS(disponibilidad[Tiempo falla 
(en Mintuos)],disponibilidad[PAGOS],"SI",disponibilidad[Mes],$B18,disponibilidad[[Tipo de afectación ]],"caÍda total",disponibilidad[Responsable Falla],"Aliados o terceros",disponibilidad[MatrixRedes],"SI")))/$C18)*100</f>
        <v>100</v>
      </c>
      <c r="M18" s="9">
        <f>+(($C18-(SUMIFS(disponibilidad[Tiempo falla 
(en Mintuos)],disponibilidad[RECAUDOS],"SI",disponibilidad[Mes],$B18,disponibilidad[[Tipo de afectación ]],"caÍda total",disponibilidad[Responsable Falla],"Aliados o terceros",disponibilidad[MatrixRedes],"SI")))/$C18)*100</f>
        <v>100</v>
      </c>
      <c r="N18" s="9">
        <f>+(($C18-(SUMIFS(disponibilidad[Tiempo falla 
(en Mintuos)],disponibilidad[RECARGAS],"SI",disponibilidad[Mes],$B18,disponibilidad[[Tipo de afectación ]],"caÍda total",disponibilidad[Responsable Falla],"Aliados o terceros",disponibilidad[MatrixRedes],"SI")))/$C18)*100</f>
        <v>100</v>
      </c>
      <c r="O18" s="13">
        <f t="shared" si="2"/>
        <v>100</v>
      </c>
      <c r="P18" s="12">
        <f>SUMIFS(disponibilidad[Tiempo falla 
(en Mintuos)],disponibilidad[Mes],$B18,disponibilidad[[Tipo de afectación ]],"caÍda total",disponibilidad[Responsable Falla],"Matrix Tech",disponibilidad[MatrixRedes],"SI")</f>
        <v>0</v>
      </c>
      <c r="Q18" s="14">
        <f t="shared" si="4"/>
        <v>0</v>
      </c>
      <c r="R18" s="12">
        <f>SUMIFS(disponibilidad[Tiempo falla 
(en Mintuos)],disponibilidad[Mes],$B18,disponibilidad[[Tipo de afectación ]],"caÍda total",disponibilidad[Responsable Falla],"Aliados o terceros",disponibilidad[MatrixRedes],"SI")</f>
        <v>0</v>
      </c>
      <c r="S18" s="14">
        <f t="shared" si="3"/>
        <v>0</v>
      </c>
      <c r="X18" s="82" t="s">
        <v>29</v>
      </c>
      <c r="Y18" s="271">
        <f>VLOOKUP($Y$7,$B$8:$S$19,8,FALSE)</f>
        <v>100</v>
      </c>
    </row>
    <row r="19" spans="2:25">
      <c r="B19" s="10" t="s">
        <v>178</v>
      </c>
      <c r="C19" s="8">
        <f>VLOOKUP(B19,Maestro!$A$7:$D$19,4,FALSE)</f>
        <v>44640</v>
      </c>
      <c r="D19" s="9">
        <f>+(($C19-(SUMIFS(disponibilidad[Tiempo falla 
(en Mintuos)],disponibilidad[JADE],"SI",disponibilidad[Mes],$B19,disponibilidad[[Tipo de afectación ]],"caÍda total",disponibilidad[Responsable Falla],"Matrix Tech",disponibilidad[MatrixRedes],"SI")))/$C19)*100</f>
        <v>100</v>
      </c>
      <c r="E19" s="9">
        <f>+(($C19-(SUMIFS(disponibilidad[Tiempo falla 
(en Mintuos)],disponibilidad[JADE],"SI",disponibilidad[Mes],$B19,disponibilidad[[Tipo de afectación ]],"caÍda total",disponibilidad[Responsable Falla],"Matrix Tech",disponibilidad[MatrixRedes],"SI")))/$C19)*100</f>
        <v>100</v>
      </c>
      <c r="F19" s="13">
        <f t="shared" si="0"/>
        <v>100</v>
      </c>
      <c r="G19" s="9">
        <f>+(($C19-(SUMIFS(disponibilidad[Tiempo falla 
(en Mintuos)],disponibilidad[Apuestas - Chance],"SI",disponibilidad[Mes],$B19,disponibilidad[[Tipo de afectación ]],"caÍda total",disponibilidad[Responsable Falla],"Matrix Tech",disponibilidad[MatrixRedes],"SI")))/$C19)*100</f>
        <v>100</v>
      </c>
      <c r="H19" s="9">
        <f>+(($C19-(SUMIFS(disponibilidad[Tiempo falla 
(en Mintuos)],disponibilidad[PAGOS],"SI",disponibilidad[Mes],$B19,disponibilidad[[Tipo de afectación ]],"caÍda total",disponibilidad[Responsable Falla],"Matrix Tech",disponibilidad[MatrixRedes],"SI")))/$C19)*100</f>
        <v>100</v>
      </c>
      <c r="I19" s="9">
        <f>+(($C19-(SUMIFS(disponibilidad[Tiempo falla 
(en Mintuos)],disponibilidad[RECAUDOS],"SI",disponibilidad[Mes],$B19,disponibilidad[[Tipo de afectación ]],"caÍda total",disponibilidad[Responsable Falla],"Matrix Tech",disponibilidad[MatrixRedes],"SI")))/$C19)*100</f>
        <v>100</v>
      </c>
      <c r="J19" s="9">
        <f>+(($C19-(SUMIFS(disponibilidad[Tiempo falla 
(en Mintuos)],disponibilidad[RECARGAS],"SI",disponibilidad[Mes],$B19,disponibilidad[[Tipo de afectación ]],"caÍda total",disponibilidad[Responsable Falla],"Matrix Tech",disponibilidad[MatrixRedes],"SI")))/$C19)*100</f>
        <v>100</v>
      </c>
      <c r="K19" s="13">
        <f t="shared" si="1"/>
        <v>100</v>
      </c>
      <c r="L19" s="9">
        <f>+(($C19-(SUMIFS(disponibilidad[Tiempo falla 
(en Mintuos)],disponibilidad[PAGOS],"SI",disponibilidad[Mes],$B19,disponibilidad[[Tipo de afectación ]],"caÍda total",disponibilidad[Responsable Falla],"Aliados o terceros",disponibilidad[MatrixRedes],"SI")))/$C19)*100</f>
        <v>100</v>
      </c>
      <c r="M19" s="9">
        <f>+(($C19-(SUMIFS(disponibilidad[Tiempo falla 
(en Mintuos)],disponibilidad[RECAUDOS],"SI",disponibilidad[Mes],$B19,disponibilidad[[Tipo de afectación ]],"caÍda total",disponibilidad[Responsable Falla],"Aliados o terceros",disponibilidad[MatrixRedes],"SI")))/$C19)*100</f>
        <v>100</v>
      </c>
      <c r="N19" s="9">
        <f>+(($C19-(SUMIFS(disponibilidad[Tiempo falla 
(en Mintuos)],disponibilidad[RECARGAS],"SI",disponibilidad[Mes],$B19,disponibilidad[[Tipo de afectación ]],"caÍda total",disponibilidad[Responsable Falla],"Aliados o terceros",disponibilidad[MatrixRedes],"SI")))/$C19)*100</f>
        <v>100</v>
      </c>
      <c r="O19" s="13">
        <f t="shared" si="2"/>
        <v>100</v>
      </c>
      <c r="P19" s="12">
        <f>SUMIFS(disponibilidad[Tiempo falla 
(en Mintuos)],disponibilidad[Mes],$B19,disponibilidad[[Tipo de afectación ]],"caÍda total",disponibilidad[Responsable Falla],"Matrix Tech",disponibilidad[MatrixRedes],"SI")</f>
        <v>0</v>
      </c>
      <c r="Q19" s="14">
        <f t="shared" si="4"/>
        <v>0</v>
      </c>
      <c r="R19" s="12">
        <f>SUMIFS(disponibilidad[Tiempo falla 
(en Mintuos)],disponibilidad[Mes],$B19,disponibilidad[[Tipo de afectación ]],"caÍda total",disponibilidad[Responsable Falla],"Aliados o terceros",disponibilidad[MatrixRedes],"SI")</f>
        <v>0</v>
      </c>
      <c r="S19" s="14">
        <f t="shared" si="3"/>
        <v>0</v>
      </c>
      <c r="X19" s="82" t="s">
        <v>30</v>
      </c>
      <c r="Y19" s="271">
        <f>VLOOKUP($Y$7,$B$8:$S$19,8,FALSE)</f>
        <v>100</v>
      </c>
    </row>
    <row r="20" spans="2:25">
      <c r="X20" s="82" t="s">
        <v>31</v>
      </c>
      <c r="Y20" s="271">
        <f>VLOOKUP($Y$7,$B$8:$S$19,8,FALSE)</f>
        <v>100</v>
      </c>
    </row>
    <row r="21" spans="2:25">
      <c r="X21" s="272" t="s">
        <v>179</v>
      </c>
      <c r="Y21" s="271">
        <f>VLOOKUP($Y$7,$B$8:$S$19,8,FALSE)</f>
        <v>100</v>
      </c>
    </row>
  </sheetData>
  <mergeCells count="24">
    <mergeCell ref="O5:O7"/>
    <mergeCell ref="P5:Q5"/>
    <mergeCell ref="R5:S5"/>
    <mergeCell ref="P6:P7"/>
    <mergeCell ref="Q6:Q7"/>
    <mergeCell ref="R6:R7"/>
    <mergeCell ref="S6:S7"/>
    <mergeCell ref="L5:N5"/>
    <mergeCell ref="B5:B7"/>
    <mergeCell ref="C5:C6"/>
    <mergeCell ref="D5:E5"/>
    <mergeCell ref="F5:F7"/>
    <mergeCell ref="G5:J5"/>
    <mergeCell ref="K5:K6"/>
    <mergeCell ref="B1:C3"/>
    <mergeCell ref="D1:H1"/>
    <mergeCell ref="I1:J1"/>
    <mergeCell ref="K1:M1"/>
    <mergeCell ref="D2:H2"/>
    <mergeCell ref="I2:J2"/>
    <mergeCell ref="K2:M2"/>
    <mergeCell ref="D3:H3"/>
    <mergeCell ref="I3:J3"/>
    <mergeCell ref="K3:M3"/>
  </mergeCells>
  <conditionalFormatting sqref="F8:F19">
    <cfRule type="cellIs" dxfId="39" priority="5" operator="lessThan">
      <formula>99.7</formula>
    </cfRule>
    <cfRule type="cellIs" dxfId="38" priority="6" operator="greaterThanOrEqual">
      <formula>99.7</formula>
    </cfRule>
  </conditionalFormatting>
  <conditionalFormatting sqref="K8:K19">
    <cfRule type="cellIs" dxfId="37" priority="3" operator="lessThan">
      <formula>99.7</formula>
    </cfRule>
    <cfRule type="cellIs" dxfId="36" priority="4" operator="greaterThanOrEqual">
      <formula>99.7</formula>
    </cfRule>
  </conditionalFormatting>
  <conditionalFormatting sqref="O8:O19">
    <cfRule type="cellIs" dxfId="35" priority="1" operator="lessThan">
      <formula>99.7</formula>
    </cfRule>
    <cfRule type="cellIs" dxfId="34" priority="2" operator="greaterThanOrEqual">
      <formula>99.7</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C2D63A0-48BB-4DD3-ADBB-3F20F4C827E9}">
          <x14:formula1>
            <xm:f>Maestro!$A$8:$A$19</xm:f>
          </x14:formula1>
          <xm:sqref>Y7</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712C-24EB-47E6-9066-F898335326C4}">
  <sheetPr codeName="Hoja13"/>
  <dimension ref="B2:Y16"/>
  <sheetViews>
    <sheetView showGridLines="0" topLeftCell="V1" zoomScaleNormal="100" workbookViewId="0">
      <selection activeCell="V1" sqref="V1"/>
    </sheetView>
  </sheetViews>
  <sheetFormatPr defaultColWidth="11.42578125" defaultRowHeight="15"/>
  <cols>
    <col min="2" max="2" width="11.42578125" bestFit="1" customWidth="1"/>
    <col min="3" max="3" width="8.28515625" style="5" bestFit="1" customWidth="1"/>
    <col min="4" max="7" width="8" style="6" bestFit="1" customWidth="1"/>
    <col min="8" max="8" width="10" style="6" customWidth="1"/>
    <col min="9" max="14" width="7.7109375" style="6" customWidth="1"/>
    <col min="15" max="15" width="9" style="6" customWidth="1"/>
    <col min="16" max="20" width="8" bestFit="1" customWidth="1"/>
    <col min="21" max="21" width="8.85546875" customWidth="1"/>
    <col min="22" max="22" width="8.28515625" customWidth="1"/>
    <col min="23" max="23" width="7.5703125" customWidth="1"/>
    <col min="24" max="24" width="7.85546875" customWidth="1"/>
    <col min="25" max="25" width="6.85546875" customWidth="1"/>
  </cols>
  <sheetData>
    <row r="2" spans="2:25" ht="31.5" customHeight="1">
      <c r="B2" s="344" t="s">
        <v>9</v>
      </c>
      <c r="C2" s="344" t="s">
        <v>157</v>
      </c>
      <c r="D2" s="347" t="s">
        <v>158</v>
      </c>
      <c r="E2" s="348"/>
      <c r="F2" s="348"/>
      <c r="G2" s="348"/>
      <c r="H2" s="342" t="s">
        <v>159</v>
      </c>
      <c r="I2" s="347" t="s">
        <v>356</v>
      </c>
      <c r="J2" s="348"/>
      <c r="K2" s="348"/>
      <c r="L2" s="348"/>
      <c r="M2" s="348"/>
      <c r="N2" s="348"/>
      <c r="O2" s="342" t="s">
        <v>161</v>
      </c>
      <c r="P2" s="357" t="s">
        <v>162</v>
      </c>
      <c r="Q2" s="362"/>
      <c r="R2" s="362"/>
      <c r="S2" s="362"/>
      <c r="T2" s="362"/>
      <c r="U2" s="353" t="s">
        <v>161</v>
      </c>
      <c r="V2" s="356" t="s">
        <v>42</v>
      </c>
      <c r="W2" s="356"/>
      <c r="X2" s="357" t="s">
        <v>164</v>
      </c>
      <c r="Y2" s="357"/>
    </row>
    <row r="3" spans="2:25" ht="66" customHeight="1">
      <c r="B3" s="345"/>
      <c r="C3" s="346"/>
      <c r="D3" s="15" t="s">
        <v>16</v>
      </c>
      <c r="E3" s="15" t="s">
        <v>17</v>
      </c>
      <c r="F3" s="15" t="s">
        <v>358</v>
      </c>
      <c r="G3" s="15" t="s">
        <v>359</v>
      </c>
      <c r="H3" s="343"/>
      <c r="I3" s="15" t="s">
        <v>28</v>
      </c>
      <c r="J3" s="15" t="s">
        <v>360</v>
      </c>
      <c r="K3" s="15" t="s">
        <v>29</v>
      </c>
      <c r="L3" s="15" t="s">
        <v>30</v>
      </c>
      <c r="M3" s="15" t="s">
        <v>31</v>
      </c>
      <c r="N3" s="15" t="s">
        <v>361</v>
      </c>
      <c r="O3" s="343"/>
      <c r="P3" s="11" t="s">
        <v>360</v>
      </c>
      <c r="Q3" s="11" t="s">
        <v>29</v>
      </c>
      <c r="R3" s="11" t="s">
        <v>30</v>
      </c>
      <c r="S3" s="11" t="s">
        <v>31</v>
      </c>
      <c r="T3" s="11" t="s">
        <v>361</v>
      </c>
      <c r="U3" s="354"/>
      <c r="V3" s="358" t="s">
        <v>165</v>
      </c>
      <c r="W3" s="358" t="s">
        <v>166</v>
      </c>
      <c r="X3" s="360" t="s">
        <v>165</v>
      </c>
      <c r="Y3" s="360" t="s">
        <v>166</v>
      </c>
    </row>
    <row r="4" spans="2:25" s="19" customFormat="1" ht="18.75" customHeight="1">
      <c r="B4" s="346"/>
      <c r="C4" s="17" t="s">
        <v>167</v>
      </c>
      <c r="D4" s="58">
        <v>0.35</v>
      </c>
      <c r="E4" s="58">
        <v>0</v>
      </c>
      <c r="F4" s="58">
        <v>0.65</v>
      </c>
      <c r="G4" s="58">
        <v>0</v>
      </c>
      <c r="H4" s="349"/>
      <c r="I4" s="58">
        <v>0</v>
      </c>
      <c r="J4" s="58">
        <v>0.58345680066796735</v>
      </c>
      <c r="K4" s="58">
        <v>0</v>
      </c>
      <c r="L4" s="58">
        <v>0.39505465972045378</v>
      </c>
      <c r="M4" s="58">
        <v>2.1488539611578834E-2</v>
      </c>
      <c r="N4" s="58">
        <v>0</v>
      </c>
      <c r="O4" s="59">
        <f>SUM(I4:N4)</f>
        <v>0.99999999999999989</v>
      </c>
      <c r="P4" s="18"/>
      <c r="Q4" s="18"/>
      <c r="R4" s="18"/>
      <c r="S4" s="18"/>
      <c r="T4" s="18"/>
      <c r="U4" s="355"/>
      <c r="V4" s="359"/>
      <c r="W4" s="359"/>
      <c r="X4" s="361"/>
      <c r="Y4" s="361"/>
    </row>
    <row r="5" spans="2:25">
      <c r="B5" s="7" t="s">
        <v>37</v>
      </c>
      <c r="C5" s="8">
        <f>VLOOKUP(B5,Maestro!$A$7:$D$19,4,FALSE)</f>
        <v>44640</v>
      </c>
      <c r="D5" s="9" t="e">
        <f>+(($C5-(SUMIFS(disponibilidad[Tiempo falla 
(en Mintuos)],disponibilidad[JADE],"SI",disponibilidad[Mes],$B5,disponibilidad[[Tipo de afectación ]],"caÍda total",disponibilidad[Responsable Falla],"Matrix Tech",#REF!,"SI")))/$C5)*100</f>
        <v>#REF!</v>
      </c>
      <c r="E5" s="9" t="e">
        <f>+(($C5-(SUMIFS(disponibilidad[Tiempo falla 
(en Mintuos)],disponibilidad[SIGA],"SI",disponibilidad[Mes],$B5,disponibilidad[[Tipo de afectación ]],"caÍda total",disponibilidad[Responsable Falla],"Matrix Tech",#REF!,"SI")))/$C5)*100</f>
        <v>#REF!</v>
      </c>
      <c r="F5" s="9" t="e">
        <f>+(($C5-(SUMIFS(disponibilidad[Tiempo falla 
(en Mintuos)],#REF!,"SI",disponibilidad[Mes],$B5,disponibilidad[[Tipo de afectación ]],"caÍda total",disponibilidad[Responsable Falla],"Matrix Tech",#REF!,"SI")))/$C5)*100</f>
        <v>#REF!</v>
      </c>
      <c r="G5" s="9" t="e">
        <f>+(($C5-(SUMIFS(disponibilidad[Tiempo falla 
(en Mintuos)],#REF!,"SI",disponibilidad[Mes],$B5,disponibilidad[[Tipo de afectación ]],"caÍda total",disponibilidad[Responsable Falla],"Matrix Tech",#REF!,"SI")))/$C5)*100</f>
        <v>#REF!</v>
      </c>
      <c r="H5" s="13" t="e">
        <f>SUMPRODUCT($D$4:$G$4,D5:G5)/$O$4</f>
        <v>#REF!</v>
      </c>
      <c r="I5" s="9" t="e">
        <f>+(($C5-(SUMIFS(disponibilidad[Tiempo falla 
(en Mintuos)],disponibilidad[Apuestas - Chance],"SI",disponibilidad[Mes],$B5,disponibilidad[[Tipo de afectación ]],"caÍda total",disponibilidad[Responsable Falla],"Matrix Tech",#REF!,"SI")))/$C5)*100</f>
        <v>#REF!</v>
      </c>
      <c r="J5" s="9" t="e">
        <f>+(($C5-(SUMIFS(disponibilidad[Tiempo falla 
(en Mintuos)],#REF!,"SI",disponibilidad[Mes],$B5,disponibilidad[[Tipo de afectación ]],"caÍda total",disponibilidad[Responsable Falla],"Matrix Tech",#REF!,"SI")))/$C5)*100</f>
        <v>#REF!</v>
      </c>
      <c r="K5" s="9" t="e">
        <f>+(($C5-(SUMIFS(disponibilidad[Tiempo falla 
(en Mintuos)],disponibilidad[PAGOS],"SI",disponibilidad[Mes],$B5,disponibilidad[[Tipo de afectación ]],"caÍda total",disponibilidad[Responsable Falla],"Matrix Tech",#REF!,"SI")))/$C5)*100</f>
        <v>#REF!</v>
      </c>
      <c r="L5" s="9" t="e">
        <f>+(($C5-(SUMIFS(disponibilidad[Tiempo falla 
(en Mintuos)],disponibilidad[RECAUDOS],"SI",disponibilidad[Mes],$B5,disponibilidad[[Tipo de afectación ]],"caÍda total",disponibilidad[Responsable Falla],"Matrix Tech",#REF!,"SI")))/$C5)*100</f>
        <v>#REF!</v>
      </c>
      <c r="M5" s="9" t="e">
        <f>+(($C5-(SUMIFS(disponibilidad[Tiempo falla 
(en Mintuos)],disponibilidad[RECARGAS],"SI",disponibilidad[Mes],$B5,disponibilidad[[Tipo de afectación ]],"caÍda total",disponibilidad[Responsable Falla],"Matrix Tech",#REF!,"SI")))/$C5)*100</f>
        <v>#REF!</v>
      </c>
      <c r="N5" s="9" t="e">
        <f>+(($C5-(SUMIFS(disponibilidad[Tiempo falla 
(en Mintuos)],#REF!,"SI",disponibilidad[Mes],$B5,disponibilidad[[Tipo de afectación ]],"caÍda total",disponibilidad[Responsable Falla],"Matrix Tech",#REF!,"SI")))/$C5)*100</f>
        <v>#REF!</v>
      </c>
      <c r="O5" s="13" t="e">
        <f>SUMPRODUCT($I$4:$N$4,I5:N5)/$O$4</f>
        <v>#REF!</v>
      </c>
      <c r="P5" s="9" t="e">
        <f>+(($C5-(SUMIFS(disponibilidad[Tiempo falla 
(en Mintuos)],#REF!,"SI",disponibilidad[Mes],$B5,disponibilidad[[Tipo de afectación ]],"caÍda total",disponibilidad[Responsable Falla],"Aliados o terceros",#REF!,"SI")))/$C5)*100</f>
        <v>#REF!</v>
      </c>
      <c r="Q5" s="9" t="e">
        <f>+(($C5-(SUMIFS(disponibilidad[Tiempo falla 
(en Mintuos)],disponibilidad[PAGOS],"SI",disponibilidad[Mes],$B5,disponibilidad[[Tipo de afectación ]],"caÍda total",disponibilidad[Responsable Falla],"Aliados o terceros",#REF!,"SI")))/$C5)*100</f>
        <v>#REF!</v>
      </c>
      <c r="R5" s="9" t="e">
        <f>+(($C5-(SUMIFS(disponibilidad[Tiempo falla 
(en Mintuos)],disponibilidad[RECAUDOS],"SI",disponibilidad[Mes],$B5,disponibilidad[[Tipo de afectación ]],"caÍda total",disponibilidad[Responsable Falla],"Aliados o terceros",#REF!,"SI")))/$C5)*100</f>
        <v>#REF!</v>
      </c>
      <c r="S5" s="9" t="e">
        <f>+(($C5-(SUMIFS(disponibilidad[Tiempo falla 
(en Mintuos)],disponibilidad[RECARGAS],"SI",disponibilidad[Mes],$B5,disponibilidad[[Tipo de afectación ]],"caÍda total",disponibilidad[Responsable Falla],"Aliados o terceros",#REF!,"SI")))/$C5)*100</f>
        <v>#REF!</v>
      </c>
      <c r="T5" s="9" t="e">
        <f>+(($C5-(SUMIFS(disponibilidad[Tiempo falla 
(en Mintuos)],#REF!,"SI",disponibilidad[Mes],$B5,disponibilidad[[Tipo de afectación ]],"caÍda total",disponibilidad[Responsable Falla],"Aliados o terceros",#REF!,"SI")))/$C5)*100</f>
        <v>#REF!</v>
      </c>
      <c r="U5" s="13" t="e">
        <f t="shared" ref="U5:U16" si="0">AVERAGE(P5:T5)</f>
        <v>#REF!</v>
      </c>
      <c r="V5" s="12" t="e">
        <f>SUMIFS(disponibilidad[Tiempo falla 
(en Mintuos)],disponibilidad[Mes],$B5,disponibilidad[[Tipo de afectación ]],"caÍda total",disponibilidad[Responsable Falla],"Matrix Tech",#REF!,"SI")</f>
        <v>#REF!</v>
      </c>
      <c r="W5" s="14" t="e">
        <f>+$V$5/$C$5</f>
        <v>#REF!</v>
      </c>
      <c r="X5" s="12">
        <f>SUMIFS(disponibilidad[Tiempo falla 
(en Mintuos)],disponibilidad[Mes],$B5,disponibilidad[[Tipo de afectación ]],"caÍda total",disponibilidad[Responsable Falla],"Aliados o terceros",disponibilidad[Acertemos - Cauca],"SI")</f>
        <v>0</v>
      </c>
      <c r="Y5" s="14">
        <f t="shared" ref="Y5:Y16" si="1">+$X$5/$C$5</f>
        <v>0</v>
      </c>
    </row>
    <row r="6" spans="2:25">
      <c r="B6" s="10" t="s">
        <v>91</v>
      </c>
      <c r="C6" s="8">
        <f>VLOOKUP(B6,Maestro!$A$7:$D$19,4,FALSE)</f>
        <v>41760</v>
      </c>
      <c r="D6" s="9" t="e">
        <f>+(($C6-(SUMIFS(disponibilidad[Tiempo falla 
(en Mintuos)],disponibilidad[JADE],"SI",disponibilidad[Mes],$B6,disponibilidad[[Tipo de afectación ]],"caÍda total",disponibilidad[Responsable Falla],"Matrix Tech",#REF!,"SI")))/$C6)*100</f>
        <v>#REF!</v>
      </c>
      <c r="E6" s="9" t="e">
        <f>+(($C6-(SUMIFS(disponibilidad[Tiempo falla 
(en Mintuos)],disponibilidad[SIGA],"SI",disponibilidad[Mes],$B6,disponibilidad[[Tipo de afectación ]],"caÍda total",disponibilidad[Responsable Falla],"Matrix Tech",#REF!,"SI")))/$C6)*100</f>
        <v>#REF!</v>
      </c>
      <c r="F6" s="9" t="e">
        <f>+(($C6-(SUMIFS(disponibilidad[Tiempo falla 
(en Mintuos)],#REF!,"SI",disponibilidad[Mes],$B6,disponibilidad[[Tipo de afectación ]],"caÍda total",disponibilidad[Responsable Falla],"Matrix Tech",#REF!,"SI")))/$C6)*100</f>
        <v>#REF!</v>
      </c>
      <c r="G6" s="9" t="e">
        <f>+(($C6-(SUMIFS(disponibilidad[Tiempo falla 
(en Mintuos)],#REF!,"SI",disponibilidad[Mes],$B6,disponibilidad[[Tipo de afectación ]],"caÍda total",disponibilidad[Responsable Falla],"Matrix Tech",#REF!,"SI")))/$C6)*100</f>
        <v>#REF!</v>
      </c>
      <c r="H6" s="13" t="e">
        <f t="shared" ref="H6:H16" si="2">SUMPRODUCT($D$4:$G$4,D6:G6)/$O$4</f>
        <v>#REF!</v>
      </c>
      <c r="I6" s="9" t="e">
        <f>+(($C6-(SUMIFS(disponibilidad[Tiempo falla 
(en Mintuos)],disponibilidad[Apuestas - Chance],"SI",disponibilidad[Mes],$B6,disponibilidad[[Tipo de afectación ]],"caÍda total",disponibilidad[Responsable Falla],"Matrix Tech",#REF!,"SI")))/$C6)*100</f>
        <v>#REF!</v>
      </c>
      <c r="J6" s="9" t="e">
        <f>+(($C6-(SUMIFS(disponibilidad[Tiempo falla 
(en Mintuos)],#REF!,"SI",disponibilidad[Mes],$B6,disponibilidad[[Tipo de afectación ]],"caÍda total",disponibilidad[Responsable Falla],"Matrix Tech",#REF!,"SI")))/$C6)*100</f>
        <v>#REF!</v>
      </c>
      <c r="K6" s="9" t="e">
        <f>+(($C6-(SUMIFS(disponibilidad[Tiempo falla 
(en Mintuos)],disponibilidad[PAGOS],"SI",disponibilidad[Mes],$B6,disponibilidad[[Tipo de afectación ]],"caÍda total",disponibilidad[Responsable Falla],"Matrix Tech",#REF!,"SI")))/$C6)*100</f>
        <v>#REF!</v>
      </c>
      <c r="L6" s="9" t="e">
        <f>+(($C6-(SUMIFS(disponibilidad[Tiempo falla 
(en Mintuos)],disponibilidad[RECAUDOS],"SI",disponibilidad[Mes],$B6,disponibilidad[[Tipo de afectación ]],"caÍda total",disponibilidad[Responsable Falla],"Matrix Tech",#REF!,"SI")))/$C6)*100</f>
        <v>#REF!</v>
      </c>
      <c r="M6" s="9" t="e">
        <f>+(($C6-(SUMIFS(disponibilidad[Tiempo falla 
(en Mintuos)],disponibilidad[RECARGAS],"SI",disponibilidad[Mes],$B6,disponibilidad[[Tipo de afectación ]],"caÍda total",disponibilidad[Responsable Falla],"Matrix Tech",#REF!,"SI")))/$C6)*100</f>
        <v>#REF!</v>
      </c>
      <c r="N6" s="9" t="e">
        <f>+(($C6-(SUMIFS(disponibilidad[Tiempo falla 
(en Mintuos)],#REF!,"SI",disponibilidad[Mes],$B6,disponibilidad[[Tipo de afectación ]],"caÍda total",disponibilidad[Responsable Falla],"Matrix Tech",#REF!,"SI")))/$C6)*100</f>
        <v>#REF!</v>
      </c>
      <c r="O6" s="13" t="e">
        <f t="shared" ref="O6:O16" si="3">SUMPRODUCT($I$4:$N$4,I6:N6)/$O$4</f>
        <v>#REF!</v>
      </c>
      <c r="P6" s="9" t="e">
        <f>+(($C6-(SUMIFS(disponibilidad[Tiempo falla 
(en Mintuos)],#REF!,"SI",disponibilidad[Mes],$B6,disponibilidad[[Tipo de afectación ]],"caÍda total",disponibilidad[Responsable Falla],"Aliados o terceros",#REF!,"SI")))/$C6)*100</f>
        <v>#REF!</v>
      </c>
      <c r="Q6" s="9" t="e">
        <f>+(($C6-(SUMIFS(disponibilidad[Tiempo falla 
(en Mintuos)],disponibilidad[PAGOS],"SI",disponibilidad[Mes],$B6,disponibilidad[[Tipo de afectación ]],"caÍda total",disponibilidad[Responsable Falla],"Aliados o terceros",#REF!,"SI")))/$C6)*100</f>
        <v>#REF!</v>
      </c>
      <c r="R6" s="9" t="e">
        <f>+(($C6-(SUMIFS(disponibilidad[Tiempo falla 
(en Mintuos)],disponibilidad[RECAUDOS],"SI",disponibilidad[Mes],$B6,disponibilidad[[Tipo de afectación ]],"caÍda total",disponibilidad[Responsable Falla],"Aliados o terceros",#REF!,"SI")))/$C6)*100</f>
        <v>#REF!</v>
      </c>
      <c r="S6" s="9" t="e">
        <f>+(($C6-(SUMIFS(disponibilidad[Tiempo falla 
(en Mintuos)],disponibilidad[RECARGAS],"SI",disponibilidad[Mes],$B6,disponibilidad[[Tipo de afectación ]],"caÍda total",disponibilidad[Responsable Falla],"Aliados o terceros",#REF!,"SI")))/$C6)*100</f>
        <v>#REF!</v>
      </c>
      <c r="T6" s="9" t="e">
        <f>+(($C6-(SUMIFS(disponibilidad[Tiempo falla 
(en Mintuos)],#REF!,"SI",disponibilidad[Mes],$B6,disponibilidad[[Tipo de afectación ]],"caÍda total",disponibilidad[Responsable Falla],"Aliados o terceros",#REF!,"SI")))/$C6)*100</f>
        <v>#REF!</v>
      </c>
      <c r="U6" s="13" t="e">
        <f t="shared" si="0"/>
        <v>#REF!</v>
      </c>
      <c r="V6" s="12" t="e">
        <f>SUMIFS(disponibilidad[Tiempo falla 
(en Mintuos)],disponibilidad[Mes],$B6,disponibilidad[[Tipo de afectación ]],"caÍda total",disponibilidad[Responsable Falla],"Matrix Tech",#REF!,"SI")</f>
        <v>#REF!</v>
      </c>
      <c r="W6" s="14" t="e">
        <f t="shared" ref="W6:W16" si="4">+V6/C6</f>
        <v>#REF!</v>
      </c>
      <c r="X6" s="12">
        <f>SUMIFS(disponibilidad[Tiempo falla 
(en Mintuos)],disponibilidad[Mes],$B6,disponibilidad[[Tipo de afectación ]],"caÍda total",disponibilidad[Responsable Falla],"Aliados o terceros",disponibilidad[Acertemos - Cauca],"SI")</f>
        <v>0</v>
      </c>
      <c r="Y6" s="14">
        <f t="shared" si="1"/>
        <v>0</v>
      </c>
    </row>
    <row r="7" spans="2:25">
      <c r="B7" s="10" t="s">
        <v>148</v>
      </c>
      <c r="C7" s="8">
        <f>VLOOKUP(B7,Maestro!$A$7:$D$19,4,FALSE)</f>
        <v>44640</v>
      </c>
      <c r="D7" s="9" t="e">
        <f>+(($C7-(SUMIFS(disponibilidad[Tiempo falla 
(en Mintuos)],disponibilidad[JADE],"SI",disponibilidad[Mes],$B7,disponibilidad[[Tipo de afectación ]],"caÍda total",disponibilidad[Responsable Falla],"Matrix Tech",#REF!,"SI")))/$C7)*100</f>
        <v>#REF!</v>
      </c>
      <c r="E7" s="9" t="e">
        <f>+(($C7-(SUMIFS(disponibilidad[Tiempo falla 
(en Mintuos)],disponibilidad[SIGA],"SI",disponibilidad[Mes],$B7,disponibilidad[[Tipo de afectación ]],"caÍda total",disponibilidad[Responsable Falla],"Matrix Tech",#REF!,"SI")))/$C7)*100</f>
        <v>#REF!</v>
      </c>
      <c r="F7" s="9" t="e">
        <f>+(($C7-(SUMIFS(disponibilidad[Tiempo falla 
(en Mintuos)],#REF!,"SI",disponibilidad[Mes],$B7,disponibilidad[[Tipo de afectación ]],"caÍda total",disponibilidad[Responsable Falla],"Matrix Tech",#REF!,"SI")))/$C7)*100</f>
        <v>#REF!</v>
      </c>
      <c r="G7" s="9" t="e">
        <f>+(($C7-(SUMIFS(disponibilidad[Tiempo falla 
(en Mintuos)],#REF!,"SI",disponibilidad[Mes],$B7,disponibilidad[[Tipo de afectación ]],"caÍda total",disponibilidad[Responsable Falla],"Matrix Tech",#REF!,"SI")))/$C7)*100</f>
        <v>#REF!</v>
      </c>
      <c r="H7" s="13" t="e">
        <f t="shared" si="2"/>
        <v>#REF!</v>
      </c>
      <c r="I7" s="9" t="e">
        <f>+(($C7-(SUMIFS(disponibilidad[Tiempo falla 
(en Mintuos)],disponibilidad[Apuestas - Chance],"SI",disponibilidad[Mes],$B7,disponibilidad[[Tipo de afectación ]],"caÍda total",disponibilidad[Responsable Falla],"Matrix Tech",#REF!,"SI")))/$C7)*100</f>
        <v>#REF!</v>
      </c>
      <c r="J7" s="9" t="e">
        <f>+(($C7-(SUMIFS(disponibilidad[Tiempo falla 
(en Mintuos)],#REF!,"SI",disponibilidad[Mes],$B7,disponibilidad[[Tipo de afectación ]],"caÍda total",disponibilidad[Responsable Falla],"Matrix Tech",#REF!,"SI")))/$C7)*100</f>
        <v>#REF!</v>
      </c>
      <c r="K7" s="9" t="e">
        <f>+(($C7-(SUMIFS(disponibilidad[Tiempo falla 
(en Mintuos)],disponibilidad[PAGOS],"SI",disponibilidad[Mes],$B7,disponibilidad[[Tipo de afectación ]],"caÍda total",disponibilidad[Responsable Falla],"Matrix Tech",#REF!,"SI")))/$C7)*100</f>
        <v>#REF!</v>
      </c>
      <c r="L7" s="9" t="e">
        <f>+(($C7-(SUMIFS(disponibilidad[Tiempo falla 
(en Mintuos)],disponibilidad[RECAUDOS],"SI",disponibilidad[Mes],$B7,disponibilidad[[Tipo de afectación ]],"caÍda total",disponibilidad[Responsable Falla],"Matrix Tech",#REF!,"SI")))/$C7)*100</f>
        <v>#REF!</v>
      </c>
      <c r="M7" s="9" t="e">
        <f>+(($C7-(SUMIFS(disponibilidad[Tiempo falla 
(en Mintuos)],disponibilidad[RECARGAS],"SI",disponibilidad[Mes],$B7,disponibilidad[[Tipo de afectación ]],"caÍda total",disponibilidad[Responsable Falla],"Matrix Tech",#REF!,"SI")))/$C7)*100</f>
        <v>#REF!</v>
      </c>
      <c r="N7" s="9" t="e">
        <f>+(($C7-(SUMIFS(disponibilidad[Tiempo falla 
(en Mintuos)],#REF!,"SI",disponibilidad[Mes],$B7,disponibilidad[[Tipo de afectación ]],"caÍda total",disponibilidad[Responsable Falla],"Matrix Tech",#REF!,"SI")))/$C7)*100</f>
        <v>#REF!</v>
      </c>
      <c r="O7" s="13" t="e">
        <f t="shared" si="3"/>
        <v>#REF!</v>
      </c>
      <c r="P7" s="9" t="e">
        <f>+(($C7-(SUMIFS(disponibilidad[Tiempo falla 
(en Mintuos)],#REF!,"SI",disponibilidad[Mes],$B7,disponibilidad[[Tipo de afectación ]],"caÍda total",disponibilidad[Responsable Falla],"Aliados o terceros",#REF!,"SI")))/$C7)*100</f>
        <v>#REF!</v>
      </c>
      <c r="Q7" s="9" t="e">
        <f>+(($C7-(SUMIFS(disponibilidad[Tiempo falla 
(en Mintuos)],disponibilidad[PAGOS],"SI",disponibilidad[Mes],$B7,disponibilidad[[Tipo de afectación ]],"caÍda total",disponibilidad[Responsable Falla],"Aliados o terceros",#REF!,"SI")))/$C7)*100</f>
        <v>#REF!</v>
      </c>
      <c r="R7" s="9" t="e">
        <f>+(($C7-(SUMIFS(disponibilidad[Tiempo falla 
(en Mintuos)],disponibilidad[RECAUDOS],"SI",disponibilidad[Mes],$B7,disponibilidad[[Tipo de afectación ]],"caÍda total",disponibilidad[Responsable Falla],"Aliados o terceros",#REF!,"SI")))/$C7)*100</f>
        <v>#REF!</v>
      </c>
      <c r="S7" s="9" t="e">
        <f>+(($C7-(SUMIFS(disponibilidad[Tiempo falla 
(en Mintuos)],disponibilidad[RECARGAS],"SI",disponibilidad[Mes],$B7,disponibilidad[[Tipo de afectación ]],"caÍda total",disponibilidad[Responsable Falla],"Aliados o terceros",#REF!,"SI")))/$C7)*100</f>
        <v>#REF!</v>
      </c>
      <c r="T7" s="9" t="e">
        <f>+(($C7-(SUMIFS(disponibilidad[Tiempo falla 
(en Mintuos)],#REF!,"SI",disponibilidad[Mes],$B7,disponibilidad[[Tipo de afectación ]],"caÍda total",disponibilidad[Responsable Falla],"Aliados o terceros",#REF!,"SI")))/$C7)*100</f>
        <v>#REF!</v>
      </c>
      <c r="U7" s="13" t="e">
        <f t="shared" si="0"/>
        <v>#REF!</v>
      </c>
      <c r="V7" s="12" t="e">
        <f>SUMIFS(disponibilidad[Tiempo falla 
(en Mintuos)],disponibilidad[Mes],$B7,disponibilidad[[Tipo de afectación ]],"caÍda total",disponibilidad[Responsable Falla],"Matrix Tech",#REF!,"SI")</f>
        <v>#REF!</v>
      </c>
      <c r="W7" s="14" t="e">
        <f t="shared" si="4"/>
        <v>#REF!</v>
      </c>
      <c r="X7" s="12">
        <f>SUMIFS(disponibilidad[Tiempo falla 
(en Mintuos)],disponibilidad[Mes],$B7,disponibilidad[[Tipo de afectación ]],"caÍda total",disponibilidad[Responsable Falla],"Aliados o terceros",disponibilidad[Acertemos - Cauca],"SI")</f>
        <v>0</v>
      </c>
      <c r="Y7" s="14">
        <f t="shared" si="1"/>
        <v>0</v>
      </c>
    </row>
    <row r="8" spans="2:25">
      <c r="B8" s="10" t="s">
        <v>170</v>
      </c>
      <c r="C8" s="8">
        <f>VLOOKUP(B8,Maestro!$A$7:$D$19,4,FALSE)</f>
        <v>43200</v>
      </c>
      <c r="D8" s="9" t="e">
        <f>+(($C8-(SUMIFS(disponibilidad[Tiempo falla 
(en Mintuos)],disponibilidad[JADE],"SI",disponibilidad[Mes],$B8,disponibilidad[[Tipo de afectación ]],"caÍda total",disponibilidad[Responsable Falla],"Matrix Tech",#REF!,"SI")))/$C8)*100</f>
        <v>#REF!</v>
      </c>
      <c r="E8" s="9" t="e">
        <f>+(($C8-(SUMIFS(disponibilidad[Tiempo falla 
(en Mintuos)],disponibilidad[SIGA],"SI",disponibilidad[Mes],$B8,disponibilidad[[Tipo de afectación ]],"caÍda total",disponibilidad[Responsable Falla],"Matrix Tech",#REF!,"SI")))/$C8)*100</f>
        <v>#REF!</v>
      </c>
      <c r="F8" s="9" t="e">
        <f>+(($C8-(SUMIFS(disponibilidad[Tiempo falla 
(en Mintuos)],#REF!,"SI",disponibilidad[Mes],$B8,disponibilidad[[Tipo de afectación ]],"caÍda total",disponibilidad[Responsable Falla],"Matrix Tech",#REF!,"SI")))/$C8)*100</f>
        <v>#REF!</v>
      </c>
      <c r="G8" s="9" t="e">
        <f>+(($C8-(SUMIFS(disponibilidad[Tiempo falla 
(en Mintuos)],#REF!,"SI",disponibilidad[Mes],$B8,disponibilidad[[Tipo de afectación ]],"caÍda total",disponibilidad[Responsable Falla],"Matrix Tech",#REF!,"SI")))/$C8)*100</f>
        <v>#REF!</v>
      </c>
      <c r="H8" s="13" t="e">
        <f t="shared" si="2"/>
        <v>#REF!</v>
      </c>
      <c r="I8" s="9" t="e">
        <f>+(($C8-(SUMIFS(disponibilidad[Tiempo falla 
(en Mintuos)],disponibilidad[Apuestas - Chance],"SI",disponibilidad[Mes],$B8,disponibilidad[[Tipo de afectación ]],"caÍda total",disponibilidad[Responsable Falla],"Matrix Tech",#REF!,"SI")))/$C8)*100</f>
        <v>#REF!</v>
      </c>
      <c r="J8" s="9" t="e">
        <f>+(($C8-(SUMIFS(disponibilidad[Tiempo falla 
(en Mintuos)],#REF!,"SI",disponibilidad[Mes],$B8,disponibilidad[[Tipo de afectación ]],"caÍda total",disponibilidad[Responsable Falla],"Matrix Tech",#REF!,"SI")))/$C8)*100</f>
        <v>#REF!</v>
      </c>
      <c r="K8" s="9" t="e">
        <f>+(($C8-(SUMIFS(disponibilidad[Tiempo falla 
(en Mintuos)],disponibilidad[PAGOS],"SI",disponibilidad[Mes],$B8,disponibilidad[[Tipo de afectación ]],"caÍda total",disponibilidad[Responsable Falla],"Matrix Tech",#REF!,"SI")))/$C8)*100</f>
        <v>#REF!</v>
      </c>
      <c r="L8" s="9" t="e">
        <f>+(($C8-(SUMIFS(disponibilidad[Tiempo falla 
(en Mintuos)],disponibilidad[RECAUDOS],"SI",disponibilidad[Mes],$B8,disponibilidad[[Tipo de afectación ]],"caÍda total",disponibilidad[Responsable Falla],"Matrix Tech",#REF!,"SI")))/$C8)*100</f>
        <v>#REF!</v>
      </c>
      <c r="M8" s="9" t="e">
        <f>+(($C8-(SUMIFS(disponibilidad[Tiempo falla 
(en Mintuos)],disponibilidad[RECARGAS],"SI",disponibilidad[Mes],$B8,disponibilidad[[Tipo de afectación ]],"caÍda total",disponibilidad[Responsable Falla],"Matrix Tech",#REF!,"SI")))/$C8)*100</f>
        <v>#REF!</v>
      </c>
      <c r="N8" s="9" t="e">
        <f>+(($C8-(SUMIFS(disponibilidad[Tiempo falla 
(en Mintuos)],#REF!,"SI",disponibilidad[Mes],$B8,disponibilidad[[Tipo de afectación ]],"caÍda total",disponibilidad[Responsable Falla],"Matrix Tech",#REF!,"SI")))/$C8)*100</f>
        <v>#REF!</v>
      </c>
      <c r="O8" s="13" t="e">
        <f t="shared" si="3"/>
        <v>#REF!</v>
      </c>
      <c r="P8" s="9" t="e">
        <f>+(($C8-(SUMIFS(disponibilidad[Tiempo falla 
(en Mintuos)],#REF!,"SI",disponibilidad[Mes],$B8,disponibilidad[[Tipo de afectación ]],"caÍda total",disponibilidad[Responsable Falla],"Aliados o terceros",#REF!,"SI")))/$C8)*100</f>
        <v>#REF!</v>
      </c>
      <c r="Q8" s="9" t="e">
        <f>+(($C8-(SUMIFS(disponibilidad[Tiempo falla 
(en Mintuos)],disponibilidad[PAGOS],"SI",disponibilidad[Mes],$B8,disponibilidad[[Tipo de afectación ]],"caÍda total",disponibilidad[Responsable Falla],"Aliados o terceros",#REF!,"SI")))/$C8)*100</f>
        <v>#REF!</v>
      </c>
      <c r="R8" s="9" t="e">
        <f>+(($C8-(SUMIFS(disponibilidad[Tiempo falla 
(en Mintuos)],disponibilidad[RECAUDOS],"SI",disponibilidad[Mes],$B8,disponibilidad[[Tipo de afectación ]],"caÍda total",disponibilidad[Responsable Falla],"Aliados o terceros",#REF!,"SI")))/$C8)*100</f>
        <v>#REF!</v>
      </c>
      <c r="S8" s="9" t="e">
        <f>+(($C8-(SUMIFS(disponibilidad[Tiempo falla 
(en Mintuos)],disponibilidad[RECARGAS],"SI",disponibilidad[Mes],$B8,disponibilidad[[Tipo de afectación ]],"caÍda total",disponibilidad[Responsable Falla],"Aliados o terceros",#REF!,"SI")))/$C8)*100</f>
        <v>#REF!</v>
      </c>
      <c r="T8" s="9" t="e">
        <f>+(($C8-(SUMIFS(disponibilidad[Tiempo falla 
(en Mintuos)],#REF!,"SI",disponibilidad[Mes],$B8,disponibilidad[[Tipo de afectación ]],"caÍda total",disponibilidad[Responsable Falla],"Aliados o terceros",#REF!,"SI")))/$C8)*100</f>
        <v>#REF!</v>
      </c>
      <c r="U8" s="13" t="e">
        <f t="shared" si="0"/>
        <v>#REF!</v>
      </c>
      <c r="V8" s="12" t="e">
        <f>SUMIFS(disponibilidad[Tiempo falla 
(en Mintuos)],disponibilidad[Mes],$B8,disponibilidad[[Tipo de afectación ]],"caÍda total",disponibilidad[Responsable Falla],"Matrix Tech",#REF!,"SI")</f>
        <v>#REF!</v>
      </c>
      <c r="W8" s="14" t="e">
        <f t="shared" si="4"/>
        <v>#REF!</v>
      </c>
      <c r="X8" s="12">
        <f>SUMIFS(disponibilidad[Tiempo falla 
(en Mintuos)],disponibilidad[Mes],$B8,disponibilidad[[Tipo de afectación ]],"caÍda total",disponibilidad[Responsable Falla],"Aliados o terceros",disponibilidad[Acertemos - Cauca],"SI")</f>
        <v>0</v>
      </c>
      <c r="Y8" s="14">
        <f t="shared" si="1"/>
        <v>0</v>
      </c>
    </row>
    <row r="9" spans="2:25">
      <c r="B9" s="10" t="s">
        <v>169</v>
      </c>
      <c r="C9" s="8">
        <f>VLOOKUP(B9,Maestro!$A$7:$D$19,4,FALSE)</f>
        <v>44640</v>
      </c>
      <c r="D9" s="9" t="e">
        <f>+(($C9-(SUMIFS(disponibilidad[Tiempo falla 
(en Mintuos)],disponibilidad[JADE],"SI",disponibilidad[Mes],$B9,disponibilidad[[Tipo de afectación ]],"caÍda total",disponibilidad[Responsable Falla],"Matrix Tech",#REF!,"SI")))/$C9)*100</f>
        <v>#REF!</v>
      </c>
      <c r="E9" s="9" t="e">
        <f>+(($C9-(SUMIFS(disponibilidad[Tiempo falla 
(en Mintuos)],disponibilidad[SIGA],"SI",disponibilidad[Mes],$B9,disponibilidad[[Tipo de afectación ]],"caÍda total",disponibilidad[Responsable Falla],"Matrix Tech",#REF!,"SI")))/$C9)*100</f>
        <v>#REF!</v>
      </c>
      <c r="F9" s="9" t="e">
        <f>+(($C9-(SUMIFS(disponibilidad[Tiempo falla 
(en Mintuos)],#REF!,"SI",disponibilidad[Mes],$B9,disponibilidad[[Tipo de afectación ]],"caÍda total",disponibilidad[Responsable Falla],"Matrix Tech",#REF!,"SI")))/$C9)*100</f>
        <v>#REF!</v>
      </c>
      <c r="G9" s="9" t="e">
        <f>+(($C9-(SUMIFS(disponibilidad[Tiempo falla 
(en Mintuos)],#REF!,"SI",disponibilidad[Mes],$B9,disponibilidad[[Tipo de afectación ]],"caÍda total",disponibilidad[Responsable Falla],"Matrix Tech",#REF!,"SI")))/$C9)*100</f>
        <v>#REF!</v>
      </c>
      <c r="H9" s="13" t="e">
        <f t="shared" si="2"/>
        <v>#REF!</v>
      </c>
      <c r="I9" s="9" t="e">
        <f>+(($C9-(SUMIFS(disponibilidad[Tiempo falla 
(en Mintuos)],disponibilidad[Apuestas - Chance],"SI",disponibilidad[Mes],$B9,disponibilidad[[Tipo de afectación ]],"caÍda total",disponibilidad[Responsable Falla],"Matrix Tech",#REF!,"SI")))/$C9)*100</f>
        <v>#REF!</v>
      </c>
      <c r="J9" s="9" t="e">
        <f>+(($C9-(SUMIFS(disponibilidad[Tiempo falla 
(en Mintuos)],#REF!,"SI",disponibilidad[Mes],$B9,disponibilidad[[Tipo de afectación ]],"caÍda total",disponibilidad[Responsable Falla],"Matrix Tech",#REF!,"SI")))/$C9)*100</f>
        <v>#REF!</v>
      </c>
      <c r="K9" s="9" t="e">
        <f>+(($C9-(SUMIFS(disponibilidad[Tiempo falla 
(en Mintuos)],disponibilidad[PAGOS],"SI",disponibilidad[Mes],$B9,disponibilidad[[Tipo de afectación ]],"caÍda total",disponibilidad[Responsable Falla],"Matrix Tech",#REF!,"SI")))/$C9)*100</f>
        <v>#REF!</v>
      </c>
      <c r="L9" s="9" t="e">
        <f>+(($C9-(SUMIFS(disponibilidad[Tiempo falla 
(en Mintuos)],disponibilidad[RECAUDOS],"SI",disponibilidad[Mes],$B9,disponibilidad[[Tipo de afectación ]],"caÍda total",disponibilidad[Responsable Falla],"Matrix Tech",#REF!,"SI")))/$C9)*100</f>
        <v>#REF!</v>
      </c>
      <c r="M9" s="9" t="e">
        <f>+(($C9-(SUMIFS(disponibilidad[Tiempo falla 
(en Mintuos)],disponibilidad[RECARGAS],"SI",disponibilidad[Mes],$B9,disponibilidad[[Tipo de afectación ]],"caÍda total",disponibilidad[Responsable Falla],"Matrix Tech",#REF!,"SI")))/$C9)*100</f>
        <v>#REF!</v>
      </c>
      <c r="N9" s="9" t="e">
        <f>+(($C9-(SUMIFS(disponibilidad[Tiempo falla 
(en Mintuos)],#REF!,"SI",disponibilidad[Mes],$B9,disponibilidad[[Tipo de afectación ]],"caÍda total",disponibilidad[Responsable Falla],"Matrix Tech",#REF!,"SI")))/$C9)*100</f>
        <v>#REF!</v>
      </c>
      <c r="O9" s="13" t="e">
        <f t="shared" si="3"/>
        <v>#REF!</v>
      </c>
      <c r="P9" s="9" t="e">
        <f>+(($C9-(SUMIFS(disponibilidad[Tiempo falla 
(en Mintuos)],#REF!,"SI",disponibilidad[Mes],$B9,disponibilidad[[Tipo de afectación ]],"caÍda total",disponibilidad[Responsable Falla],"Aliados o terceros",#REF!,"SI")))/$C9)*100</f>
        <v>#REF!</v>
      </c>
      <c r="Q9" s="9" t="e">
        <f>+(($C9-(SUMIFS(disponibilidad[Tiempo falla 
(en Mintuos)],disponibilidad[PAGOS],"SI",disponibilidad[Mes],$B9,disponibilidad[[Tipo de afectación ]],"caÍda total",disponibilidad[Responsable Falla],"Aliados o terceros",#REF!,"SI")))/$C9)*100</f>
        <v>#REF!</v>
      </c>
      <c r="R9" s="9" t="e">
        <f>+(($C9-(SUMIFS(disponibilidad[Tiempo falla 
(en Mintuos)],disponibilidad[RECAUDOS],"SI",disponibilidad[Mes],$B9,disponibilidad[[Tipo de afectación ]],"caÍda total",disponibilidad[Responsable Falla],"Aliados o terceros",#REF!,"SI")))/$C9)*100</f>
        <v>#REF!</v>
      </c>
      <c r="S9" s="9" t="e">
        <f>+(($C9-(SUMIFS(disponibilidad[Tiempo falla 
(en Mintuos)],disponibilidad[RECARGAS],"SI",disponibilidad[Mes],$B9,disponibilidad[[Tipo de afectación ]],"caÍda total",disponibilidad[Responsable Falla],"Aliados o terceros",#REF!,"SI")))/$C9)*100</f>
        <v>#REF!</v>
      </c>
      <c r="T9" s="9" t="e">
        <f>+(($C9-(SUMIFS(disponibilidad[Tiempo falla 
(en Mintuos)],#REF!,"SI",disponibilidad[Mes],$B9,disponibilidad[[Tipo de afectación ]],"caÍda total",disponibilidad[Responsable Falla],"Aliados o terceros",#REF!,"SI")))/$C9)*100</f>
        <v>#REF!</v>
      </c>
      <c r="U9" s="13" t="e">
        <f t="shared" si="0"/>
        <v>#REF!</v>
      </c>
      <c r="V9" s="12" t="e">
        <f>SUMIFS(disponibilidad[Tiempo falla 
(en Mintuos)],disponibilidad[Mes],$B9,disponibilidad[[Tipo de afectación ]],"caÍda total",disponibilidad[Responsable Falla],"Matrix Tech",#REF!,"SI")</f>
        <v>#REF!</v>
      </c>
      <c r="W9" s="14" t="e">
        <f t="shared" si="4"/>
        <v>#REF!</v>
      </c>
      <c r="X9" s="12">
        <f>SUMIFS(disponibilidad[Tiempo falla 
(en Mintuos)],disponibilidad[Mes],$B9,disponibilidad[[Tipo de afectación ]],"caÍda total",disponibilidad[Responsable Falla],"Aliados o terceros",disponibilidad[Acertemos - Cauca],"SI")</f>
        <v>0</v>
      </c>
      <c r="Y9" s="14">
        <f t="shared" si="1"/>
        <v>0</v>
      </c>
    </row>
    <row r="10" spans="2:25">
      <c r="B10" s="10" t="s">
        <v>172</v>
      </c>
      <c r="C10" s="8">
        <f>VLOOKUP(B10,Maestro!$A$7:$D$19,4,FALSE)</f>
        <v>43200</v>
      </c>
      <c r="D10" s="9" t="e">
        <f>+(($C10-(SUMIFS(disponibilidad[Tiempo falla 
(en Mintuos)],disponibilidad[JADE],"SI",disponibilidad[Mes],$B10,disponibilidad[[Tipo de afectación ]],"caÍda total",disponibilidad[Responsable Falla],"Matrix Tech",#REF!,"SI")))/$C10)*100</f>
        <v>#REF!</v>
      </c>
      <c r="E10" s="9" t="e">
        <f>+(($C10-(SUMIFS(disponibilidad[Tiempo falla 
(en Mintuos)],disponibilidad[SIGA],"SI",disponibilidad[Mes],$B10,disponibilidad[[Tipo de afectación ]],"caÍda total",disponibilidad[Responsable Falla],"Matrix Tech",#REF!,"SI")))/$C10)*100</f>
        <v>#REF!</v>
      </c>
      <c r="F10" s="9" t="e">
        <f>+(($C10-(SUMIFS(disponibilidad[Tiempo falla 
(en Mintuos)],#REF!,"SI",disponibilidad[Mes],$B10,disponibilidad[[Tipo de afectación ]],"caÍda total",disponibilidad[Responsable Falla],"Matrix Tech",#REF!,"SI")))/$C10)*100</f>
        <v>#REF!</v>
      </c>
      <c r="G10" s="9" t="e">
        <f>+(($C10-(SUMIFS(disponibilidad[Tiempo falla 
(en Mintuos)],#REF!,"SI",disponibilidad[Mes],$B10,disponibilidad[[Tipo de afectación ]],"caÍda total",disponibilidad[Responsable Falla],"Matrix Tech",#REF!,"SI")))/$C10)*100</f>
        <v>#REF!</v>
      </c>
      <c r="H10" s="13" t="e">
        <f t="shared" si="2"/>
        <v>#REF!</v>
      </c>
      <c r="I10" s="9" t="e">
        <f>+(($C10-(SUMIFS(disponibilidad[Tiempo falla 
(en Mintuos)],disponibilidad[Apuestas - Chance],"SI",disponibilidad[Mes],$B10,disponibilidad[[Tipo de afectación ]],"caÍda total",disponibilidad[Responsable Falla],"Matrix Tech",#REF!,"SI")))/$C10)*100</f>
        <v>#REF!</v>
      </c>
      <c r="J10" s="9" t="e">
        <f>+(($C10-(SUMIFS(disponibilidad[Tiempo falla 
(en Mintuos)],#REF!,"SI",disponibilidad[Mes],$B10,disponibilidad[[Tipo de afectación ]],"caÍda total",disponibilidad[Responsable Falla],"Matrix Tech",#REF!,"SI")))/$C10)*100</f>
        <v>#REF!</v>
      </c>
      <c r="K10" s="9" t="e">
        <f>+(($C10-(SUMIFS(disponibilidad[Tiempo falla 
(en Mintuos)],disponibilidad[PAGOS],"SI",disponibilidad[Mes],$B10,disponibilidad[[Tipo de afectación ]],"caÍda total",disponibilidad[Responsable Falla],"Matrix Tech",#REF!,"SI")))/$C10)*100</f>
        <v>#REF!</v>
      </c>
      <c r="L10" s="9" t="e">
        <f>+(($C10-(SUMIFS(disponibilidad[Tiempo falla 
(en Mintuos)],disponibilidad[RECAUDOS],"SI",disponibilidad[Mes],$B10,disponibilidad[[Tipo de afectación ]],"caÍda total",disponibilidad[Responsable Falla],"Matrix Tech",#REF!,"SI")))/$C10)*100</f>
        <v>#REF!</v>
      </c>
      <c r="M10" s="9" t="e">
        <f>+(($C10-(SUMIFS(disponibilidad[Tiempo falla 
(en Mintuos)],disponibilidad[RECARGAS],"SI",disponibilidad[Mes],$B10,disponibilidad[[Tipo de afectación ]],"caÍda total",disponibilidad[Responsable Falla],"Matrix Tech",#REF!,"SI")))/$C10)*100</f>
        <v>#REF!</v>
      </c>
      <c r="N10" s="9" t="e">
        <f>+(($C10-(SUMIFS(disponibilidad[Tiempo falla 
(en Mintuos)],#REF!,"SI",disponibilidad[Mes],$B10,disponibilidad[[Tipo de afectación ]],"caÍda total",disponibilidad[Responsable Falla],"Matrix Tech",#REF!,"SI")))/$C10)*100</f>
        <v>#REF!</v>
      </c>
      <c r="O10" s="13" t="e">
        <f t="shared" si="3"/>
        <v>#REF!</v>
      </c>
      <c r="P10" s="9" t="e">
        <f>+(($C10-(SUMIFS(disponibilidad[Tiempo falla 
(en Mintuos)],#REF!,"SI",disponibilidad[Mes],$B10,disponibilidad[[Tipo de afectación ]],"caÍda total",disponibilidad[Responsable Falla],"Aliados o terceros",#REF!,"SI")))/$C10)*100</f>
        <v>#REF!</v>
      </c>
      <c r="Q10" s="9" t="e">
        <f>+(($C10-(SUMIFS(disponibilidad[Tiempo falla 
(en Mintuos)],disponibilidad[PAGOS],"SI",disponibilidad[Mes],$B10,disponibilidad[[Tipo de afectación ]],"caÍda total",disponibilidad[Responsable Falla],"Aliados o terceros",#REF!,"SI")))/$C10)*100</f>
        <v>#REF!</v>
      </c>
      <c r="R10" s="9" t="e">
        <f>+(($C10-(SUMIFS(disponibilidad[Tiempo falla 
(en Mintuos)],disponibilidad[RECAUDOS],"SI",disponibilidad[Mes],$B10,disponibilidad[[Tipo de afectación ]],"caÍda total",disponibilidad[Responsable Falla],"Aliados o terceros",#REF!,"SI")))/$C10)*100</f>
        <v>#REF!</v>
      </c>
      <c r="S10" s="9" t="e">
        <f>+(($C10-(SUMIFS(disponibilidad[Tiempo falla 
(en Mintuos)],disponibilidad[RECARGAS],"SI",disponibilidad[Mes],$B10,disponibilidad[[Tipo de afectación ]],"caÍda total",disponibilidad[Responsable Falla],"Aliados o terceros",#REF!,"SI")))/$C10)*100</f>
        <v>#REF!</v>
      </c>
      <c r="T10" s="9" t="e">
        <f>+(($C10-(SUMIFS(disponibilidad[Tiempo falla 
(en Mintuos)],#REF!,"SI",disponibilidad[Mes],$B10,disponibilidad[[Tipo de afectación ]],"caÍda total",disponibilidad[Responsable Falla],"Aliados o terceros",#REF!,"SI")))/$C10)*100</f>
        <v>#REF!</v>
      </c>
      <c r="U10" s="13" t="e">
        <f t="shared" si="0"/>
        <v>#REF!</v>
      </c>
      <c r="V10" s="12" t="e">
        <f>SUMIFS(disponibilidad[Tiempo falla 
(en Mintuos)],disponibilidad[Mes],$B10,disponibilidad[[Tipo de afectación ]],"caÍda total",disponibilidad[Responsable Falla],"Matrix Tech",#REF!,"SI")</f>
        <v>#REF!</v>
      </c>
      <c r="W10" s="14" t="e">
        <f t="shared" si="4"/>
        <v>#REF!</v>
      </c>
      <c r="X10" s="12">
        <f>SUMIFS(disponibilidad[Tiempo falla 
(en Mintuos)],disponibilidad[Mes],$B10,disponibilidad[[Tipo de afectación ]],"caÍda total",disponibilidad[Responsable Falla],"Aliados o terceros",disponibilidad[Acertemos - Cauca],"SI")</f>
        <v>0</v>
      </c>
      <c r="Y10" s="14">
        <f t="shared" si="1"/>
        <v>0</v>
      </c>
    </row>
    <row r="11" spans="2:25">
      <c r="B11" s="10" t="s">
        <v>173</v>
      </c>
      <c r="C11" s="8">
        <f>VLOOKUP(B11,Maestro!$A$7:$D$19,4,FALSE)</f>
        <v>44640</v>
      </c>
      <c r="D11" s="9" t="e">
        <f>+(($C11-(SUMIFS(disponibilidad[Tiempo falla 
(en Mintuos)],disponibilidad[JADE],"SI",disponibilidad[Mes],$B11,disponibilidad[[Tipo de afectación ]],"caÍda total",disponibilidad[Responsable Falla],"Matrix Tech",#REF!,"SI")))/$C11)*100</f>
        <v>#REF!</v>
      </c>
      <c r="E11" s="9" t="e">
        <f>+(($C11-(SUMIFS(disponibilidad[Tiempo falla 
(en Mintuos)],disponibilidad[SIGA],"SI",disponibilidad[Mes],$B11,disponibilidad[[Tipo de afectación ]],"caÍda total",disponibilidad[Responsable Falla],"Matrix Tech",#REF!,"SI")))/$C11)*100</f>
        <v>#REF!</v>
      </c>
      <c r="F11" s="9" t="e">
        <f>+(($C11-(SUMIFS(disponibilidad[Tiempo falla 
(en Mintuos)],#REF!,"SI",disponibilidad[Mes],$B11,disponibilidad[[Tipo de afectación ]],"caÍda total",disponibilidad[Responsable Falla],"Matrix Tech",#REF!,"SI")))/$C11)*100</f>
        <v>#REF!</v>
      </c>
      <c r="G11" s="9" t="e">
        <f>+(($C11-(SUMIFS(disponibilidad[Tiempo falla 
(en Mintuos)],#REF!,"SI",disponibilidad[Mes],$B11,disponibilidad[[Tipo de afectación ]],"caÍda total",disponibilidad[Responsable Falla],"Matrix Tech",#REF!,"SI")))/$C11)*100</f>
        <v>#REF!</v>
      </c>
      <c r="H11" s="13" t="e">
        <f t="shared" si="2"/>
        <v>#REF!</v>
      </c>
      <c r="I11" s="9" t="e">
        <f>+(($C11-(SUMIFS(disponibilidad[Tiempo falla 
(en Mintuos)],disponibilidad[Apuestas - Chance],"SI",disponibilidad[Mes],$B11,disponibilidad[[Tipo de afectación ]],"caÍda total",disponibilidad[Responsable Falla],"Matrix Tech",#REF!,"SI")))/$C11)*100</f>
        <v>#REF!</v>
      </c>
      <c r="J11" s="9" t="e">
        <f>+(($C11-(SUMIFS(disponibilidad[Tiempo falla 
(en Mintuos)],#REF!,"SI",disponibilidad[Mes],$B11,disponibilidad[[Tipo de afectación ]],"caÍda total",disponibilidad[Responsable Falla],"Matrix Tech",#REF!,"SI")))/$C11)*100</f>
        <v>#REF!</v>
      </c>
      <c r="K11" s="9" t="e">
        <f>+(($C11-(SUMIFS(disponibilidad[Tiempo falla 
(en Mintuos)],disponibilidad[PAGOS],"SI",disponibilidad[Mes],$B11,disponibilidad[[Tipo de afectación ]],"caÍda total",disponibilidad[Responsable Falla],"Matrix Tech",#REF!,"SI")))/$C11)*100</f>
        <v>#REF!</v>
      </c>
      <c r="L11" s="9" t="e">
        <f>+(($C11-(SUMIFS(disponibilidad[Tiempo falla 
(en Mintuos)],disponibilidad[RECAUDOS],"SI",disponibilidad[Mes],$B11,disponibilidad[[Tipo de afectación ]],"caÍda total",disponibilidad[Responsable Falla],"Matrix Tech",#REF!,"SI")))/$C11)*100</f>
        <v>#REF!</v>
      </c>
      <c r="M11" s="9" t="e">
        <f>+(($C11-(SUMIFS(disponibilidad[Tiempo falla 
(en Mintuos)],disponibilidad[RECARGAS],"SI",disponibilidad[Mes],$B11,disponibilidad[[Tipo de afectación ]],"caÍda total",disponibilidad[Responsable Falla],"Matrix Tech",#REF!,"SI")))/$C11)*100</f>
        <v>#REF!</v>
      </c>
      <c r="N11" s="9" t="e">
        <f>+(($C11-(SUMIFS(disponibilidad[Tiempo falla 
(en Mintuos)],#REF!,"SI",disponibilidad[Mes],$B11,disponibilidad[[Tipo de afectación ]],"caÍda total",disponibilidad[Responsable Falla],"Matrix Tech",#REF!,"SI")))/$C11)*100</f>
        <v>#REF!</v>
      </c>
      <c r="O11" s="13" t="e">
        <f t="shared" si="3"/>
        <v>#REF!</v>
      </c>
      <c r="P11" s="9" t="e">
        <f>+(($C11-(SUMIFS(disponibilidad[Tiempo falla 
(en Mintuos)],#REF!,"SI",disponibilidad[Mes],$B11,disponibilidad[[Tipo de afectación ]],"caÍda total",disponibilidad[Responsable Falla],"Aliados o terceros",#REF!,"SI")))/$C11)*100</f>
        <v>#REF!</v>
      </c>
      <c r="Q11" s="9" t="e">
        <f>+(($C11-(SUMIFS(disponibilidad[Tiempo falla 
(en Mintuos)],disponibilidad[PAGOS],"SI",disponibilidad[Mes],$B11,disponibilidad[[Tipo de afectación ]],"caÍda total",disponibilidad[Responsable Falla],"Aliados o terceros",#REF!,"SI")))/$C11)*100</f>
        <v>#REF!</v>
      </c>
      <c r="R11" s="9" t="e">
        <f>+(($C11-(SUMIFS(disponibilidad[Tiempo falla 
(en Mintuos)],disponibilidad[RECAUDOS],"SI",disponibilidad[Mes],$B11,disponibilidad[[Tipo de afectación ]],"caÍda total",disponibilidad[Responsable Falla],"Aliados o terceros",#REF!,"SI")))/$C11)*100</f>
        <v>#REF!</v>
      </c>
      <c r="S11" s="9" t="e">
        <f>+(($C11-(SUMIFS(disponibilidad[Tiempo falla 
(en Mintuos)],disponibilidad[RECARGAS],"SI",disponibilidad[Mes],$B11,disponibilidad[[Tipo de afectación ]],"caÍda total",disponibilidad[Responsable Falla],"Aliados o terceros",#REF!,"SI")))/$C11)*100</f>
        <v>#REF!</v>
      </c>
      <c r="T11" s="9" t="e">
        <f>+(($C11-(SUMIFS(disponibilidad[Tiempo falla 
(en Mintuos)],#REF!,"SI",disponibilidad[Mes],$B11,disponibilidad[[Tipo de afectación ]],"caÍda total",disponibilidad[Responsable Falla],"Aliados o terceros",#REF!,"SI")))/$C11)*100</f>
        <v>#REF!</v>
      </c>
      <c r="U11" s="13" t="e">
        <f t="shared" si="0"/>
        <v>#REF!</v>
      </c>
      <c r="V11" s="12" t="e">
        <f>SUMIFS(disponibilidad[Tiempo falla 
(en Mintuos)],disponibilidad[Mes],$B11,disponibilidad[[Tipo de afectación ]],"caÍda total",disponibilidad[Responsable Falla],"Matrix Tech",#REF!,"SI")</f>
        <v>#REF!</v>
      </c>
      <c r="W11" s="14" t="e">
        <f t="shared" si="4"/>
        <v>#REF!</v>
      </c>
      <c r="X11" s="12">
        <f>SUMIFS(disponibilidad[Tiempo falla 
(en Mintuos)],disponibilidad[Mes],$B11,disponibilidad[[Tipo de afectación ]],"caÍda total",disponibilidad[Responsable Falla],"Aliados o terceros",disponibilidad[Acertemos - Cauca],"SI")</f>
        <v>0</v>
      </c>
      <c r="Y11" s="14">
        <f t="shared" si="1"/>
        <v>0</v>
      </c>
    </row>
    <row r="12" spans="2:25">
      <c r="B12" s="10" t="s">
        <v>174</v>
      </c>
      <c r="C12" s="8">
        <f>VLOOKUP(B12,Maestro!$A$7:$D$19,4,FALSE)</f>
        <v>44640</v>
      </c>
      <c r="D12" s="9" t="e">
        <f>+(($C12-(SUMIFS(disponibilidad[Tiempo falla 
(en Mintuos)],disponibilidad[JADE],"SI",disponibilidad[Mes],$B12,disponibilidad[[Tipo de afectación ]],"caÍda total",disponibilidad[Responsable Falla],"Matrix Tech",#REF!,"SI")))/$C12)*100</f>
        <v>#REF!</v>
      </c>
      <c r="E12" s="9" t="e">
        <f>+(($C12-(SUMIFS(disponibilidad[Tiempo falla 
(en Mintuos)],disponibilidad[SIGA],"SI",disponibilidad[Mes],$B12,disponibilidad[[Tipo de afectación ]],"caÍda total",disponibilidad[Responsable Falla],"Matrix Tech",#REF!,"SI")))/$C12)*100</f>
        <v>#REF!</v>
      </c>
      <c r="F12" s="9" t="e">
        <f>+(($C12-(SUMIFS(disponibilidad[Tiempo falla 
(en Mintuos)],#REF!,"SI",disponibilidad[Mes],$B12,disponibilidad[[Tipo de afectación ]],"caÍda total",disponibilidad[Responsable Falla],"Matrix Tech",#REF!,"SI")))/$C12)*100</f>
        <v>#REF!</v>
      </c>
      <c r="G12" s="9" t="e">
        <f>+(($C12-(SUMIFS(disponibilidad[Tiempo falla 
(en Mintuos)],#REF!,"SI",disponibilidad[Mes],$B12,disponibilidad[[Tipo de afectación ]],"caÍda total",disponibilidad[Responsable Falla],"Matrix Tech",#REF!,"SI")))/$C12)*100</f>
        <v>#REF!</v>
      </c>
      <c r="H12" s="13" t="e">
        <f t="shared" si="2"/>
        <v>#REF!</v>
      </c>
      <c r="I12" s="9" t="e">
        <f>+(($C12-(SUMIFS(disponibilidad[Tiempo falla 
(en Mintuos)],disponibilidad[Apuestas - Chance],"SI",disponibilidad[Mes],$B12,disponibilidad[[Tipo de afectación ]],"caÍda total",disponibilidad[Responsable Falla],"Matrix Tech",#REF!,"SI")))/$C12)*100</f>
        <v>#REF!</v>
      </c>
      <c r="J12" s="9" t="e">
        <f>+(($C12-(SUMIFS(disponibilidad[Tiempo falla 
(en Mintuos)],#REF!,"SI",disponibilidad[Mes],$B12,disponibilidad[[Tipo de afectación ]],"caÍda total",disponibilidad[Responsable Falla],"Matrix Tech",#REF!,"SI")))/$C12)*100</f>
        <v>#REF!</v>
      </c>
      <c r="K12" s="9" t="e">
        <f>+(($C12-(SUMIFS(disponibilidad[Tiempo falla 
(en Mintuos)],disponibilidad[PAGOS],"SI",disponibilidad[Mes],$B12,disponibilidad[[Tipo de afectación ]],"caÍda total",disponibilidad[Responsable Falla],"Matrix Tech",#REF!,"SI")))/$C12)*100</f>
        <v>#REF!</v>
      </c>
      <c r="L12" s="9" t="e">
        <f>+(($C12-(SUMIFS(disponibilidad[Tiempo falla 
(en Mintuos)],disponibilidad[RECAUDOS],"SI",disponibilidad[Mes],$B12,disponibilidad[[Tipo de afectación ]],"caÍda total",disponibilidad[Responsable Falla],"Matrix Tech",#REF!,"SI")))/$C12)*100</f>
        <v>#REF!</v>
      </c>
      <c r="M12" s="9" t="e">
        <f>+(($C12-(SUMIFS(disponibilidad[Tiempo falla 
(en Mintuos)],disponibilidad[RECARGAS],"SI",disponibilidad[Mes],$B12,disponibilidad[[Tipo de afectación ]],"caÍda total",disponibilidad[Responsable Falla],"Matrix Tech",#REF!,"SI")))/$C12)*100</f>
        <v>#REF!</v>
      </c>
      <c r="N12" s="9" t="e">
        <f>+(($C12-(SUMIFS(disponibilidad[Tiempo falla 
(en Mintuos)],#REF!,"SI",disponibilidad[Mes],$B12,disponibilidad[[Tipo de afectación ]],"caÍda total",disponibilidad[Responsable Falla],"Matrix Tech",#REF!,"SI")))/$C12)*100</f>
        <v>#REF!</v>
      </c>
      <c r="O12" s="13" t="e">
        <f t="shared" si="3"/>
        <v>#REF!</v>
      </c>
      <c r="P12" s="9" t="e">
        <f>+(($C12-(SUMIFS(disponibilidad[Tiempo falla 
(en Mintuos)],#REF!,"SI",disponibilidad[Mes],$B12,disponibilidad[[Tipo de afectación ]],"caÍda total",disponibilidad[Responsable Falla],"Aliados o terceros",#REF!,"SI")))/$C12)*100</f>
        <v>#REF!</v>
      </c>
      <c r="Q12" s="9" t="e">
        <f>+(($C12-(SUMIFS(disponibilidad[Tiempo falla 
(en Mintuos)],disponibilidad[PAGOS],"SI",disponibilidad[Mes],$B12,disponibilidad[[Tipo de afectación ]],"caÍda total",disponibilidad[Responsable Falla],"Aliados o terceros",#REF!,"SI")))/$C12)*100</f>
        <v>#REF!</v>
      </c>
      <c r="R12" s="9" t="e">
        <f>+(($C12-(SUMIFS(disponibilidad[Tiempo falla 
(en Mintuos)],disponibilidad[RECAUDOS],"SI",disponibilidad[Mes],$B12,disponibilidad[[Tipo de afectación ]],"caÍda total",disponibilidad[Responsable Falla],"Aliados o terceros",#REF!,"SI")))/$C12)*100</f>
        <v>#REF!</v>
      </c>
      <c r="S12" s="9" t="e">
        <f>+(($C12-(SUMIFS(disponibilidad[Tiempo falla 
(en Mintuos)],disponibilidad[RECARGAS],"SI",disponibilidad[Mes],$B12,disponibilidad[[Tipo de afectación ]],"caÍda total",disponibilidad[Responsable Falla],"Aliados o terceros",#REF!,"SI")))/$C12)*100</f>
        <v>#REF!</v>
      </c>
      <c r="T12" s="9" t="e">
        <f>+(($C12-(SUMIFS(disponibilidad[Tiempo falla 
(en Mintuos)],#REF!,"SI",disponibilidad[Mes],$B12,disponibilidad[[Tipo de afectación ]],"caÍda total",disponibilidad[Responsable Falla],"Aliados o terceros",#REF!,"SI")))/$C12)*100</f>
        <v>#REF!</v>
      </c>
      <c r="U12" s="13" t="e">
        <f t="shared" si="0"/>
        <v>#REF!</v>
      </c>
      <c r="V12" s="12" t="e">
        <f>SUMIFS(disponibilidad[Tiempo falla 
(en Mintuos)],disponibilidad[Mes],$B12,disponibilidad[[Tipo de afectación ]],"caÍda total",disponibilidad[Responsable Falla],"Matrix Tech",#REF!,"SI")</f>
        <v>#REF!</v>
      </c>
      <c r="W12" s="14" t="e">
        <f t="shared" si="4"/>
        <v>#REF!</v>
      </c>
      <c r="X12" s="12">
        <f>SUMIFS(disponibilidad[Tiempo falla 
(en Mintuos)],disponibilidad[Mes],$B12,disponibilidad[[Tipo de afectación ]],"caÍda total",disponibilidad[Responsable Falla],"Aliados o terceros",disponibilidad[Acertemos - Cauca],"SI")</f>
        <v>0</v>
      </c>
      <c r="Y12" s="14">
        <f t="shared" si="1"/>
        <v>0</v>
      </c>
    </row>
    <row r="13" spans="2:25">
      <c r="B13" s="10" t="s">
        <v>175</v>
      </c>
      <c r="C13" s="8">
        <f>VLOOKUP(B13,Maestro!$A$7:$D$19,4,FALSE)</f>
        <v>43200</v>
      </c>
      <c r="D13" s="9" t="e">
        <f>+(($C13-(SUMIFS(disponibilidad[Tiempo falla 
(en Mintuos)],disponibilidad[JADE],"SI",disponibilidad[Mes],$B13,disponibilidad[[Tipo de afectación ]],"caÍda total",disponibilidad[Responsable Falla],"Matrix Tech",#REF!,"SI")))/$C13)*100</f>
        <v>#REF!</v>
      </c>
      <c r="E13" s="9" t="e">
        <f>+(($C13-(SUMIFS(disponibilidad[Tiempo falla 
(en Mintuos)],disponibilidad[SIGA],"SI",disponibilidad[Mes],$B13,disponibilidad[[Tipo de afectación ]],"caÍda total",disponibilidad[Responsable Falla],"Matrix Tech",#REF!,"SI")))/$C13)*100</f>
        <v>#REF!</v>
      </c>
      <c r="F13" s="9" t="e">
        <f>+(($C13-(SUMIFS(disponibilidad[Tiempo falla 
(en Mintuos)],#REF!,"SI",disponibilidad[Mes],$B13,disponibilidad[[Tipo de afectación ]],"caÍda total",disponibilidad[Responsable Falla],"Matrix Tech",#REF!,"SI")))/$C13)*100</f>
        <v>#REF!</v>
      </c>
      <c r="G13" s="9" t="e">
        <f>+(($C13-(SUMIFS(disponibilidad[Tiempo falla 
(en Mintuos)],#REF!,"SI",disponibilidad[Mes],$B13,disponibilidad[[Tipo de afectación ]],"caÍda total",disponibilidad[Responsable Falla],"Matrix Tech",#REF!,"SI")))/$C13)*100</f>
        <v>#REF!</v>
      </c>
      <c r="H13" s="13" t="e">
        <f t="shared" si="2"/>
        <v>#REF!</v>
      </c>
      <c r="I13" s="9" t="e">
        <f>+(($C13-(SUMIFS(disponibilidad[Tiempo falla 
(en Mintuos)],disponibilidad[Apuestas - Chance],"SI",disponibilidad[Mes],$B13,disponibilidad[[Tipo de afectación ]],"caÍda total",disponibilidad[Responsable Falla],"Matrix Tech",#REF!,"SI")))/$C13)*100</f>
        <v>#REF!</v>
      </c>
      <c r="J13" s="9" t="e">
        <f>+(($C13-(SUMIFS(disponibilidad[Tiempo falla 
(en Mintuos)],#REF!,"SI",disponibilidad[Mes],$B13,disponibilidad[[Tipo de afectación ]],"caÍda total",disponibilidad[Responsable Falla],"Matrix Tech",#REF!,"SI")))/$C13)*100</f>
        <v>#REF!</v>
      </c>
      <c r="K13" s="9" t="e">
        <f>+(($C13-(SUMIFS(disponibilidad[Tiempo falla 
(en Mintuos)],disponibilidad[PAGOS],"SI",disponibilidad[Mes],$B13,disponibilidad[[Tipo de afectación ]],"caÍda total",disponibilidad[Responsable Falla],"Matrix Tech",#REF!,"SI")))/$C13)*100</f>
        <v>#REF!</v>
      </c>
      <c r="L13" s="9" t="e">
        <f>+(($C13-(SUMIFS(disponibilidad[Tiempo falla 
(en Mintuos)],disponibilidad[RECAUDOS],"SI",disponibilidad[Mes],$B13,disponibilidad[[Tipo de afectación ]],"caÍda total",disponibilidad[Responsable Falla],"Matrix Tech",#REF!,"SI")))/$C13)*100</f>
        <v>#REF!</v>
      </c>
      <c r="M13" s="9" t="e">
        <f>+(($C13-(SUMIFS(disponibilidad[Tiempo falla 
(en Mintuos)],disponibilidad[RECARGAS],"SI",disponibilidad[Mes],$B13,disponibilidad[[Tipo de afectación ]],"caÍda total",disponibilidad[Responsable Falla],"Matrix Tech",#REF!,"SI")))/$C13)*100</f>
        <v>#REF!</v>
      </c>
      <c r="N13" s="9" t="e">
        <f>+(($C13-(SUMIFS(disponibilidad[Tiempo falla 
(en Mintuos)],#REF!,"SI",disponibilidad[Mes],$B13,disponibilidad[[Tipo de afectación ]],"caÍda total",disponibilidad[Responsable Falla],"Matrix Tech",#REF!,"SI")))/$C13)*100</f>
        <v>#REF!</v>
      </c>
      <c r="O13" s="13" t="e">
        <f t="shared" si="3"/>
        <v>#REF!</v>
      </c>
      <c r="P13" s="9" t="e">
        <f>+(($C13-(SUMIFS(disponibilidad[Tiempo falla 
(en Mintuos)],#REF!,"SI",disponibilidad[Mes],$B13,disponibilidad[[Tipo de afectación ]],"caÍda total",disponibilidad[Responsable Falla],"Aliados o terceros",#REF!,"SI")))/$C13)*100</f>
        <v>#REF!</v>
      </c>
      <c r="Q13" s="9" t="e">
        <f>+(($C13-(SUMIFS(disponibilidad[Tiempo falla 
(en Mintuos)],disponibilidad[PAGOS],"SI",disponibilidad[Mes],$B13,disponibilidad[[Tipo de afectación ]],"caÍda total",disponibilidad[Responsable Falla],"Aliados o terceros",#REF!,"SI")))/$C13)*100</f>
        <v>#REF!</v>
      </c>
      <c r="R13" s="9" t="e">
        <f>+(($C13-(SUMIFS(disponibilidad[Tiempo falla 
(en Mintuos)],disponibilidad[RECAUDOS],"SI",disponibilidad[Mes],$B13,disponibilidad[[Tipo de afectación ]],"caÍda total",disponibilidad[Responsable Falla],"Aliados o terceros",#REF!,"SI")))/$C13)*100</f>
        <v>#REF!</v>
      </c>
      <c r="S13" s="9" t="e">
        <f>+(($C13-(SUMIFS(disponibilidad[Tiempo falla 
(en Mintuos)],disponibilidad[RECARGAS],"SI",disponibilidad[Mes],$B13,disponibilidad[[Tipo de afectación ]],"caÍda total",disponibilidad[Responsable Falla],"Aliados o terceros",#REF!,"SI")))/$C13)*100</f>
        <v>#REF!</v>
      </c>
      <c r="T13" s="9" t="e">
        <f>+(($C13-(SUMIFS(disponibilidad[Tiempo falla 
(en Mintuos)],#REF!,"SI",disponibilidad[Mes],$B13,disponibilidad[[Tipo de afectación ]],"caÍda total",disponibilidad[Responsable Falla],"Aliados o terceros",#REF!,"SI")))/$C13)*100</f>
        <v>#REF!</v>
      </c>
      <c r="U13" s="13" t="e">
        <f t="shared" si="0"/>
        <v>#REF!</v>
      </c>
      <c r="V13" s="12" t="e">
        <f>SUMIFS(disponibilidad[Tiempo falla 
(en Mintuos)],disponibilidad[Mes],$B13,disponibilidad[[Tipo de afectación ]],"caÍda total",disponibilidad[Responsable Falla],"Matrix Tech",#REF!,"SI")</f>
        <v>#REF!</v>
      </c>
      <c r="W13" s="14" t="e">
        <f t="shared" si="4"/>
        <v>#REF!</v>
      </c>
      <c r="X13" s="12">
        <f>SUMIFS(disponibilidad[Tiempo falla 
(en Mintuos)],disponibilidad[Mes],$B13,disponibilidad[[Tipo de afectación ]],"caÍda total",disponibilidad[Responsable Falla],"Aliados o terceros",disponibilidad[Acertemos - Cauca],"SI")</f>
        <v>0</v>
      </c>
      <c r="Y13" s="14">
        <f t="shared" si="1"/>
        <v>0</v>
      </c>
    </row>
    <row r="14" spans="2:25">
      <c r="B14" s="10" t="s">
        <v>176</v>
      </c>
      <c r="C14" s="8">
        <f>VLOOKUP(B14,Maestro!$A$7:$D$19,4,FALSE)</f>
        <v>44640</v>
      </c>
      <c r="D14" s="9" t="e">
        <f>+(($C14-(SUMIFS(disponibilidad[Tiempo falla 
(en Mintuos)],disponibilidad[JADE],"SI",disponibilidad[Mes],$B14,disponibilidad[[Tipo de afectación ]],"caÍda total",disponibilidad[Responsable Falla],"Matrix Tech",#REF!,"SI")))/$C14)*100</f>
        <v>#REF!</v>
      </c>
      <c r="E14" s="9" t="e">
        <f>+(($C14-(SUMIFS(disponibilidad[Tiempo falla 
(en Mintuos)],disponibilidad[SIGA],"SI",disponibilidad[Mes],$B14,disponibilidad[[Tipo de afectación ]],"caÍda total",disponibilidad[Responsable Falla],"Matrix Tech",#REF!,"SI")))/$C14)*100</f>
        <v>#REF!</v>
      </c>
      <c r="F14" s="9" t="e">
        <f>+(($C14-(SUMIFS(disponibilidad[Tiempo falla 
(en Mintuos)],#REF!,"SI",disponibilidad[Mes],$B14,disponibilidad[[Tipo de afectación ]],"caÍda total",disponibilidad[Responsable Falla],"Matrix Tech",#REF!,"SI")))/$C14)*100</f>
        <v>#REF!</v>
      </c>
      <c r="G14" s="9" t="e">
        <f>+(($C14-(SUMIFS(disponibilidad[Tiempo falla 
(en Mintuos)],#REF!,"SI",disponibilidad[Mes],$B14,disponibilidad[[Tipo de afectación ]],"caÍda total",disponibilidad[Responsable Falla],"Matrix Tech",#REF!,"SI")))/$C14)*100</f>
        <v>#REF!</v>
      </c>
      <c r="H14" s="13" t="e">
        <f t="shared" si="2"/>
        <v>#REF!</v>
      </c>
      <c r="I14" s="9" t="e">
        <f>+(($C14-(SUMIFS(disponibilidad[Tiempo falla 
(en Mintuos)],disponibilidad[Apuestas - Chance],"SI",disponibilidad[Mes],$B14,disponibilidad[[Tipo de afectación ]],"caÍda total",disponibilidad[Responsable Falla],"Matrix Tech",#REF!,"SI")))/$C14)*100</f>
        <v>#REF!</v>
      </c>
      <c r="J14" s="9" t="e">
        <f>+(($C14-(SUMIFS(disponibilidad[Tiempo falla 
(en Mintuos)],#REF!,"SI",disponibilidad[Mes],$B14,disponibilidad[[Tipo de afectación ]],"caÍda total",disponibilidad[Responsable Falla],"Matrix Tech",#REF!,"SI")))/$C14)*100</f>
        <v>#REF!</v>
      </c>
      <c r="K14" s="9" t="e">
        <f>+(($C14-(SUMIFS(disponibilidad[Tiempo falla 
(en Mintuos)],disponibilidad[PAGOS],"SI",disponibilidad[Mes],$B14,disponibilidad[[Tipo de afectación ]],"caÍda total",disponibilidad[Responsable Falla],"Matrix Tech",#REF!,"SI")))/$C14)*100</f>
        <v>#REF!</v>
      </c>
      <c r="L14" s="9" t="e">
        <f>+(($C14-(SUMIFS(disponibilidad[Tiempo falla 
(en Mintuos)],disponibilidad[RECAUDOS],"SI",disponibilidad[Mes],$B14,disponibilidad[[Tipo de afectación ]],"caÍda total",disponibilidad[Responsable Falla],"Matrix Tech",#REF!,"SI")))/$C14)*100</f>
        <v>#REF!</v>
      </c>
      <c r="M14" s="9" t="e">
        <f>+(($C14-(SUMIFS(disponibilidad[Tiempo falla 
(en Mintuos)],disponibilidad[RECARGAS],"SI",disponibilidad[Mes],$B14,disponibilidad[[Tipo de afectación ]],"caÍda total",disponibilidad[Responsable Falla],"Matrix Tech",#REF!,"SI")))/$C14)*100</f>
        <v>#REF!</v>
      </c>
      <c r="N14" s="9" t="e">
        <f>+(($C14-(SUMIFS(disponibilidad[Tiempo falla 
(en Mintuos)],#REF!,"SI",disponibilidad[Mes],$B14,disponibilidad[[Tipo de afectación ]],"caÍda total",disponibilidad[Responsable Falla],"Matrix Tech",#REF!,"SI")))/$C14)*100</f>
        <v>#REF!</v>
      </c>
      <c r="O14" s="13" t="e">
        <f t="shared" si="3"/>
        <v>#REF!</v>
      </c>
      <c r="P14" s="9" t="e">
        <f>+(($C14-(SUMIFS(disponibilidad[Tiempo falla 
(en Mintuos)],#REF!,"SI",disponibilidad[Mes],$B14,disponibilidad[[Tipo de afectación ]],"caÍda total",disponibilidad[Responsable Falla],"Aliados o terceros",#REF!,"SI")))/$C14)*100</f>
        <v>#REF!</v>
      </c>
      <c r="Q14" s="9" t="e">
        <f>+(($C14-(SUMIFS(disponibilidad[Tiempo falla 
(en Mintuos)],disponibilidad[PAGOS],"SI",disponibilidad[Mes],$B14,disponibilidad[[Tipo de afectación ]],"caÍda total",disponibilidad[Responsable Falla],"Aliados o terceros",#REF!,"SI")))/$C14)*100</f>
        <v>#REF!</v>
      </c>
      <c r="R14" s="9" t="e">
        <f>+(($C14-(SUMIFS(disponibilidad[Tiempo falla 
(en Mintuos)],disponibilidad[RECAUDOS],"SI",disponibilidad[Mes],$B14,disponibilidad[[Tipo de afectación ]],"caÍda total",disponibilidad[Responsable Falla],"Aliados o terceros",#REF!,"SI")))/$C14)*100</f>
        <v>#REF!</v>
      </c>
      <c r="S14" s="9" t="e">
        <f>+(($C14-(SUMIFS(disponibilidad[Tiempo falla 
(en Mintuos)],disponibilidad[RECARGAS],"SI",disponibilidad[Mes],$B14,disponibilidad[[Tipo de afectación ]],"caÍda total",disponibilidad[Responsable Falla],"Aliados o terceros",#REF!,"SI")))/$C14)*100</f>
        <v>#REF!</v>
      </c>
      <c r="T14" s="9" t="e">
        <f>+(($C14-(SUMIFS(disponibilidad[Tiempo falla 
(en Mintuos)],#REF!,"SI",disponibilidad[Mes],$B14,disponibilidad[[Tipo de afectación ]],"caÍda total",disponibilidad[Responsable Falla],"Aliados o terceros",#REF!,"SI")))/$C14)*100</f>
        <v>#REF!</v>
      </c>
      <c r="U14" s="13" t="e">
        <f t="shared" si="0"/>
        <v>#REF!</v>
      </c>
      <c r="V14" s="12" t="e">
        <f>SUMIFS(disponibilidad[Tiempo falla 
(en Mintuos)],disponibilidad[Mes],$B14,disponibilidad[[Tipo de afectación ]],"caÍda total",disponibilidad[Responsable Falla],"Matrix Tech",#REF!,"SI")</f>
        <v>#REF!</v>
      </c>
      <c r="W14" s="14" t="e">
        <f t="shared" si="4"/>
        <v>#REF!</v>
      </c>
      <c r="X14" s="12" t="e">
        <f>SUMIFS(disponibilidad[Tiempo falla 
(en Mintuos)],disponibilidad[Mes],$B14,disponibilidad[[Tipo de afectación ]],"caÍda total",disponibilidad[Responsable Falla],"Aliados o terceros",#REF!,"SI")</f>
        <v>#REF!</v>
      </c>
      <c r="Y14" s="14">
        <f t="shared" si="1"/>
        <v>0</v>
      </c>
    </row>
    <row r="15" spans="2:25">
      <c r="B15" s="10" t="s">
        <v>177</v>
      </c>
      <c r="C15" s="8">
        <f>VLOOKUP(B15,Maestro!$A$7:$D$19,4,FALSE)</f>
        <v>43200</v>
      </c>
      <c r="D15" s="9" t="e">
        <f>+(($C15-(SUMIFS(disponibilidad[Tiempo falla 
(en Mintuos)],disponibilidad[JADE],"SI",disponibilidad[Mes],$B15,disponibilidad[[Tipo de afectación ]],"caÍda total",disponibilidad[Responsable Falla],"Matrix Tech",#REF!,"SI")))/$C15)*100</f>
        <v>#REF!</v>
      </c>
      <c r="E15" s="9" t="e">
        <f>+(($C15-(SUMIFS(disponibilidad[Tiempo falla 
(en Mintuos)],disponibilidad[SIGA],"SI",disponibilidad[Mes],$B15,disponibilidad[[Tipo de afectación ]],"caÍda total",disponibilidad[Responsable Falla],"Matrix Tech",#REF!,"SI")))/$C15)*100</f>
        <v>#REF!</v>
      </c>
      <c r="F15" s="9" t="e">
        <f>+(($C15-(SUMIFS(disponibilidad[Tiempo falla 
(en Mintuos)],#REF!,"SI",disponibilidad[Mes],$B15,disponibilidad[[Tipo de afectación ]],"caÍda total",disponibilidad[Responsable Falla],"Matrix Tech",#REF!,"SI")))/$C15)*100</f>
        <v>#REF!</v>
      </c>
      <c r="G15" s="9" t="e">
        <f>+(($C15-(SUMIFS(disponibilidad[Tiempo falla 
(en Mintuos)],#REF!,"SI",disponibilidad[Mes],$B15,disponibilidad[[Tipo de afectación ]],"caÍda total",disponibilidad[Responsable Falla],"Matrix Tech",#REF!,"SI")))/$C15)*100</f>
        <v>#REF!</v>
      </c>
      <c r="H15" s="13" t="e">
        <f t="shared" si="2"/>
        <v>#REF!</v>
      </c>
      <c r="I15" s="9" t="e">
        <f>+(($C15-(SUMIFS(disponibilidad[Tiempo falla 
(en Mintuos)],disponibilidad[Apuestas - Chance],"SI",disponibilidad[Mes],$B15,disponibilidad[[Tipo de afectación ]],"caÍda total",disponibilidad[Responsable Falla],"Matrix Tech",#REF!,"SI")))/$C15)*100</f>
        <v>#REF!</v>
      </c>
      <c r="J15" s="9" t="e">
        <f>+(($C15-(SUMIFS(disponibilidad[Tiempo falla 
(en Mintuos)],#REF!,"SI",disponibilidad[Mes],$B15,disponibilidad[[Tipo de afectación ]],"caÍda total",disponibilidad[Responsable Falla],"Matrix Tech",#REF!,"SI")))/$C15)*100</f>
        <v>#REF!</v>
      </c>
      <c r="K15" s="9" t="e">
        <f>+(($C15-(SUMIFS(disponibilidad[Tiempo falla 
(en Mintuos)],disponibilidad[PAGOS],"SI",disponibilidad[Mes],$B15,disponibilidad[[Tipo de afectación ]],"caÍda total",disponibilidad[Responsable Falla],"Matrix Tech",#REF!,"SI")))/$C15)*100</f>
        <v>#REF!</v>
      </c>
      <c r="L15" s="9" t="e">
        <f>+(($C15-(SUMIFS(disponibilidad[Tiempo falla 
(en Mintuos)],disponibilidad[RECAUDOS],"SI",disponibilidad[Mes],$B15,disponibilidad[[Tipo de afectación ]],"caÍda total",disponibilidad[Responsable Falla],"Matrix Tech",#REF!,"SI")))/$C15)*100</f>
        <v>#REF!</v>
      </c>
      <c r="M15" s="9" t="e">
        <f>+(($C15-(SUMIFS(disponibilidad[Tiempo falla 
(en Mintuos)],disponibilidad[RECARGAS],"SI",disponibilidad[Mes],$B15,disponibilidad[[Tipo de afectación ]],"caÍda total",disponibilidad[Responsable Falla],"Matrix Tech",#REF!,"SI")))/$C15)*100</f>
        <v>#REF!</v>
      </c>
      <c r="N15" s="9" t="e">
        <f>+(($C15-(SUMIFS(disponibilidad[Tiempo falla 
(en Mintuos)],#REF!,"SI",disponibilidad[Mes],$B15,disponibilidad[[Tipo de afectación ]],"caÍda total",disponibilidad[Responsable Falla],"Matrix Tech",#REF!,"SI")))/$C15)*100</f>
        <v>#REF!</v>
      </c>
      <c r="O15" s="13" t="e">
        <f t="shared" si="3"/>
        <v>#REF!</v>
      </c>
      <c r="P15" s="9" t="e">
        <f>+(($C15-(SUMIFS(disponibilidad[Tiempo falla 
(en Mintuos)],#REF!,"SI",disponibilidad[Mes],$B15,disponibilidad[[Tipo de afectación ]],"caÍda total",disponibilidad[Responsable Falla],"Aliados o terceros",#REF!,"SI")))/$C15)*100</f>
        <v>#REF!</v>
      </c>
      <c r="Q15" s="9" t="e">
        <f>+(($C15-(SUMIFS(disponibilidad[Tiempo falla 
(en Mintuos)],disponibilidad[PAGOS],"SI",disponibilidad[Mes],$B15,disponibilidad[[Tipo de afectación ]],"caÍda total",disponibilidad[Responsable Falla],"Aliados o terceros",#REF!,"SI")))/$C15)*100</f>
        <v>#REF!</v>
      </c>
      <c r="R15" s="9" t="e">
        <f>+(($C15-(SUMIFS(disponibilidad[Tiempo falla 
(en Mintuos)],disponibilidad[RECAUDOS],"SI",disponibilidad[Mes],$B15,disponibilidad[[Tipo de afectación ]],"caÍda total",disponibilidad[Responsable Falla],"Aliados o terceros",#REF!,"SI")))/$C15)*100</f>
        <v>#REF!</v>
      </c>
      <c r="S15" s="9" t="e">
        <f>+(($C15-(SUMIFS(disponibilidad[Tiempo falla 
(en Mintuos)],disponibilidad[RECARGAS],"SI",disponibilidad[Mes],$B15,disponibilidad[[Tipo de afectación ]],"caÍda total",disponibilidad[Responsable Falla],"Aliados o terceros",#REF!,"SI")))/$C15)*100</f>
        <v>#REF!</v>
      </c>
      <c r="T15" s="9" t="e">
        <f>+(($C15-(SUMIFS(disponibilidad[Tiempo falla 
(en Mintuos)],#REF!,"SI",disponibilidad[Mes],$B15,disponibilidad[[Tipo de afectación ]],"caÍda total",disponibilidad[Responsable Falla],"Aliados o terceros",#REF!,"SI")))/$C15)*100</f>
        <v>#REF!</v>
      </c>
      <c r="U15" s="13" t="e">
        <f t="shared" si="0"/>
        <v>#REF!</v>
      </c>
      <c r="V15" s="12" t="e">
        <f>SUMIFS(disponibilidad[Tiempo falla 
(en Mintuos)],disponibilidad[Mes],$B15,disponibilidad[[Tipo de afectación ]],"caÍda total",disponibilidad[Responsable Falla],"Matrix Tech",#REF!,"SI")</f>
        <v>#REF!</v>
      </c>
      <c r="W15" s="14" t="e">
        <f t="shared" si="4"/>
        <v>#REF!</v>
      </c>
      <c r="X15" s="12" t="e">
        <f>SUMIFS(disponibilidad[Tiempo falla 
(en Mintuos)],disponibilidad[Mes],$B15,disponibilidad[[Tipo de afectación ]],"caÍda total",disponibilidad[Responsable Falla],"Aliados o terceros",#REF!,"SI")</f>
        <v>#REF!</v>
      </c>
      <c r="Y15" s="14">
        <f t="shared" si="1"/>
        <v>0</v>
      </c>
    </row>
    <row r="16" spans="2:25">
      <c r="B16" s="10" t="s">
        <v>178</v>
      </c>
      <c r="C16" s="8">
        <f>VLOOKUP(B16,Maestro!$A$7:$D$19,4,FALSE)</f>
        <v>44640</v>
      </c>
      <c r="D16" s="9" t="e">
        <f>+(($C16-(SUMIFS(disponibilidad[Tiempo falla 
(en Mintuos)],disponibilidad[JADE],"SI",disponibilidad[Mes],$B16,disponibilidad[[Tipo de afectación ]],"caÍda total",disponibilidad[Responsable Falla],"Matrix Tech",#REF!,"SI")))/$C16)*100</f>
        <v>#REF!</v>
      </c>
      <c r="E16" s="9" t="e">
        <f>+(($C16-(SUMIFS(disponibilidad[Tiempo falla 
(en Mintuos)],disponibilidad[SIGA],"SI",disponibilidad[Mes],$B16,disponibilidad[[Tipo de afectación ]],"caÍda total",disponibilidad[Responsable Falla],"Matrix Tech",#REF!,"SI")))/$C16)*100</f>
        <v>#REF!</v>
      </c>
      <c r="F16" s="9" t="e">
        <f>+(($C16-(SUMIFS(disponibilidad[Tiempo falla 
(en Mintuos)],#REF!,"SI",disponibilidad[Mes],$B16,disponibilidad[[Tipo de afectación ]],"caÍda total",disponibilidad[Responsable Falla],"Matrix Tech",#REF!,"SI")))/$C16)*100</f>
        <v>#REF!</v>
      </c>
      <c r="G16" s="9" t="e">
        <f>+(($C16-(SUMIFS(disponibilidad[Tiempo falla 
(en Mintuos)],#REF!,"SI",disponibilidad[Mes],$B16,disponibilidad[[Tipo de afectación ]],"caÍda total",disponibilidad[Responsable Falla],"Matrix Tech",#REF!,"SI")))/$C16)*100</f>
        <v>#REF!</v>
      </c>
      <c r="H16" s="13" t="e">
        <f t="shared" si="2"/>
        <v>#REF!</v>
      </c>
      <c r="I16" s="9" t="e">
        <f>+(($C16-(SUMIFS(disponibilidad[Tiempo falla 
(en Mintuos)],disponibilidad[Apuestas - Chance],"SI",disponibilidad[Mes],$B16,disponibilidad[[Tipo de afectación ]],"caÍda total",disponibilidad[Responsable Falla],"Matrix Tech",#REF!,"SI")))/$C16)*100</f>
        <v>#REF!</v>
      </c>
      <c r="J16" s="9" t="e">
        <f>+(($C16-(SUMIFS(disponibilidad[Tiempo falla 
(en Mintuos)],#REF!,"SI",disponibilidad[Mes],$B16,disponibilidad[[Tipo de afectación ]],"caÍda total",disponibilidad[Responsable Falla],"Matrix Tech",#REF!,"SI")))/$C16)*100</f>
        <v>#REF!</v>
      </c>
      <c r="K16" s="9" t="e">
        <f>+(($C16-(SUMIFS(disponibilidad[Tiempo falla 
(en Mintuos)],disponibilidad[PAGOS],"SI",disponibilidad[Mes],$B16,disponibilidad[[Tipo de afectación ]],"caÍda total",disponibilidad[Responsable Falla],"Matrix Tech",#REF!,"SI")))/$C16)*100</f>
        <v>#REF!</v>
      </c>
      <c r="L16" s="9" t="e">
        <f>+(($C16-(SUMIFS(disponibilidad[Tiempo falla 
(en Mintuos)],disponibilidad[RECAUDOS],"SI",disponibilidad[Mes],$B16,disponibilidad[[Tipo de afectación ]],"caÍda total",disponibilidad[Responsable Falla],"Matrix Tech",#REF!,"SI")))/$C16)*100</f>
        <v>#REF!</v>
      </c>
      <c r="M16" s="9" t="e">
        <f>+(($C16-(SUMIFS(disponibilidad[Tiempo falla 
(en Mintuos)],disponibilidad[RECARGAS],"SI",disponibilidad[Mes],$B16,disponibilidad[[Tipo de afectación ]],"caÍda total",disponibilidad[Responsable Falla],"Matrix Tech",#REF!,"SI")))/$C16)*100</f>
        <v>#REF!</v>
      </c>
      <c r="N16" s="9" t="e">
        <f>+(($C16-(SUMIFS(disponibilidad[Tiempo falla 
(en Mintuos)],#REF!,"SI",disponibilidad[Mes],$B16,disponibilidad[[Tipo de afectación ]],"caÍda total",disponibilidad[Responsable Falla],"Matrix Tech",#REF!,"SI")))/$C16)*100</f>
        <v>#REF!</v>
      </c>
      <c r="O16" s="13" t="e">
        <f t="shared" si="3"/>
        <v>#REF!</v>
      </c>
      <c r="P16" s="9" t="e">
        <f>+(($C16-(SUMIFS(disponibilidad[Tiempo falla 
(en Mintuos)],#REF!,"SI",disponibilidad[Mes],$B16,disponibilidad[[Tipo de afectación ]],"caÍda total",disponibilidad[Responsable Falla],"Aliados o terceros",#REF!,"SI")))/$C16)*100</f>
        <v>#REF!</v>
      </c>
      <c r="Q16" s="9" t="e">
        <f>+(($C16-(SUMIFS(disponibilidad[Tiempo falla 
(en Mintuos)],disponibilidad[PAGOS],"SI",disponibilidad[Mes],$B16,disponibilidad[[Tipo de afectación ]],"caÍda total",disponibilidad[Responsable Falla],"Aliados o terceros",#REF!,"SI")))/$C16)*100</f>
        <v>#REF!</v>
      </c>
      <c r="R16" s="9" t="e">
        <f>+(($C16-(SUMIFS(disponibilidad[Tiempo falla 
(en Mintuos)],disponibilidad[RECAUDOS],"SI",disponibilidad[Mes],$B16,disponibilidad[[Tipo de afectación ]],"caÍda total",disponibilidad[Responsable Falla],"Aliados o terceros",#REF!,"SI")))/$C16)*100</f>
        <v>#REF!</v>
      </c>
      <c r="S16" s="9" t="e">
        <f>+(($C16-(SUMIFS(disponibilidad[Tiempo falla 
(en Mintuos)],disponibilidad[RECARGAS],"SI",disponibilidad[Mes],$B16,disponibilidad[[Tipo de afectación ]],"caÍda total",disponibilidad[Responsable Falla],"Aliados o terceros",#REF!,"SI")))/$C16)*100</f>
        <v>#REF!</v>
      </c>
      <c r="T16" s="9" t="e">
        <f>+(($C16-(SUMIFS(disponibilidad[Tiempo falla 
(en Mintuos)],#REF!,"SI",disponibilidad[Mes],$B16,disponibilidad[[Tipo de afectación ]],"caÍda total",disponibilidad[Responsable Falla],"Aliados o terceros",#REF!,"SI")))/$C16)*100</f>
        <v>#REF!</v>
      </c>
      <c r="U16" s="13" t="e">
        <f t="shared" si="0"/>
        <v>#REF!</v>
      </c>
      <c r="V16" s="12" t="e">
        <f>SUMIFS(disponibilidad[Tiempo falla 
(en Mintuos)],disponibilidad[Mes],$B16,disponibilidad[[Tipo de afectación ]],"caÍda total",disponibilidad[Responsable Falla],"Matrix Tech",#REF!,"SI")</f>
        <v>#REF!</v>
      </c>
      <c r="W16" s="14" t="e">
        <f t="shared" si="4"/>
        <v>#REF!</v>
      </c>
      <c r="X16" s="12" t="e">
        <f>SUMIFS(disponibilidad[Tiempo falla 
(en Mintuos)],disponibilidad[Mes],$B16,disponibilidad[[Tipo de afectación ]],"caÍda total",disponibilidad[Responsable Falla],"Aliados o terceros",#REF!,"SI")</f>
        <v>#REF!</v>
      </c>
      <c r="Y16" s="14">
        <f t="shared" si="1"/>
        <v>0</v>
      </c>
    </row>
  </sheetData>
  <sheetProtection algorithmName="SHA-512" hashValue="cpTJh2XsoN3ySJdJufPmu579pc4h2aBbQDpQ4wCnC1tZzrx4daADDSlcfksFDm+fxfk+bSTx7bZYxUYNF8Vu/Q==" saltValue="xKdpDlXJDTPi2uyY+DUj+A==" spinCount="100000" sheet="1" objects="1" scenarios="1"/>
  <mergeCells count="14">
    <mergeCell ref="P2:T2"/>
    <mergeCell ref="U2:U4"/>
    <mergeCell ref="V2:W2"/>
    <mergeCell ref="X2:Y2"/>
    <mergeCell ref="V3:V4"/>
    <mergeCell ref="W3:W4"/>
    <mergeCell ref="X3:X4"/>
    <mergeCell ref="Y3:Y4"/>
    <mergeCell ref="O2:O3"/>
    <mergeCell ref="B2:B4"/>
    <mergeCell ref="C2:C3"/>
    <mergeCell ref="D2:G2"/>
    <mergeCell ref="H2:H4"/>
    <mergeCell ref="I2:N2"/>
  </mergeCells>
  <conditionalFormatting sqref="H5:H16">
    <cfRule type="cellIs" dxfId="33" priority="5" operator="lessThan">
      <formula>99.7</formula>
    </cfRule>
    <cfRule type="cellIs" dxfId="32" priority="6" operator="greaterThanOrEqual">
      <formula>99.7</formula>
    </cfRule>
  </conditionalFormatting>
  <conditionalFormatting sqref="O5:O16">
    <cfRule type="cellIs" dxfId="31" priority="3" operator="lessThan">
      <formula>99.7</formula>
    </cfRule>
    <cfRule type="cellIs" dxfId="30" priority="4" operator="greaterThanOrEqual">
      <formula>99.7</formula>
    </cfRule>
  </conditionalFormatting>
  <conditionalFormatting sqref="U5:U16">
    <cfRule type="cellIs" dxfId="29" priority="1" operator="lessThan">
      <formula>99.7</formula>
    </cfRule>
    <cfRule type="cellIs" dxfId="28" priority="2" operator="greaterThanOrEqual">
      <formula>99.7</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0E546-7E5D-498E-84D3-D5D9DF5D41D3}">
  <sheetPr codeName="Hoja14"/>
  <dimension ref="B2:Y21"/>
  <sheetViews>
    <sheetView showGridLines="0" zoomScaleNormal="100" workbookViewId="0">
      <selection activeCell="I20" sqref="I20"/>
    </sheetView>
  </sheetViews>
  <sheetFormatPr defaultColWidth="11.42578125" defaultRowHeight="15"/>
  <cols>
    <col min="2" max="2" width="11.42578125" bestFit="1" customWidth="1"/>
    <col min="3" max="3" width="5.5703125" customWidth="1"/>
    <col min="4" max="4" width="8.28515625" style="5" customWidth="1"/>
    <col min="5" max="5" width="10.5703125" style="6" bestFit="1" customWidth="1"/>
    <col min="6" max="6" width="10" style="6" customWidth="1"/>
    <col min="7" max="11" width="10.5703125" style="6" bestFit="1" customWidth="1"/>
    <col min="12" max="12" width="9" style="6" customWidth="1"/>
    <col min="13" max="17" width="10.5703125" bestFit="1" customWidth="1"/>
    <col min="18" max="18" width="10.42578125" customWidth="1"/>
    <col min="19" max="19" width="9.85546875" bestFit="1" customWidth="1"/>
    <col min="20" max="20" width="7.5703125" customWidth="1"/>
    <col min="21" max="21" width="9.85546875" bestFit="1" customWidth="1"/>
    <col min="22" max="22" width="6.85546875" customWidth="1"/>
    <col min="23" max="23" width="9.85546875" bestFit="1" customWidth="1"/>
    <col min="24" max="24" width="8.85546875" customWidth="1"/>
  </cols>
  <sheetData>
    <row r="2" spans="2:25" ht="31.5" customHeight="1">
      <c r="B2" s="344" t="s">
        <v>9</v>
      </c>
      <c r="C2" s="344" t="s">
        <v>464</v>
      </c>
      <c r="D2" s="344" t="s">
        <v>465</v>
      </c>
      <c r="E2" s="383" t="s">
        <v>466</v>
      </c>
      <c r="F2" s="384"/>
      <c r="G2" s="387" t="s">
        <v>467</v>
      </c>
      <c r="H2" s="387"/>
      <c r="I2" s="387"/>
      <c r="J2" s="387"/>
      <c r="K2" s="387"/>
      <c r="L2" s="382" t="s">
        <v>468</v>
      </c>
      <c r="M2" s="388" t="s">
        <v>469</v>
      </c>
      <c r="N2" s="388"/>
      <c r="O2" s="388"/>
      <c r="P2" s="388"/>
      <c r="Q2" s="388"/>
      <c r="R2" s="389" t="s">
        <v>470</v>
      </c>
      <c r="S2" s="390" t="s">
        <v>42</v>
      </c>
      <c r="T2" s="390"/>
      <c r="U2" s="391" t="s">
        <v>164</v>
      </c>
      <c r="V2" s="391"/>
      <c r="W2" s="392" t="s">
        <v>471</v>
      </c>
      <c r="X2" s="392"/>
    </row>
    <row r="3" spans="2:25" ht="80.25" customHeight="1">
      <c r="B3" s="346"/>
      <c r="C3" s="346"/>
      <c r="D3" s="346"/>
      <c r="E3" s="385"/>
      <c r="F3" s="386"/>
      <c r="G3" s="74" t="s">
        <v>28</v>
      </c>
      <c r="H3" s="74" t="s">
        <v>360</v>
      </c>
      <c r="I3" s="74" t="s">
        <v>30</v>
      </c>
      <c r="J3" s="74" t="s">
        <v>31</v>
      </c>
      <c r="K3" s="74" t="s">
        <v>361</v>
      </c>
      <c r="L3" s="382"/>
      <c r="M3" s="75" t="s">
        <v>28</v>
      </c>
      <c r="N3" s="75" t="s">
        <v>360</v>
      </c>
      <c r="O3" s="75" t="s">
        <v>30</v>
      </c>
      <c r="P3" s="75" t="s">
        <v>31</v>
      </c>
      <c r="Q3" s="75" t="s">
        <v>361</v>
      </c>
      <c r="R3" s="389"/>
      <c r="S3" s="11" t="s">
        <v>165</v>
      </c>
      <c r="T3" s="11" t="s">
        <v>166</v>
      </c>
      <c r="U3" s="11" t="s">
        <v>165</v>
      </c>
      <c r="V3" s="11" t="s">
        <v>166</v>
      </c>
      <c r="W3" s="76" t="s">
        <v>165</v>
      </c>
      <c r="X3" s="76" t="s">
        <v>166</v>
      </c>
    </row>
    <row r="4" spans="2:25">
      <c r="B4" s="10" t="s">
        <v>37</v>
      </c>
      <c r="C4" s="77">
        <v>0.95</v>
      </c>
      <c r="D4" s="8">
        <f>VLOOKUP(B4,Maestro!$A$7:$D$19,4,FALSE)</f>
        <v>44640</v>
      </c>
      <c r="E4" s="9" t="e">
        <f>+(($D4-(SUMIFS(disponibilidad[Tiempo falla 
(en Mintuos)],#REF!,"SI",disponibilidad[Mes],$B4,disponibilidad[[Tipo de afectación ]],"caÍda total",disponibilidad[Responsable Falla],"Matrix Tech"))))</f>
        <v>#REF!</v>
      </c>
      <c r="F4" s="78" t="e">
        <f>+E4/D4</f>
        <v>#REF!</v>
      </c>
      <c r="G4" s="9" t="e">
        <f>+(($D4-(SUMIFS(disponibilidad[Tiempo falla 
(en Mintuos)],#REF!,"SI",disponibilidad[Mes],$B4,disponibilidad[[Tipo de afectación ]],"caÍda total",disponibilidad[Responsable Falla],"Matrix Tech",disponibilidad[Apuestas - Chance],"SI"))))</f>
        <v>#REF!</v>
      </c>
      <c r="H4" s="9" t="e">
        <f>+(($D4-(SUMIFS(disponibilidad[Tiempo falla 
(en Mintuos)],#REF!,"SI",disponibilidad[Mes],$B4,disponibilidad[[Tipo de afectación ]],"caÍda total",disponibilidad[Responsable Falla],"Matrix Tech",#REF!,"SI"))))</f>
        <v>#REF!</v>
      </c>
      <c r="I4" s="9" t="e">
        <f>+(($D4-(SUMIFS(disponibilidad[Tiempo falla 
(en Mintuos)],#REF!,"SI",disponibilidad[Mes],$B4,disponibilidad[[Tipo de afectación ]],"caÍda total",disponibilidad[Responsable Falla],"Matrix Tech",disponibilidad[RECAUDOS],"SI"))))</f>
        <v>#REF!</v>
      </c>
      <c r="J4" s="9" t="e">
        <f>+(($D4-(SUMIFS(disponibilidad[Tiempo falla 
(en Mintuos)],#REF!,"SI",disponibilidad[Mes],$B4,disponibilidad[[Tipo de afectación ]],"caÍda total",disponibilidad[Responsable Falla],"Matrix Tech",disponibilidad[RECARGAS],"SI"))))</f>
        <v>#REF!</v>
      </c>
      <c r="K4" s="9" t="e">
        <f>+(($D4-(SUMIFS(disponibilidad[Tiempo falla 
(en Mintuos)],#REF!,"SI",disponibilidad[Mes],$B4,disponibilidad[[Tipo de afectación ]],"caÍda total",disponibilidad[Responsable Falla],"Matrix Tech",#REF!,"SI"))))</f>
        <v>#REF!</v>
      </c>
      <c r="L4" s="78" t="e">
        <f>((SUM(G4:K4)))/(D4*5)</f>
        <v>#REF!</v>
      </c>
      <c r="M4" s="9" t="e">
        <f>+(($D4-(SUMIFS(disponibilidad[Tiempo falla 
(en Mintuos)],#REF!,"SI",disponibilidad[Mes],$B4,disponibilidad[[Tipo de afectación ]],"caÍda total",disponibilidad[Responsable Falla],"Aliados o terceros",disponibilidad[Apuestas - Chance],"SI"))))</f>
        <v>#REF!</v>
      </c>
      <c r="N4" s="9" t="e">
        <f>+(($D4-(SUMIFS(disponibilidad[Tiempo falla 
(en Mintuos)],#REF!,"SI",disponibilidad[Mes],$B4,disponibilidad[[Tipo de afectación ]],"caÍda total",disponibilidad[Responsable Falla],"Aliados o terceros",#REF!,"SI"))))</f>
        <v>#REF!</v>
      </c>
      <c r="O4" s="9" t="e">
        <f>+(($D4-(SUMIFS(disponibilidad[Tiempo falla 
(en Mintuos)],#REF!,"SI",disponibilidad[Mes],$B4,disponibilidad[[Tipo de afectación ]],"caÍda total",disponibilidad[Responsable Falla],"Aliados o terceros",disponibilidad[RECAUDOS],"SI"))))</f>
        <v>#REF!</v>
      </c>
      <c r="P4" s="9" t="e">
        <f>+(($D4-(SUMIFS(disponibilidad[Tiempo falla 
(en Mintuos)],#REF!,"SI",disponibilidad[Mes],$B4,disponibilidad[[Tipo de afectación ]],"caÍda total",disponibilidad[Responsable Falla],"Aliados o terceros",disponibilidad[RECARGAS],"SI"))))</f>
        <v>#REF!</v>
      </c>
      <c r="Q4" s="9" t="e">
        <f>+(($D4-(SUMIFS(disponibilidad[Tiempo falla 
(en Mintuos)],#REF!,"SI",disponibilidad[Mes],$B4,disponibilidad[[Tipo de afectación ]],"caÍda total",disponibilidad[Responsable Falla],"Aliados o terceros",#REF!,"SI"))))</f>
        <v>#REF!</v>
      </c>
      <c r="R4" s="78" t="e">
        <f>((SUM(M4:Q4)))/(J4*5)</f>
        <v>#REF!</v>
      </c>
      <c r="S4" s="12" t="e">
        <f>SUMIFS(disponibilidad[Tiempo falla 
(en Mintuos)],disponibilidad[Mes],$B4,disponibilidad[[Tipo de afectación ]],"CaÍda total",#REF!,"SI",disponibilidad[Responsable Falla],"Matrix Tech")</f>
        <v>#REF!</v>
      </c>
      <c r="T4" s="14" t="e">
        <f>+S4/(D4*5)</f>
        <v>#REF!</v>
      </c>
      <c r="U4" s="12" t="e">
        <f>SUMIFS(disponibilidad[Tiempo falla 
(en Mintuos)],disponibilidad[Mes],$B4,disponibilidad[[Tipo de afectación ]],"CaÍda total",#REF!,"SI",disponibilidad[Responsable Falla],"Aliados o terceros")</f>
        <v>#REF!</v>
      </c>
      <c r="V4" s="14" t="e">
        <f>+U4/(D4*5)</f>
        <v>#REF!</v>
      </c>
      <c r="W4" s="12" t="e">
        <f>+U4+S4</f>
        <v>#REF!</v>
      </c>
      <c r="X4" s="78" t="e">
        <f>(G4+H4+I4+J4+K4+M4+N4+O4+P4+Q4)/(D4*10)</f>
        <v>#REF!</v>
      </c>
      <c r="Y4" s="79"/>
    </row>
    <row r="5" spans="2:25">
      <c r="B5" s="10" t="s">
        <v>91</v>
      </c>
      <c r="C5" s="77">
        <v>0.95</v>
      </c>
      <c r="D5" s="8">
        <f>VLOOKUP(B5,Maestro!$A$7:$D$19,4,FALSE)</f>
        <v>41760</v>
      </c>
      <c r="E5" s="9" t="e">
        <f>+(($D5-(SUMIFS(disponibilidad[Tiempo falla 
(en Mintuos)],#REF!,"SI",disponibilidad[Mes],$B5,disponibilidad[[Tipo de afectación ]],"caÍda total",disponibilidad[Responsable Falla],"Matrix Tech"))))</f>
        <v>#REF!</v>
      </c>
      <c r="F5" s="78" t="e">
        <f t="shared" ref="F5:F15" si="0">+E5/D5</f>
        <v>#REF!</v>
      </c>
      <c r="G5" s="9" t="e">
        <f>+(($D5-(SUMIFS(disponibilidad[Tiempo falla 
(en Mintuos)],#REF!,"SI",disponibilidad[Mes],$B5,disponibilidad[[Tipo de afectación ]],"caÍda total",disponibilidad[Responsable Falla],"Matrix Tech",disponibilidad[Apuestas - Chance],"SI"))))</f>
        <v>#REF!</v>
      </c>
      <c r="H5" s="9" t="e">
        <f>+(($D5-(SUMIFS(disponibilidad[Tiempo falla 
(en Mintuos)],#REF!,"SI",disponibilidad[Mes],$B5,disponibilidad[[Tipo de afectación ]],"caÍda total",disponibilidad[Responsable Falla],"Matrix Tech",#REF!,"SI"))))</f>
        <v>#REF!</v>
      </c>
      <c r="I5" s="9" t="e">
        <f>+(($D5-(SUMIFS(disponibilidad[Tiempo falla 
(en Mintuos)],#REF!,"SI",disponibilidad[Mes],$B5,disponibilidad[[Tipo de afectación ]],"caÍda total",disponibilidad[Responsable Falla],"Matrix Tech",disponibilidad[RECAUDOS],"SI"))))</f>
        <v>#REF!</v>
      </c>
      <c r="J5" s="9" t="e">
        <f>+(($D5-(SUMIFS(disponibilidad[Tiempo falla 
(en Mintuos)],#REF!,"SI",disponibilidad[Mes],$B5,disponibilidad[[Tipo de afectación ]],"caÍda total",disponibilidad[Responsable Falla],"Matrix Tech",disponibilidad[RECARGAS],"SI"))))</f>
        <v>#REF!</v>
      </c>
      <c r="K5" s="9" t="e">
        <f>+(($D5-(SUMIFS(disponibilidad[Tiempo falla 
(en Mintuos)],#REF!,"SI",disponibilidad[Mes],$B5,disponibilidad[[Tipo de afectación ]],"caÍda total",disponibilidad[Responsable Falla],"Matrix Tech",#REF!,"SI"))))</f>
        <v>#REF!</v>
      </c>
      <c r="L5" s="78" t="e">
        <f>((SUM(G5:K5)))/(D5*5)</f>
        <v>#REF!</v>
      </c>
      <c r="M5" s="9" t="e">
        <f>+(($D5-(SUMIFS(disponibilidad[Tiempo falla 
(en Mintuos)],#REF!,"SI",disponibilidad[Mes],$B5,disponibilidad[[Tipo de afectación ]],"caÍda total",disponibilidad[Responsable Falla],"Aliados o terceros",disponibilidad[Apuestas - Chance],"SI"))))</f>
        <v>#REF!</v>
      </c>
      <c r="N5" s="9" t="e">
        <f>+(($D5-(SUMIFS(disponibilidad[Tiempo falla 
(en Mintuos)],#REF!,"SI",disponibilidad[Mes],$B5,disponibilidad[[Tipo de afectación ]],"caÍda total",disponibilidad[Responsable Falla],"Aliados o terceros",#REF!,"SI"))))</f>
        <v>#REF!</v>
      </c>
      <c r="O5" s="9" t="e">
        <f>+(($D5-(SUMIFS(disponibilidad[Tiempo falla 
(en Mintuos)],#REF!,"SI",disponibilidad[Mes],$B5,disponibilidad[[Tipo de afectación ]],"caÍda total",disponibilidad[Responsable Falla],"Aliados o terceros",disponibilidad[RECAUDOS],"SI"))))</f>
        <v>#REF!</v>
      </c>
      <c r="P5" s="9" t="e">
        <f>+(($D5-(SUMIFS(disponibilidad[Tiempo falla 
(en Mintuos)],#REF!,"SI",disponibilidad[Mes],$B5,disponibilidad[[Tipo de afectación ]],"caÍda total",disponibilidad[Responsable Falla],"Aliados o terceros",disponibilidad[RECARGAS],"SI"))))</f>
        <v>#REF!</v>
      </c>
      <c r="Q5" s="9" t="e">
        <f>+(($D5-(SUMIFS(disponibilidad[Tiempo falla 
(en Mintuos)],#REF!,"SI",disponibilidad[Mes],$B5,disponibilidad[[Tipo de afectación ]],"caÍda total",disponibilidad[Responsable Falla],"Aliados o terceros",#REF!,"SI"))))</f>
        <v>#REF!</v>
      </c>
      <c r="R5" s="78" t="e">
        <f>((SUM(M5:Q5)))/(J5*5)</f>
        <v>#REF!</v>
      </c>
      <c r="S5" s="12" t="e">
        <f>SUMIFS(disponibilidad[Tiempo falla 
(en Mintuos)],disponibilidad[Mes],$B5,disponibilidad[[Tipo de afectación ]],"CaÍda total",#REF!,"SI",disponibilidad[Responsable Falla],"Matrix Tech")</f>
        <v>#REF!</v>
      </c>
      <c r="T5" s="14" t="e">
        <f>+S5/(D5*5)</f>
        <v>#REF!</v>
      </c>
      <c r="U5" s="12" t="e">
        <f>SUMIFS(disponibilidad[Tiempo falla 
(en Mintuos)],disponibilidad[Mes],$B5,disponibilidad[[Tipo de afectación ]],"CaÍda total",#REF!,"SI",disponibilidad[Responsable Falla],"Aliados o terceros")</f>
        <v>#REF!</v>
      </c>
      <c r="V5" s="14" t="e">
        <f>+U5/(D5*5)</f>
        <v>#REF!</v>
      </c>
      <c r="W5" s="12" t="e">
        <f>+U5+S5</f>
        <v>#REF!</v>
      </c>
      <c r="X5" s="78" t="e">
        <f>(G5+H5+I5+J5+K5+M5+N5+O5+P5+Q5)/(D5*10)</f>
        <v>#REF!</v>
      </c>
      <c r="Y5" s="79"/>
    </row>
    <row r="6" spans="2:25">
      <c r="B6" s="10" t="s">
        <v>148</v>
      </c>
      <c r="C6" s="77">
        <v>0.95</v>
      </c>
      <c r="D6" s="8">
        <f>VLOOKUP(B6,Maestro!$A$7:$D$19,4,FALSE)</f>
        <v>44640</v>
      </c>
      <c r="E6" s="9" t="e">
        <f>+(($D6-(SUMIFS(disponibilidad[Tiempo falla 
(en Mintuos)],#REF!,"SI",disponibilidad[Mes],$B6,disponibilidad[[Tipo de afectación ]],"caÍda total",disponibilidad[Responsable Falla],"Matrix Tech"))))</f>
        <v>#REF!</v>
      </c>
      <c r="F6" s="78" t="e">
        <f t="shared" si="0"/>
        <v>#REF!</v>
      </c>
      <c r="G6" s="9" t="e">
        <f>+(($D6-(SUMIFS(disponibilidad[Tiempo falla 
(en Mintuos)],#REF!,"SI",disponibilidad[Mes],$B6,disponibilidad[[Tipo de afectación ]],"caÍda total",disponibilidad[Responsable Falla],"Matrix Tech",disponibilidad[Apuestas - Chance],"SI"))))</f>
        <v>#REF!</v>
      </c>
      <c r="H6" s="9" t="e">
        <f>+(($D6-(SUMIFS(disponibilidad[Tiempo falla 
(en Mintuos)],#REF!,"SI",disponibilidad[Mes],$B6,disponibilidad[[Tipo de afectación ]],"caÍda total",disponibilidad[Responsable Falla],"Matrix Tech",#REF!,"SI"))))</f>
        <v>#REF!</v>
      </c>
      <c r="I6" s="9" t="e">
        <f>+(($D6-(SUMIFS(disponibilidad[Tiempo falla 
(en Mintuos)],#REF!,"SI",disponibilidad[Mes],$B6,disponibilidad[[Tipo de afectación ]],"caÍda total",disponibilidad[Responsable Falla],"Matrix Tech",disponibilidad[RECAUDOS],"SI"))))</f>
        <v>#REF!</v>
      </c>
      <c r="J6" s="9" t="e">
        <f>+(($D6-(SUMIFS(disponibilidad[Tiempo falla 
(en Mintuos)],#REF!,"SI",disponibilidad[Mes],$B6,disponibilidad[[Tipo de afectación ]],"caÍda total",disponibilidad[Responsable Falla],"Matrix Tech",disponibilidad[RECARGAS],"SI"))))</f>
        <v>#REF!</v>
      </c>
      <c r="K6" s="9" t="e">
        <f>+(($D6-(SUMIFS(disponibilidad[Tiempo falla 
(en Mintuos)],#REF!,"SI",disponibilidad[Mes],$B6,disponibilidad[[Tipo de afectación ]],"caÍda total",disponibilidad[Responsable Falla],"Matrix Tech",#REF!,"SI"))))</f>
        <v>#REF!</v>
      </c>
      <c r="L6" s="78" t="e">
        <f>((SUM(G6:K6)))/(D6*5)</f>
        <v>#REF!</v>
      </c>
      <c r="M6" s="9" t="e">
        <f>+(($D6-(SUMIFS(disponibilidad[Tiempo falla 
(en Mintuos)],#REF!,"SI",disponibilidad[Mes],$B6,disponibilidad[[Tipo de afectación ]],"caÍda total",disponibilidad[Responsable Falla],"Aliados o terceros",disponibilidad[Apuestas - Chance],"SI"))))</f>
        <v>#REF!</v>
      </c>
      <c r="N6" s="9" t="e">
        <f>+(($D6-(SUMIFS(disponibilidad[Tiempo falla 
(en Mintuos)],#REF!,"SI",disponibilidad[Mes],$B6,disponibilidad[[Tipo de afectación ]],"caÍda total",disponibilidad[Responsable Falla],"Aliados o terceros",#REF!,"SI"))))</f>
        <v>#REF!</v>
      </c>
      <c r="O6" s="9" t="e">
        <f>+(($D6-(SUMIFS(disponibilidad[Tiempo falla 
(en Mintuos)],#REF!,"SI",disponibilidad[Mes],$B6,disponibilidad[[Tipo de afectación ]],"caÍda total",disponibilidad[Responsable Falla],"Aliados o terceros",disponibilidad[RECAUDOS],"SI"))))</f>
        <v>#REF!</v>
      </c>
      <c r="P6" s="9" t="e">
        <f>+(($D6-(SUMIFS(disponibilidad[Tiempo falla 
(en Mintuos)],#REF!,"SI",disponibilidad[Mes],$B6,disponibilidad[[Tipo de afectación ]],"caÍda total",disponibilidad[Responsable Falla],"Aliados o terceros",disponibilidad[RECARGAS],"SI"))))</f>
        <v>#REF!</v>
      </c>
      <c r="Q6" s="9" t="e">
        <f>+(($D6-(SUMIFS(disponibilidad[Tiempo falla 
(en Mintuos)],#REF!,"SI",disponibilidad[Mes],$B6,disponibilidad[[Tipo de afectación ]],"caÍda total",disponibilidad[Responsable Falla],"Aliados o terceros",#REF!,"SI"))))</f>
        <v>#REF!</v>
      </c>
      <c r="R6" s="78" t="e">
        <f>((SUM(M6:Q6)))/(J6*5)</f>
        <v>#REF!</v>
      </c>
      <c r="S6" s="12" t="e">
        <f>SUMIFS(disponibilidad[Tiempo falla 
(en Mintuos)],disponibilidad[Mes],$B6,disponibilidad[[Tipo de afectación ]],"CaÍda total",#REF!,"SI",disponibilidad[Responsable Falla],"Matrix Tech")</f>
        <v>#REF!</v>
      </c>
      <c r="T6" s="14" t="e">
        <f>+S6/(D6*5)</f>
        <v>#REF!</v>
      </c>
      <c r="U6" s="12" t="e">
        <f>SUMIFS(disponibilidad[Tiempo falla 
(en Mintuos)],disponibilidad[Mes],$B6,disponibilidad[[Tipo de afectación ]],"CaÍda total",#REF!,"SI",disponibilidad[Responsable Falla],"Aliados o terceros")</f>
        <v>#REF!</v>
      </c>
      <c r="V6" s="14" t="e">
        <f>+U6/(D6*5)</f>
        <v>#REF!</v>
      </c>
      <c r="W6" s="12" t="e">
        <f>+U6+S6</f>
        <v>#REF!</v>
      </c>
      <c r="X6" s="78" t="e">
        <f>(G6+H6+I6+J6+K6+M6+N6+O6+P6+Q6)/(D6*10)</f>
        <v>#REF!</v>
      </c>
      <c r="Y6" s="79"/>
    </row>
    <row r="7" spans="2:25">
      <c r="B7" s="10" t="s">
        <v>170</v>
      </c>
      <c r="C7" s="77">
        <v>0.95</v>
      </c>
      <c r="D7" s="8">
        <f>VLOOKUP(B7,Maestro!$A$7:$D$19,4,FALSE)</f>
        <v>43200</v>
      </c>
      <c r="E7" s="9" t="e">
        <f>+(($D7-(SUMIFS(disponibilidad[Tiempo falla 
(en Mintuos)],#REF!,"SI",disponibilidad[Mes],$B7,disponibilidad[[Tipo de afectación ]],"caÍda total",disponibilidad[Responsable Falla],"Matrix Tech"))))</f>
        <v>#REF!</v>
      </c>
      <c r="F7" s="78" t="e">
        <f t="shared" si="0"/>
        <v>#REF!</v>
      </c>
      <c r="G7" s="9" t="e">
        <f>+(($D7-(SUMIFS(disponibilidad[Tiempo falla 
(en Mintuos)],#REF!,"SI",disponibilidad[Mes],$B7,disponibilidad[[Tipo de afectación ]],"caÍda total",disponibilidad[Responsable Falla],"Matrix Tech",disponibilidad[Apuestas - Chance],"SI"))))</f>
        <v>#REF!</v>
      </c>
      <c r="H7" s="9" t="e">
        <f>+(($D7-(SUMIFS(disponibilidad[Tiempo falla 
(en Mintuos)],#REF!,"SI",disponibilidad[Mes],$B7,disponibilidad[[Tipo de afectación ]],"caÍda total",disponibilidad[Responsable Falla],"Matrix Tech",#REF!,"SI"))))</f>
        <v>#REF!</v>
      </c>
      <c r="I7" s="9" t="e">
        <f>+(($D7-(SUMIFS(disponibilidad[Tiempo falla 
(en Mintuos)],#REF!,"SI",disponibilidad[Mes],$B7,disponibilidad[[Tipo de afectación ]],"caÍda total",disponibilidad[Responsable Falla],"Matrix Tech",disponibilidad[RECAUDOS],"SI"))))</f>
        <v>#REF!</v>
      </c>
      <c r="J7" s="9" t="e">
        <f>+(($D7-(SUMIFS(disponibilidad[Tiempo falla 
(en Mintuos)],#REF!,"SI",disponibilidad[Mes],$B7,disponibilidad[[Tipo de afectación ]],"caÍda total",disponibilidad[Responsable Falla],"Matrix Tech",disponibilidad[RECARGAS],"SI"))))</f>
        <v>#REF!</v>
      </c>
      <c r="K7" s="9" t="e">
        <f>+(($D7-(SUMIFS(disponibilidad[Tiempo falla 
(en Mintuos)],#REF!,"SI",disponibilidad[Mes],$B7,disponibilidad[[Tipo de afectación ]],"caÍda total",disponibilidad[Responsable Falla],"Matrix Tech",#REF!,"SI"))))</f>
        <v>#REF!</v>
      </c>
      <c r="L7" s="78" t="e">
        <f t="shared" ref="L7:L15" si="1">((SUM(G7:K7)))/(D7*5)</f>
        <v>#REF!</v>
      </c>
      <c r="M7" s="9" t="e">
        <f>+(($D7-(SUMIFS(disponibilidad[Tiempo falla 
(en Mintuos)],#REF!,"SI",disponibilidad[Mes],$B7,disponibilidad[[Tipo de afectación ]],"caÍda total",disponibilidad[Responsable Falla],"Aliados o terceros",disponibilidad[Apuestas - Chance],"SI"))))</f>
        <v>#REF!</v>
      </c>
      <c r="N7" s="9" t="e">
        <f>+(($D7-(SUMIFS(disponibilidad[Tiempo falla 
(en Mintuos)],#REF!,"SI",disponibilidad[Mes],$B7,disponibilidad[[Tipo de afectación ]],"caÍda total",disponibilidad[Responsable Falla],"Aliados o terceros",#REF!,"SI"))))</f>
        <v>#REF!</v>
      </c>
      <c r="O7" s="9" t="e">
        <f>+(($D7-(SUMIFS(disponibilidad[Tiempo falla 
(en Mintuos)],#REF!,"SI",disponibilidad[Mes],$B7,disponibilidad[[Tipo de afectación ]],"caÍda total",disponibilidad[Responsable Falla],"Aliados o terceros",disponibilidad[RECAUDOS],"SI"))))</f>
        <v>#REF!</v>
      </c>
      <c r="P7" s="9" t="e">
        <f>+(($D7-(SUMIFS(disponibilidad[Tiempo falla 
(en Mintuos)],#REF!,"SI",disponibilidad[Mes],$B7,disponibilidad[[Tipo de afectación ]],"caÍda total",disponibilidad[Responsable Falla],"Aliados o terceros",disponibilidad[RECARGAS],"SI"))))</f>
        <v>#REF!</v>
      </c>
      <c r="Q7" s="9" t="e">
        <f>+(($D7-(SUMIFS(disponibilidad[Tiempo falla 
(en Mintuos)],#REF!,"SI",disponibilidad[Mes],$B7,disponibilidad[[Tipo de afectación ]],"caÍda total",disponibilidad[Responsable Falla],"Aliados o terceros",#REF!,"SI"))))</f>
        <v>#REF!</v>
      </c>
      <c r="R7" s="78" t="e">
        <f t="shared" ref="R7:R15" si="2">((SUM(M7:Q7)))/(J7*5)</f>
        <v>#REF!</v>
      </c>
      <c r="S7" s="12" t="e">
        <f>SUMIFS(disponibilidad[Tiempo falla 
(en Mintuos)],disponibilidad[Mes],$B7,disponibilidad[[Tipo de afectación ]],"CaÍda total",#REF!,"SI",disponibilidad[Responsable Falla],"Matrix Tech")</f>
        <v>#REF!</v>
      </c>
      <c r="T7" s="14" t="e">
        <f t="shared" ref="T7:T15" si="3">+S7/(D7*5)</f>
        <v>#REF!</v>
      </c>
      <c r="U7" s="12" t="e">
        <f>SUMIFS(disponibilidad[Tiempo falla 
(en Mintuos)],disponibilidad[Mes],$B7,disponibilidad[[Tipo de afectación ]],"CaÍda total",#REF!,"SI",disponibilidad[Responsable Falla],"Aliados o terceros")</f>
        <v>#REF!</v>
      </c>
      <c r="V7" s="14" t="e">
        <f t="shared" ref="V7:V15" si="4">+U7/(D7*5)</f>
        <v>#REF!</v>
      </c>
      <c r="W7" s="12" t="e">
        <f t="shared" ref="W7:W15" si="5">+U7+S7</f>
        <v>#REF!</v>
      </c>
      <c r="X7" s="78" t="e">
        <f t="shared" ref="X7:X15" si="6">(G7+H7+I7+J7+K7+M7+N7+O7+P7+Q7)/(D7*10)</f>
        <v>#REF!</v>
      </c>
    </row>
    <row r="8" spans="2:25">
      <c r="B8" s="10" t="s">
        <v>169</v>
      </c>
      <c r="C8" s="77">
        <v>0.95</v>
      </c>
      <c r="D8" s="8">
        <f>VLOOKUP(B8,Maestro!$A$7:$D$19,4,FALSE)</f>
        <v>44640</v>
      </c>
      <c r="E8" s="9" t="e">
        <f>+(($D8-(SUMIFS(disponibilidad[Tiempo falla 
(en Mintuos)],#REF!,"SI",disponibilidad[Mes],$B8,disponibilidad[[Tipo de afectación ]],"caÍda total",disponibilidad[Responsable Falla],"Matrix Tech"))))</f>
        <v>#REF!</v>
      </c>
      <c r="F8" s="78" t="e">
        <f t="shared" si="0"/>
        <v>#REF!</v>
      </c>
      <c r="G8" s="9" t="e">
        <f>+(($D8-(SUMIFS(disponibilidad[Tiempo falla 
(en Mintuos)],#REF!,"SI",disponibilidad[Mes],$B8,disponibilidad[[Tipo de afectación ]],"caÍda total",disponibilidad[Responsable Falla],"Matrix Tech",disponibilidad[Apuestas - Chance],"SI"))))</f>
        <v>#REF!</v>
      </c>
      <c r="H8" s="9" t="e">
        <f>+(($D8-(SUMIFS(disponibilidad[Tiempo falla 
(en Mintuos)],#REF!,"SI",disponibilidad[Mes],$B8,disponibilidad[[Tipo de afectación ]],"caÍda total",disponibilidad[Responsable Falla],"Matrix Tech",#REF!,"SI"))))</f>
        <v>#REF!</v>
      </c>
      <c r="I8" s="9" t="e">
        <f>+(($D8-(SUMIFS(disponibilidad[Tiempo falla 
(en Mintuos)],#REF!,"SI",disponibilidad[Mes],$B8,disponibilidad[[Tipo de afectación ]],"caÍda total",disponibilidad[Responsable Falla],"Matrix Tech",disponibilidad[RECAUDOS],"SI"))))</f>
        <v>#REF!</v>
      </c>
      <c r="J8" s="9" t="e">
        <f>+(($D8-(SUMIFS(disponibilidad[Tiempo falla 
(en Mintuos)],#REF!,"SI",disponibilidad[Mes],$B8,disponibilidad[[Tipo de afectación ]],"caÍda total",disponibilidad[Responsable Falla],"Matrix Tech",disponibilidad[RECARGAS],"SI"))))</f>
        <v>#REF!</v>
      </c>
      <c r="K8" s="9" t="e">
        <f>+(($D8-(SUMIFS(disponibilidad[Tiempo falla 
(en Mintuos)],#REF!,"SI",disponibilidad[Mes],$B8,disponibilidad[[Tipo de afectación ]],"caÍda total",disponibilidad[Responsable Falla],"Matrix Tech",#REF!,"SI"))))</f>
        <v>#REF!</v>
      </c>
      <c r="L8" s="78" t="e">
        <f t="shared" si="1"/>
        <v>#REF!</v>
      </c>
      <c r="M8" s="9" t="e">
        <f>+(($D8-(SUMIFS(disponibilidad[Tiempo falla 
(en Mintuos)],#REF!,"SI",disponibilidad[Mes],$B8,disponibilidad[[Tipo de afectación ]],"caÍda total",disponibilidad[Responsable Falla],"Aliados o terceros",disponibilidad[Apuestas - Chance],"SI"))))</f>
        <v>#REF!</v>
      </c>
      <c r="N8" s="9" t="e">
        <f>+(($D8-(SUMIFS(disponibilidad[Tiempo falla 
(en Mintuos)],#REF!,"SI",disponibilidad[Mes],$B8,disponibilidad[[Tipo de afectación ]],"caÍda total",disponibilidad[Responsable Falla],"Aliados o terceros",#REF!,"SI"))))</f>
        <v>#REF!</v>
      </c>
      <c r="O8" s="9" t="e">
        <f>+(($D8-(SUMIFS(disponibilidad[Tiempo falla 
(en Mintuos)],#REF!,"SI",disponibilidad[Mes],$B8,disponibilidad[[Tipo de afectación ]],"caÍda total",disponibilidad[Responsable Falla],"Aliados o terceros",disponibilidad[RECAUDOS],"SI"))))</f>
        <v>#REF!</v>
      </c>
      <c r="P8" s="9" t="e">
        <f>+(($D8-(SUMIFS(disponibilidad[Tiempo falla 
(en Mintuos)],#REF!,"SI",disponibilidad[Mes],$B8,disponibilidad[[Tipo de afectación ]],"caÍda total",disponibilidad[Responsable Falla],"Aliados o terceros",disponibilidad[RECARGAS],"SI"))))</f>
        <v>#REF!</v>
      </c>
      <c r="Q8" s="9" t="e">
        <f>+(($D8-(SUMIFS(disponibilidad[Tiempo falla 
(en Mintuos)],#REF!,"SI",disponibilidad[Mes],$B8,disponibilidad[[Tipo de afectación ]],"caÍda total",disponibilidad[Responsable Falla],"Aliados o terceros",#REF!,"SI"))))</f>
        <v>#REF!</v>
      </c>
      <c r="R8" s="78" t="e">
        <f t="shared" si="2"/>
        <v>#REF!</v>
      </c>
      <c r="S8" s="12" t="e">
        <f>SUMIFS(disponibilidad[Tiempo falla 
(en Mintuos)],disponibilidad[Mes],$B8,disponibilidad[[Tipo de afectación ]],"CaÍda total",#REF!,"SI",disponibilidad[Responsable Falla],"Matrix Tech")</f>
        <v>#REF!</v>
      </c>
      <c r="T8" s="14" t="e">
        <f t="shared" si="3"/>
        <v>#REF!</v>
      </c>
      <c r="U8" s="12" t="e">
        <f>SUMIFS(disponibilidad[Tiempo falla 
(en Mintuos)],disponibilidad[Mes],$B8,disponibilidad[[Tipo de afectación ]],"CaÍda total",#REF!,"SI",disponibilidad[Responsable Falla],"Aliados o terceros")</f>
        <v>#REF!</v>
      </c>
      <c r="V8" s="14" t="e">
        <f t="shared" si="4"/>
        <v>#REF!</v>
      </c>
      <c r="W8" s="12" t="e">
        <f t="shared" si="5"/>
        <v>#REF!</v>
      </c>
      <c r="X8" s="78" t="e">
        <f t="shared" si="6"/>
        <v>#REF!</v>
      </c>
    </row>
    <row r="9" spans="2:25">
      <c r="B9" s="10" t="s">
        <v>172</v>
      </c>
      <c r="C9" s="77">
        <v>0.95</v>
      </c>
      <c r="D9" s="8">
        <f>VLOOKUP(B9,Maestro!$A$7:$D$19,4,FALSE)</f>
        <v>43200</v>
      </c>
      <c r="E9" s="9" t="e">
        <f>+(($D9-(SUMIFS(disponibilidad[Tiempo falla 
(en Mintuos)],#REF!,"SI",disponibilidad[Mes],$B9,disponibilidad[[Tipo de afectación ]],"caÍda total",disponibilidad[Responsable Falla],"Matrix Tech"))))</f>
        <v>#REF!</v>
      </c>
      <c r="F9" s="78" t="e">
        <f t="shared" si="0"/>
        <v>#REF!</v>
      </c>
      <c r="G9" s="9" t="e">
        <f>+(($D9-(SUMIFS(disponibilidad[Tiempo falla 
(en Mintuos)],#REF!,"SI",disponibilidad[Mes],$B9,disponibilidad[[Tipo de afectación ]],"caÍda total",disponibilidad[Responsable Falla],"Matrix Tech",disponibilidad[Apuestas - Chance],"SI"))))</f>
        <v>#REF!</v>
      </c>
      <c r="H9" s="9" t="e">
        <f>+(($D9-(SUMIFS(disponibilidad[Tiempo falla 
(en Mintuos)],#REF!,"SI",disponibilidad[Mes],$B9,disponibilidad[[Tipo de afectación ]],"caÍda total",disponibilidad[Responsable Falla],"Matrix Tech",#REF!,"SI"))))</f>
        <v>#REF!</v>
      </c>
      <c r="I9" s="9" t="e">
        <f>+(($D9-(SUMIFS(disponibilidad[Tiempo falla 
(en Mintuos)],#REF!,"SI",disponibilidad[Mes],$B9,disponibilidad[[Tipo de afectación ]],"caÍda total",disponibilidad[Responsable Falla],"Matrix Tech",disponibilidad[RECAUDOS],"SI"))))</f>
        <v>#REF!</v>
      </c>
      <c r="J9" s="9" t="e">
        <f>+(($D9-(SUMIFS(disponibilidad[Tiempo falla 
(en Mintuos)],#REF!,"SI",disponibilidad[Mes],$B9,disponibilidad[[Tipo de afectación ]],"caÍda total",disponibilidad[Responsable Falla],"Matrix Tech",disponibilidad[RECARGAS],"SI"))))</f>
        <v>#REF!</v>
      </c>
      <c r="K9" s="9" t="e">
        <f>+(($D9-(SUMIFS(disponibilidad[Tiempo falla 
(en Mintuos)],#REF!,"SI",disponibilidad[Mes],$B9,disponibilidad[[Tipo de afectación ]],"caÍda total",disponibilidad[Responsable Falla],"Matrix Tech",#REF!,"SI"))))</f>
        <v>#REF!</v>
      </c>
      <c r="L9" s="78" t="e">
        <f t="shared" si="1"/>
        <v>#REF!</v>
      </c>
      <c r="M9" s="9" t="e">
        <f>+(($D9-(SUMIFS(disponibilidad[Tiempo falla 
(en Mintuos)],#REF!,"SI",disponibilidad[Mes],$B9,disponibilidad[[Tipo de afectación ]],"caÍda total",disponibilidad[Responsable Falla],"Aliados o terceros",disponibilidad[Apuestas - Chance],"SI"))))</f>
        <v>#REF!</v>
      </c>
      <c r="N9" s="9" t="e">
        <f>+(($D9-(SUMIFS(disponibilidad[Tiempo falla 
(en Mintuos)],#REF!,"SI",disponibilidad[Mes],$B9,disponibilidad[[Tipo de afectación ]],"caÍda total",disponibilidad[Responsable Falla],"Aliados o terceros",#REF!,"SI"))))</f>
        <v>#REF!</v>
      </c>
      <c r="O9" s="9" t="e">
        <f>+(($D9-(SUMIFS(disponibilidad[Tiempo falla 
(en Mintuos)],#REF!,"SI",disponibilidad[Mes],$B9,disponibilidad[[Tipo de afectación ]],"caÍda total",disponibilidad[Responsable Falla],"Aliados o terceros",disponibilidad[RECAUDOS],"SI"))))</f>
        <v>#REF!</v>
      </c>
      <c r="P9" s="9" t="e">
        <f>+(($D9-(SUMIFS(disponibilidad[Tiempo falla 
(en Mintuos)],#REF!,"SI",disponibilidad[Mes],$B9,disponibilidad[[Tipo de afectación ]],"caÍda total",disponibilidad[Responsable Falla],"Aliados o terceros",disponibilidad[RECARGAS],"SI"))))</f>
        <v>#REF!</v>
      </c>
      <c r="Q9" s="9" t="e">
        <f>+(($D9-(SUMIFS(disponibilidad[Tiempo falla 
(en Mintuos)],#REF!,"SI",disponibilidad[Mes],$B9,disponibilidad[[Tipo de afectación ]],"caÍda total",disponibilidad[Responsable Falla],"Aliados o terceros",#REF!,"SI"))))</f>
        <v>#REF!</v>
      </c>
      <c r="R9" s="78" t="e">
        <f t="shared" si="2"/>
        <v>#REF!</v>
      </c>
      <c r="S9" s="12" t="e">
        <f>SUMIFS(disponibilidad[Tiempo falla 
(en Mintuos)],disponibilidad[Mes],$B9,disponibilidad[[Tipo de afectación ]],"CaÍda total",#REF!,"SI",disponibilidad[Responsable Falla],"Matrix Tech")</f>
        <v>#REF!</v>
      </c>
      <c r="T9" s="14" t="e">
        <f t="shared" si="3"/>
        <v>#REF!</v>
      </c>
      <c r="U9" s="12" t="e">
        <f>SUMIFS(disponibilidad[Tiempo falla 
(en Mintuos)],disponibilidad[Mes],$B9,disponibilidad[[Tipo de afectación ]],"CaÍda total",#REF!,"SI",disponibilidad[Responsable Falla],"Aliados o terceros")</f>
        <v>#REF!</v>
      </c>
      <c r="V9" s="14" t="e">
        <f t="shared" si="4"/>
        <v>#REF!</v>
      </c>
      <c r="W9" s="12" t="e">
        <f t="shared" si="5"/>
        <v>#REF!</v>
      </c>
      <c r="X9" s="78" t="e">
        <f t="shared" si="6"/>
        <v>#REF!</v>
      </c>
    </row>
    <row r="10" spans="2:25">
      <c r="B10" s="10" t="s">
        <v>173</v>
      </c>
      <c r="C10" s="77">
        <v>0.95</v>
      </c>
      <c r="D10" s="8">
        <f>VLOOKUP(B10,Maestro!$A$7:$D$19,4,FALSE)</f>
        <v>44640</v>
      </c>
      <c r="E10" s="9" t="e">
        <f>+(($D10-(SUMIFS(disponibilidad[Tiempo falla 
(en Mintuos)],#REF!,"SI",disponibilidad[Mes],$B10,disponibilidad[[Tipo de afectación ]],"caÍda total",disponibilidad[Responsable Falla],"Matrix Tech"))))</f>
        <v>#REF!</v>
      </c>
      <c r="F10" s="78" t="e">
        <f t="shared" si="0"/>
        <v>#REF!</v>
      </c>
      <c r="G10" s="9" t="e">
        <f>+(($D10-(SUMIFS(disponibilidad[Tiempo falla 
(en Mintuos)],#REF!,"SI",disponibilidad[Mes],$B10,disponibilidad[[Tipo de afectación ]],"caÍda total",disponibilidad[Responsable Falla],"Matrix Tech",disponibilidad[Apuestas - Chance],"SI"))))</f>
        <v>#REF!</v>
      </c>
      <c r="H10" s="9" t="e">
        <f>+(($D10-(SUMIFS(disponibilidad[Tiempo falla 
(en Mintuos)],#REF!,"SI",disponibilidad[Mes],$B10,disponibilidad[[Tipo de afectación ]],"caÍda total",disponibilidad[Responsable Falla],"Matrix Tech",#REF!,"SI"))))</f>
        <v>#REF!</v>
      </c>
      <c r="I10" s="9" t="e">
        <f>+(($D10-(SUMIFS(disponibilidad[Tiempo falla 
(en Mintuos)],#REF!,"SI",disponibilidad[Mes],$B10,disponibilidad[[Tipo de afectación ]],"caÍda total",disponibilidad[Responsable Falla],"Matrix Tech",disponibilidad[RECAUDOS],"SI"))))</f>
        <v>#REF!</v>
      </c>
      <c r="J10" s="9" t="e">
        <f>+(($D10-(SUMIFS(disponibilidad[Tiempo falla 
(en Mintuos)],#REF!,"SI",disponibilidad[Mes],$B10,disponibilidad[[Tipo de afectación ]],"caÍda total",disponibilidad[Responsable Falla],"Matrix Tech",disponibilidad[RECARGAS],"SI"))))</f>
        <v>#REF!</v>
      </c>
      <c r="K10" s="9" t="e">
        <f>+(($D10-(SUMIFS(disponibilidad[Tiempo falla 
(en Mintuos)],#REF!,"SI",disponibilidad[Mes],$B10,disponibilidad[[Tipo de afectación ]],"caÍda total",disponibilidad[Responsable Falla],"Matrix Tech",#REF!,"SI"))))</f>
        <v>#REF!</v>
      </c>
      <c r="L10" s="78" t="e">
        <f t="shared" si="1"/>
        <v>#REF!</v>
      </c>
      <c r="M10" s="9" t="e">
        <f>+(($D10-(SUMIFS(disponibilidad[Tiempo falla 
(en Mintuos)],#REF!,"SI",disponibilidad[Mes],$B10,disponibilidad[[Tipo de afectación ]],"caÍda total",disponibilidad[Responsable Falla],"Aliados o terceros",disponibilidad[Apuestas - Chance],"SI"))))</f>
        <v>#REF!</v>
      </c>
      <c r="N10" s="9" t="e">
        <f>+(($D10-(SUMIFS(disponibilidad[Tiempo falla 
(en Mintuos)],#REF!,"SI",disponibilidad[Mes],$B10,disponibilidad[[Tipo de afectación ]],"caÍda total",disponibilidad[Responsable Falla],"Aliados o terceros",#REF!,"SI"))))</f>
        <v>#REF!</v>
      </c>
      <c r="O10" s="9" t="e">
        <f>+(($D10-(SUMIFS(disponibilidad[Tiempo falla 
(en Mintuos)],#REF!,"SI",disponibilidad[Mes],$B10,disponibilidad[[Tipo de afectación ]],"caÍda total",disponibilidad[Responsable Falla],"Aliados o terceros",disponibilidad[RECAUDOS],"SI"))))</f>
        <v>#REF!</v>
      </c>
      <c r="P10" s="9" t="e">
        <f>+(($D10-(SUMIFS(disponibilidad[Tiempo falla 
(en Mintuos)],#REF!,"SI",disponibilidad[Mes],$B10,disponibilidad[[Tipo de afectación ]],"caÍda total",disponibilidad[Responsable Falla],"Aliados o terceros",disponibilidad[RECARGAS],"SI"))))</f>
        <v>#REF!</v>
      </c>
      <c r="Q10" s="9" t="e">
        <f>+(($D10-(SUMIFS(disponibilidad[Tiempo falla 
(en Mintuos)],#REF!,"SI",disponibilidad[Mes],$B10,disponibilidad[[Tipo de afectación ]],"caÍda total",disponibilidad[Responsable Falla],"Aliados o terceros",#REF!,"SI"))))</f>
        <v>#REF!</v>
      </c>
      <c r="R10" s="78" t="e">
        <f t="shared" si="2"/>
        <v>#REF!</v>
      </c>
      <c r="S10" s="12" t="e">
        <f>SUMIFS(disponibilidad[Tiempo falla 
(en Mintuos)],disponibilidad[Mes],$B10,disponibilidad[[Tipo de afectación ]],"CaÍda total",#REF!,"SI",disponibilidad[Responsable Falla],"Matrix Tech")</f>
        <v>#REF!</v>
      </c>
      <c r="T10" s="14" t="e">
        <f t="shared" si="3"/>
        <v>#REF!</v>
      </c>
      <c r="U10" s="12" t="e">
        <f>SUMIFS(disponibilidad[Tiempo falla 
(en Mintuos)],disponibilidad[Mes],$B10,disponibilidad[[Tipo de afectación ]],"CaÍda total",#REF!,"SI",disponibilidad[Responsable Falla],"Aliados o terceros")</f>
        <v>#REF!</v>
      </c>
      <c r="V10" s="14" t="e">
        <f t="shared" si="4"/>
        <v>#REF!</v>
      </c>
      <c r="W10" s="12" t="e">
        <f t="shared" si="5"/>
        <v>#REF!</v>
      </c>
      <c r="X10" s="78" t="e">
        <f t="shared" si="6"/>
        <v>#REF!</v>
      </c>
    </row>
    <row r="11" spans="2:25">
      <c r="B11" s="10" t="s">
        <v>174</v>
      </c>
      <c r="C11" s="77">
        <v>0.95</v>
      </c>
      <c r="D11" s="8">
        <f>VLOOKUP(B11,Maestro!$A$7:$D$19,4,FALSE)</f>
        <v>44640</v>
      </c>
      <c r="E11" s="9" t="e">
        <f>+(($D11-(SUMIFS(disponibilidad[Tiempo falla 
(en Mintuos)],#REF!,"SI",disponibilidad[Mes],$B11,disponibilidad[[Tipo de afectación ]],"caÍda total",disponibilidad[Responsable Falla],"Matrix Tech"))))</f>
        <v>#REF!</v>
      </c>
      <c r="F11" s="78" t="e">
        <f t="shared" si="0"/>
        <v>#REF!</v>
      </c>
      <c r="G11" s="9" t="e">
        <f>+(($D11-(SUMIFS(disponibilidad[Tiempo falla 
(en Mintuos)],#REF!,"SI",disponibilidad[Mes],$B11,disponibilidad[[Tipo de afectación ]],"caÍda total",disponibilidad[Responsable Falla],"Matrix Tech",disponibilidad[Apuestas - Chance],"SI"))))</f>
        <v>#REF!</v>
      </c>
      <c r="H11" s="9" t="e">
        <f>+(($D11-(SUMIFS(disponibilidad[Tiempo falla 
(en Mintuos)],#REF!,"SI",disponibilidad[Mes],$B11,disponibilidad[[Tipo de afectación ]],"caÍda total",disponibilidad[Responsable Falla],"Matrix Tech",#REF!,"SI"))))</f>
        <v>#REF!</v>
      </c>
      <c r="I11" s="9" t="e">
        <f>+(($D11-(SUMIFS(disponibilidad[Tiempo falla 
(en Mintuos)],#REF!,"SI",disponibilidad[Mes],$B11,disponibilidad[[Tipo de afectación ]],"caÍda total",disponibilidad[Responsable Falla],"Matrix Tech",disponibilidad[RECAUDOS],"SI"))))</f>
        <v>#REF!</v>
      </c>
      <c r="J11" s="9" t="e">
        <f>+(($D11-(SUMIFS(disponibilidad[Tiempo falla 
(en Mintuos)],#REF!,"SI",disponibilidad[Mes],$B11,disponibilidad[[Tipo de afectación ]],"caÍda total",disponibilidad[Responsable Falla],"Matrix Tech",disponibilidad[RECARGAS],"SI"))))</f>
        <v>#REF!</v>
      </c>
      <c r="K11" s="9" t="e">
        <f>+(($D11-(SUMIFS(disponibilidad[Tiempo falla 
(en Mintuos)],#REF!,"SI",disponibilidad[Mes],$B11,disponibilidad[[Tipo de afectación ]],"caÍda total",disponibilidad[Responsable Falla],"Matrix Tech",#REF!,"SI"))))</f>
        <v>#REF!</v>
      </c>
      <c r="L11" s="78" t="e">
        <f t="shared" si="1"/>
        <v>#REF!</v>
      </c>
      <c r="M11" s="9" t="e">
        <f>+(($D11-(SUMIFS(disponibilidad[Tiempo falla 
(en Mintuos)],#REF!,"SI",disponibilidad[Mes],$B11,disponibilidad[[Tipo de afectación ]],"caÍda total",disponibilidad[Responsable Falla],"Aliados o terceros",disponibilidad[Apuestas - Chance],"SI"))))</f>
        <v>#REF!</v>
      </c>
      <c r="N11" s="9" t="e">
        <f>+(($D11-(SUMIFS(disponibilidad[Tiempo falla 
(en Mintuos)],#REF!,"SI",disponibilidad[Mes],$B11,disponibilidad[[Tipo de afectación ]],"caÍda total",disponibilidad[Responsable Falla],"Aliados o terceros",#REF!,"SI"))))</f>
        <v>#REF!</v>
      </c>
      <c r="O11" s="9" t="e">
        <f>+(($D11-(SUMIFS(disponibilidad[Tiempo falla 
(en Mintuos)],#REF!,"SI",disponibilidad[Mes],$B11,disponibilidad[[Tipo de afectación ]],"caÍda total",disponibilidad[Responsable Falla],"Aliados o terceros",disponibilidad[RECAUDOS],"SI"))))</f>
        <v>#REF!</v>
      </c>
      <c r="P11" s="9" t="e">
        <f>+(($D11-(SUMIFS(disponibilidad[Tiempo falla 
(en Mintuos)],#REF!,"SI",disponibilidad[Mes],$B11,disponibilidad[[Tipo de afectación ]],"caÍda total",disponibilidad[Responsable Falla],"Aliados o terceros",disponibilidad[RECARGAS],"SI"))))</f>
        <v>#REF!</v>
      </c>
      <c r="Q11" s="9" t="e">
        <f>+(($D11-(SUMIFS(disponibilidad[Tiempo falla 
(en Mintuos)],#REF!,"SI",disponibilidad[Mes],$B11,disponibilidad[[Tipo de afectación ]],"caÍda total",disponibilidad[Responsable Falla],"Aliados o terceros",#REF!,"SI"))))</f>
        <v>#REF!</v>
      </c>
      <c r="R11" s="78" t="e">
        <f t="shared" si="2"/>
        <v>#REF!</v>
      </c>
      <c r="S11" s="12" t="e">
        <f>SUMIFS(disponibilidad[Tiempo falla 
(en Mintuos)],disponibilidad[Mes],$B11,disponibilidad[[Tipo de afectación ]],"CaÍda total",#REF!,"SI",disponibilidad[Responsable Falla],"Matrix Tech")</f>
        <v>#REF!</v>
      </c>
      <c r="T11" s="14" t="e">
        <f t="shared" si="3"/>
        <v>#REF!</v>
      </c>
      <c r="U11" s="12" t="e">
        <f>SUMIFS(disponibilidad[Tiempo falla 
(en Mintuos)],disponibilidad[Mes],$B11,disponibilidad[[Tipo de afectación ]],"CaÍda total",#REF!,"SI",disponibilidad[Responsable Falla],"Aliados o terceros")</f>
        <v>#REF!</v>
      </c>
      <c r="V11" s="14" t="e">
        <f t="shared" si="4"/>
        <v>#REF!</v>
      </c>
      <c r="W11" s="12" t="e">
        <f t="shared" si="5"/>
        <v>#REF!</v>
      </c>
      <c r="X11" s="78" t="e">
        <f t="shared" si="6"/>
        <v>#REF!</v>
      </c>
    </row>
    <row r="12" spans="2:25">
      <c r="B12" s="10" t="s">
        <v>175</v>
      </c>
      <c r="C12" s="77">
        <v>0.95</v>
      </c>
      <c r="D12" s="8">
        <f>VLOOKUP(B12,Maestro!$A$7:$D$19,4,FALSE)</f>
        <v>43200</v>
      </c>
      <c r="E12" s="9" t="e">
        <f>+(($D12-(SUMIFS(disponibilidad[Tiempo falla 
(en Mintuos)],#REF!,"SI",disponibilidad[Mes],$B12,disponibilidad[[Tipo de afectación ]],"caÍda total",disponibilidad[Responsable Falla],"Matrix Tech"))))</f>
        <v>#REF!</v>
      </c>
      <c r="F12" s="78" t="e">
        <f t="shared" si="0"/>
        <v>#REF!</v>
      </c>
      <c r="G12" s="9" t="e">
        <f>+(($D12-(SUMIFS(disponibilidad[Tiempo falla 
(en Mintuos)],#REF!,"SI",disponibilidad[Mes],$B12,disponibilidad[[Tipo de afectación ]],"caÍda total",disponibilidad[Responsable Falla],"Matrix Tech",disponibilidad[Apuestas - Chance],"SI"))))</f>
        <v>#REF!</v>
      </c>
      <c r="H12" s="9" t="e">
        <f>+(($D12-(SUMIFS(disponibilidad[Tiempo falla 
(en Mintuos)],#REF!,"SI",disponibilidad[Mes],$B12,disponibilidad[[Tipo de afectación ]],"caÍda total",disponibilidad[Responsable Falla],"Matrix Tech",#REF!,"SI"))))</f>
        <v>#REF!</v>
      </c>
      <c r="I12" s="9" t="e">
        <f>+(($D12-(SUMIFS(disponibilidad[Tiempo falla 
(en Mintuos)],#REF!,"SI",disponibilidad[Mes],$B12,disponibilidad[[Tipo de afectación ]],"caÍda total",disponibilidad[Responsable Falla],"Matrix Tech",disponibilidad[RECAUDOS],"SI"))))</f>
        <v>#REF!</v>
      </c>
      <c r="J12" s="9" t="e">
        <f>+(($D12-(SUMIFS(disponibilidad[Tiempo falla 
(en Mintuos)],#REF!,"SI",disponibilidad[Mes],$B12,disponibilidad[[Tipo de afectación ]],"caÍda total",disponibilidad[Responsable Falla],"Matrix Tech",disponibilidad[RECARGAS],"SI"))))</f>
        <v>#REF!</v>
      </c>
      <c r="K12" s="9" t="e">
        <f>+(($D12-(SUMIFS(disponibilidad[Tiempo falla 
(en Mintuos)],#REF!,"SI",disponibilidad[Mes],$B12,disponibilidad[[Tipo de afectación ]],"caÍda total",disponibilidad[Responsable Falla],"Matrix Tech",#REF!,"SI"))))</f>
        <v>#REF!</v>
      </c>
      <c r="L12" s="78" t="e">
        <f t="shared" si="1"/>
        <v>#REF!</v>
      </c>
      <c r="M12" s="9" t="e">
        <f>+(($D12-(SUMIFS(disponibilidad[Tiempo falla 
(en Mintuos)],#REF!,"SI",disponibilidad[Mes],$B12,disponibilidad[[Tipo de afectación ]],"caÍda total",disponibilidad[Responsable Falla],"Aliados o terceros",disponibilidad[Apuestas - Chance],"SI"))))</f>
        <v>#REF!</v>
      </c>
      <c r="N12" s="9" t="e">
        <f>+(($D12-(SUMIFS(disponibilidad[Tiempo falla 
(en Mintuos)],#REF!,"SI",disponibilidad[Mes],$B12,disponibilidad[[Tipo de afectación ]],"caÍda total",disponibilidad[Responsable Falla],"Aliados o terceros",#REF!,"SI"))))</f>
        <v>#REF!</v>
      </c>
      <c r="O12" s="9" t="e">
        <f>+(($D12-(SUMIFS(disponibilidad[Tiempo falla 
(en Mintuos)],#REF!,"SI",disponibilidad[Mes],$B12,disponibilidad[[Tipo de afectación ]],"caÍda total",disponibilidad[Responsable Falla],"Aliados o terceros",disponibilidad[RECAUDOS],"SI"))))</f>
        <v>#REF!</v>
      </c>
      <c r="P12" s="9" t="e">
        <f>+(($D12-(SUMIFS(disponibilidad[Tiempo falla 
(en Mintuos)],#REF!,"SI",disponibilidad[Mes],$B12,disponibilidad[[Tipo de afectación ]],"caÍda total",disponibilidad[Responsable Falla],"Aliados o terceros",disponibilidad[RECARGAS],"SI"))))</f>
        <v>#REF!</v>
      </c>
      <c r="Q12" s="9" t="e">
        <f>+(($D12-(SUMIFS(disponibilidad[Tiempo falla 
(en Mintuos)],#REF!,"SI",disponibilidad[Mes],$B12,disponibilidad[[Tipo de afectación ]],"caÍda total",disponibilidad[Responsable Falla],"Aliados o terceros",#REF!,"SI"))))</f>
        <v>#REF!</v>
      </c>
      <c r="R12" s="78" t="e">
        <f t="shared" si="2"/>
        <v>#REF!</v>
      </c>
      <c r="S12" s="12" t="e">
        <f>SUMIFS(disponibilidad[Tiempo falla 
(en Mintuos)],disponibilidad[Mes],$B12,disponibilidad[[Tipo de afectación ]],"CaÍda total",#REF!,"SI",disponibilidad[Responsable Falla],"Matrix Tech")</f>
        <v>#REF!</v>
      </c>
      <c r="T12" s="14" t="e">
        <f t="shared" si="3"/>
        <v>#REF!</v>
      </c>
      <c r="U12" s="12" t="e">
        <f>SUMIFS(disponibilidad[Tiempo falla 
(en Mintuos)],disponibilidad[Mes],$B12,disponibilidad[[Tipo de afectación ]],"CaÍda total",#REF!,"SI",disponibilidad[Responsable Falla],"Aliados o terceros")</f>
        <v>#REF!</v>
      </c>
      <c r="V12" s="14" t="e">
        <f t="shared" si="4"/>
        <v>#REF!</v>
      </c>
      <c r="W12" s="12" t="e">
        <f t="shared" si="5"/>
        <v>#REF!</v>
      </c>
      <c r="X12" s="78" t="e">
        <f t="shared" si="6"/>
        <v>#REF!</v>
      </c>
    </row>
    <row r="13" spans="2:25">
      <c r="B13" s="10" t="s">
        <v>176</v>
      </c>
      <c r="C13" s="77">
        <v>0.95</v>
      </c>
      <c r="D13" s="8">
        <f>VLOOKUP(B13,Maestro!$A$7:$D$19,4,FALSE)</f>
        <v>44640</v>
      </c>
      <c r="E13" s="9" t="e">
        <f>+(($D13-(SUMIFS(disponibilidad[Tiempo falla 
(en Mintuos)],#REF!,"SI",disponibilidad[Mes],$B13,disponibilidad[[Tipo de afectación ]],"caÍda total",disponibilidad[Responsable Falla],"Matrix Tech"))))</f>
        <v>#REF!</v>
      </c>
      <c r="F13" s="78" t="e">
        <f t="shared" si="0"/>
        <v>#REF!</v>
      </c>
      <c r="G13" s="9" t="e">
        <f>+(($D13-(SUMIFS(disponibilidad[Tiempo falla 
(en Mintuos)],#REF!,"SI",disponibilidad[Mes],$B13,disponibilidad[[Tipo de afectación ]],"caÍda total",disponibilidad[Responsable Falla],"Matrix Tech",disponibilidad[Apuestas - Chance],"SI"))))</f>
        <v>#REF!</v>
      </c>
      <c r="H13" s="9" t="e">
        <f>+(($D13-(SUMIFS(disponibilidad[Tiempo falla 
(en Mintuos)],#REF!,"SI",disponibilidad[Mes],$B13,disponibilidad[[Tipo de afectación ]],"caÍda total",disponibilidad[Responsable Falla],"Matrix Tech",#REF!,"SI"))))</f>
        <v>#REF!</v>
      </c>
      <c r="I13" s="9" t="e">
        <f>+(($D13-(SUMIFS(disponibilidad[Tiempo falla 
(en Mintuos)],#REF!,"SI",disponibilidad[Mes],$B13,disponibilidad[[Tipo de afectación ]],"caÍda total",disponibilidad[Responsable Falla],"Matrix Tech",disponibilidad[RECAUDOS],"SI"))))</f>
        <v>#REF!</v>
      </c>
      <c r="J13" s="9" t="e">
        <f>+(($D13-(SUMIFS(disponibilidad[Tiempo falla 
(en Mintuos)],#REF!,"SI",disponibilidad[Mes],$B13,disponibilidad[[Tipo de afectación ]],"caÍda total",disponibilidad[Responsable Falla],"Matrix Tech",disponibilidad[RECARGAS],"SI"))))</f>
        <v>#REF!</v>
      </c>
      <c r="K13" s="9" t="e">
        <f>+(($D13-(SUMIFS(disponibilidad[Tiempo falla 
(en Mintuos)],#REF!,"SI",disponibilidad[Mes],$B13,disponibilidad[[Tipo de afectación ]],"caÍda total",disponibilidad[Responsable Falla],"Matrix Tech",#REF!,"SI"))))</f>
        <v>#REF!</v>
      </c>
      <c r="L13" s="78" t="e">
        <f t="shared" si="1"/>
        <v>#REF!</v>
      </c>
      <c r="M13" s="9" t="e">
        <f>+(($D13-(SUMIFS(disponibilidad[Tiempo falla 
(en Mintuos)],#REF!,"SI",disponibilidad[Mes],$B13,disponibilidad[[Tipo de afectación ]],"caÍda total",disponibilidad[Responsable Falla],"Aliados o terceros",disponibilidad[Apuestas - Chance],"SI"))))</f>
        <v>#REF!</v>
      </c>
      <c r="N13" s="9" t="e">
        <f>+(($D13-(SUMIFS(disponibilidad[Tiempo falla 
(en Mintuos)],#REF!,"SI",disponibilidad[Mes],$B13,disponibilidad[[Tipo de afectación ]],"caÍda total",disponibilidad[Responsable Falla],"Aliados o terceros",#REF!,"SI"))))</f>
        <v>#REF!</v>
      </c>
      <c r="O13" s="9" t="e">
        <f>+(($D13-(SUMIFS(disponibilidad[Tiempo falla 
(en Mintuos)],#REF!,"SI",disponibilidad[Mes],$B13,disponibilidad[[Tipo de afectación ]],"caÍda total",disponibilidad[Responsable Falla],"Aliados o terceros",disponibilidad[RECAUDOS],"SI"))))</f>
        <v>#REF!</v>
      </c>
      <c r="P13" s="9" t="e">
        <f>+(($D13-(SUMIFS(disponibilidad[Tiempo falla 
(en Mintuos)],#REF!,"SI",disponibilidad[Mes],$B13,disponibilidad[[Tipo de afectación ]],"caÍda total",disponibilidad[Responsable Falla],"Aliados o terceros",disponibilidad[RECARGAS],"SI"))))</f>
        <v>#REF!</v>
      </c>
      <c r="Q13" s="9" t="e">
        <f>+(($D13-(SUMIFS(disponibilidad[Tiempo falla 
(en Mintuos)],#REF!,"SI",disponibilidad[Mes],$B13,disponibilidad[[Tipo de afectación ]],"caÍda total",disponibilidad[Responsable Falla],"Aliados o terceros",#REF!,"SI"))))</f>
        <v>#REF!</v>
      </c>
      <c r="R13" s="78" t="e">
        <f t="shared" si="2"/>
        <v>#REF!</v>
      </c>
      <c r="S13" s="12" t="e">
        <f>SUMIFS(disponibilidad[Tiempo falla 
(en Mintuos)],disponibilidad[Mes],$B13,disponibilidad[[Tipo de afectación ]],"CaÍda total",#REF!,"SI",disponibilidad[Responsable Falla],"Matrix Tech")</f>
        <v>#REF!</v>
      </c>
      <c r="T13" s="14" t="e">
        <f t="shared" si="3"/>
        <v>#REF!</v>
      </c>
      <c r="U13" s="12" t="e">
        <f>SUMIFS(disponibilidad[Tiempo falla 
(en Mintuos)],disponibilidad[Mes],$B13,disponibilidad[[Tipo de afectación ]],"CaÍda total",#REF!,"SI",disponibilidad[Responsable Falla],"Aliados o terceros")</f>
        <v>#REF!</v>
      </c>
      <c r="V13" s="14" t="e">
        <f t="shared" si="4"/>
        <v>#REF!</v>
      </c>
      <c r="W13" s="12" t="e">
        <f t="shared" si="5"/>
        <v>#REF!</v>
      </c>
      <c r="X13" s="78" t="e">
        <f t="shared" si="6"/>
        <v>#REF!</v>
      </c>
    </row>
    <row r="14" spans="2:25">
      <c r="B14" s="10" t="s">
        <v>177</v>
      </c>
      <c r="C14" s="77">
        <v>0.95</v>
      </c>
      <c r="D14" s="8">
        <f>VLOOKUP(B14,Maestro!$A$7:$D$19,4,FALSE)</f>
        <v>43200</v>
      </c>
      <c r="E14" s="9" t="e">
        <f>+(($D14-(SUMIFS(disponibilidad[Tiempo falla 
(en Mintuos)],#REF!,"SI",disponibilidad[Mes],$B14,disponibilidad[[Tipo de afectación ]],"caÍda total",disponibilidad[Responsable Falla],"Matrix Tech"))))</f>
        <v>#REF!</v>
      </c>
      <c r="F14" s="78" t="e">
        <f t="shared" si="0"/>
        <v>#REF!</v>
      </c>
      <c r="G14" s="9" t="e">
        <f>+(($D14-(SUMIFS(disponibilidad[Tiempo falla 
(en Mintuos)],#REF!,"SI",disponibilidad[Mes],$B14,disponibilidad[[Tipo de afectación ]],"caÍda total",disponibilidad[Responsable Falla],"Matrix Tech",disponibilidad[Apuestas - Chance],"SI"))))</f>
        <v>#REF!</v>
      </c>
      <c r="H14" s="9" t="e">
        <f>+(($D14-(SUMIFS(disponibilidad[Tiempo falla 
(en Mintuos)],#REF!,"SI",disponibilidad[Mes],$B14,disponibilidad[[Tipo de afectación ]],"caÍda total",disponibilidad[Responsable Falla],"Matrix Tech",#REF!,"SI"))))</f>
        <v>#REF!</v>
      </c>
      <c r="I14" s="9" t="e">
        <f>+(($D14-(SUMIFS(disponibilidad[Tiempo falla 
(en Mintuos)],#REF!,"SI",disponibilidad[Mes],$B14,disponibilidad[[Tipo de afectación ]],"caÍda total",disponibilidad[Responsable Falla],"Matrix Tech",disponibilidad[RECAUDOS],"SI"))))</f>
        <v>#REF!</v>
      </c>
      <c r="J14" s="9" t="e">
        <f>+(($D14-(SUMIFS(disponibilidad[Tiempo falla 
(en Mintuos)],#REF!,"SI",disponibilidad[Mes],$B14,disponibilidad[[Tipo de afectación ]],"caÍda total",disponibilidad[Responsable Falla],"Matrix Tech",disponibilidad[RECARGAS],"SI"))))</f>
        <v>#REF!</v>
      </c>
      <c r="K14" s="9" t="e">
        <f>+(($D14-(SUMIFS(disponibilidad[Tiempo falla 
(en Mintuos)],#REF!,"SI",disponibilidad[Mes],$B14,disponibilidad[[Tipo de afectación ]],"caÍda total",disponibilidad[Responsable Falla],"Matrix Tech",#REF!,"SI"))))</f>
        <v>#REF!</v>
      </c>
      <c r="L14" s="78" t="e">
        <f t="shared" si="1"/>
        <v>#REF!</v>
      </c>
      <c r="M14" s="9" t="e">
        <f>+(($D14-(SUMIFS(disponibilidad[Tiempo falla 
(en Mintuos)],#REF!,"SI",disponibilidad[Mes],$B14,disponibilidad[[Tipo de afectación ]],"caÍda total",disponibilidad[Responsable Falla],"Aliados o terceros",disponibilidad[Apuestas - Chance],"SI"))))</f>
        <v>#REF!</v>
      </c>
      <c r="N14" s="9" t="e">
        <f>+(($D14-(SUMIFS(disponibilidad[Tiempo falla 
(en Mintuos)],#REF!,"SI",disponibilidad[Mes],$B14,disponibilidad[[Tipo de afectación ]],"caÍda total",disponibilidad[Responsable Falla],"Aliados o terceros",#REF!,"SI"))))</f>
        <v>#REF!</v>
      </c>
      <c r="O14" s="9" t="e">
        <f>+(($D14-(SUMIFS(disponibilidad[Tiempo falla 
(en Mintuos)],#REF!,"SI",disponibilidad[Mes],$B14,disponibilidad[[Tipo de afectación ]],"caÍda total",disponibilidad[Responsable Falla],"Aliados o terceros",disponibilidad[RECAUDOS],"SI"))))</f>
        <v>#REF!</v>
      </c>
      <c r="P14" s="9" t="e">
        <f>+(($D14-(SUMIFS(disponibilidad[Tiempo falla 
(en Mintuos)],#REF!,"SI",disponibilidad[Mes],$B14,disponibilidad[[Tipo de afectación ]],"caÍda total",disponibilidad[Responsable Falla],"Aliados o terceros",disponibilidad[RECARGAS],"SI"))))</f>
        <v>#REF!</v>
      </c>
      <c r="Q14" s="9" t="e">
        <f>+(($D14-(SUMIFS(disponibilidad[Tiempo falla 
(en Mintuos)],#REF!,"SI",disponibilidad[Mes],$B14,disponibilidad[[Tipo de afectación ]],"caÍda total",disponibilidad[Responsable Falla],"Aliados o terceros",#REF!,"SI"))))</f>
        <v>#REF!</v>
      </c>
      <c r="R14" s="78" t="e">
        <f t="shared" si="2"/>
        <v>#REF!</v>
      </c>
      <c r="S14" s="12" t="e">
        <f>SUMIFS(disponibilidad[Tiempo falla 
(en Mintuos)],disponibilidad[Mes],$B14,disponibilidad[[Tipo de afectación ]],"CaÍda total",#REF!,"SI",disponibilidad[Responsable Falla],"Matrix Tech")</f>
        <v>#REF!</v>
      </c>
      <c r="T14" s="14" t="e">
        <f t="shared" si="3"/>
        <v>#REF!</v>
      </c>
      <c r="U14" s="12" t="e">
        <f>SUMIFS(disponibilidad[Tiempo falla 
(en Mintuos)],disponibilidad[Mes],$B14,disponibilidad[[Tipo de afectación ]],"CaÍda total",#REF!,"SI",disponibilidad[Responsable Falla],"Aliados o terceros")</f>
        <v>#REF!</v>
      </c>
      <c r="V14" s="14" t="e">
        <f t="shared" si="4"/>
        <v>#REF!</v>
      </c>
      <c r="W14" s="12" t="e">
        <f t="shared" si="5"/>
        <v>#REF!</v>
      </c>
      <c r="X14" s="78" t="e">
        <f t="shared" si="6"/>
        <v>#REF!</v>
      </c>
    </row>
    <row r="15" spans="2:25">
      <c r="B15" s="10" t="s">
        <v>178</v>
      </c>
      <c r="C15" s="77">
        <v>0.95</v>
      </c>
      <c r="D15" s="8">
        <f>VLOOKUP(B15,Maestro!$A$7:$D$19,4,FALSE)</f>
        <v>44640</v>
      </c>
      <c r="E15" s="9" t="e">
        <f>+(($D15-(SUMIFS(disponibilidad[Tiempo falla 
(en Mintuos)],#REF!,"SI",disponibilidad[Mes],$B15,disponibilidad[[Tipo de afectación ]],"caÍda total",disponibilidad[Responsable Falla],"Matrix Tech"))))</f>
        <v>#REF!</v>
      </c>
      <c r="F15" s="78" t="e">
        <f t="shared" si="0"/>
        <v>#REF!</v>
      </c>
      <c r="G15" s="9" t="e">
        <f>+(($D15-(SUMIFS(disponibilidad[Tiempo falla 
(en Mintuos)],#REF!,"SI",disponibilidad[Mes],$B15,disponibilidad[[Tipo de afectación ]],"caÍda total",disponibilidad[Responsable Falla],"Matrix Tech",disponibilidad[Apuestas - Chance],"SI"))))</f>
        <v>#REF!</v>
      </c>
      <c r="H15" s="9" t="e">
        <f>+(($D15-(SUMIFS(disponibilidad[Tiempo falla 
(en Mintuos)],#REF!,"SI",disponibilidad[Mes],$B15,disponibilidad[[Tipo de afectación ]],"caÍda total",disponibilidad[Responsable Falla],"Matrix Tech",#REF!,"SI"))))</f>
        <v>#REF!</v>
      </c>
      <c r="I15" s="9" t="e">
        <f>+(($D15-(SUMIFS(disponibilidad[Tiempo falla 
(en Mintuos)],#REF!,"SI",disponibilidad[Mes],$B15,disponibilidad[[Tipo de afectación ]],"caÍda total",disponibilidad[Responsable Falla],"Matrix Tech",disponibilidad[RECAUDOS],"SI"))))</f>
        <v>#REF!</v>
      </c>
      <c r="J15" s="9" t="e">
        <f>+(($D15-(SUMIFS(disponibilidad[Tiempo falla 
(en Mintuos)],#REF!,"SI",disponibilidad[Mes],$B15,disponibilidad[[Tipo de afectación ]],"caÍda total",disponibilidad[Responsable Falla],"Matrix Tech",disponibilidad[RECARGAS],"SI"))))</f>
        <v>#REF!</v>
      </c>
      <c r="K15" s="9" t="e">
        <f>+(($D15-(SUMIFS(disponibilidad[Tiempo falla 
(en Mintuos)],#REF!,"SI",disponibilidad[Mes],$B15,disponibilidad[[Tipo de afectación ]],"caÍda total",disponibilidad[Responsable Falla],"Matrix Tech",#REF!,"SI"))))</f>
        <v>#REF!</v>
      </c>
      <c r="L15" s="78" t="e">
        <f t="shared" si="1"/>
        <v>#REF!</v>
      </c>
      <c r="M15" s="9" t="e">
        <f>+(($D15-(SUMIFS(disponibilidad[Tiempo falla 
(en Mintuos)],#REF!,"SI",disponibilidad[Mes],$B15,disponibilidad[[Tipo de afectación ]],"caÍda total",disponibilidad[Responsable Falla],"Aliados o terceros",disponibilidad[Apuestas - Chance],"SI"))))</f>
        <v>#REF!</v>
      </c>
      <c r="N15" s="9" t="e">
        <f>+(($D15-(SUMIFS(disponibilidad[Tiempo falla 
(en Mintuos)],#REF!,"SI",disponibilidad[Mes],$B15,disponibilidad[[Tipo de afectación ]],"caÍda total",disponibilidad[Responsable Falla],"Aliados o terceros",#REF!,"SI"))))</f>
        <v>#REF!</v>
      </c>
      <c r="O15" s="9" t="e">
        <f>+(($D15-(SUMIFS(disponibilidad[Tiempo falla 
(en Mintuos)],#REF!,"SI",disponibilidad[Mes],$B15,disponibilidad[[Tipo de afectación ]],"caÍda total",disponibilidad[Responsable Falla],"Aliados o terceros",disponibilidad[RECAUDOS],"SI"))))</f>
        <v>#REF!</v>
      </c>
      <c r="P15" s="9" t="e">
        <f>+(($D15-(SUMIFS(disponibilidad[Tiempo falla 
(en Mintuos)],#REF!,"SI",disponibilidad[Mes],$B15,disponibilidad[[Tipo de afectación ]],"caÍda total",disponibilidad[Responsable Falla],"Aliados o terceros",disponibilidad[RECARGAS],"SI"))))</f>
        <v>#REF!</v>
      </c>
      <c r="Q15" s="9" t="e">
        <f>+(($D15-(SUMIFS(disponibilidad[Tiempo falla 
(en Mintuos)],#REF!,"SI",disponibilidad[Mes],$B15,disponibilidad[[Tipo de afectación ]],"caÍda total",disponibilidad[Responsable Falla],"Aliados o terceros",#REF!,"SI"))))</f>
        <v>#REF!</v>
      </c>
      <c r="R15" s="78" t="e">
        <f t="shared" si="2"/>
        <v>#REF!</v>
      </c>
      <c r="S15" s="12" t="e">
        <f>SUMIFS(disponibilidad[Tiempo falla 
(en Mintuos)],disponibilidad[Mes],$B15,disponibilidad[[Tipo de afectación ]],"CaÍda total",#REF!,"SI",disponibilidad[Responsable Falla],"Matrix Tech")</f>
        <v>#REF!</v>
      </c>
      <c r="T15" s="14" t="e">
        <f t="shared" si="3"/>
        <v>#REF!</v>
      </c>
      <c r="U15" s="12" t="e">
        <f>SUMIFS(disponibilidad[Tiempo falla 
(en Mintuos)],disponibilidad[Mes],$B15,disponibilidad[[Tipo de afectación ]],"CaÍda total",#REF!,"SI",disponibilidad[Responsable Falla],"Aliados o terceros")</f>
        <v>#REF!</v>
      </c>
      <c r="V15" s="14" t="e">
        <f t="shared" si="4"/>
        <v>#REF!</v>
      </c>
      <c r="W15" s="12" t="e">
        <f t="shared" si="5"/>
        <v>#REF!</v>
      </c>
      <c r="X15" s="78" t="e">
        <f t="shared" si="6"/>
        <v>#REF!</v>
      </c>
    </row>
    <row r="20" spans="18:19">
      <c r="R20" s="80"/>
    </row>
    <row r="21" spans="18:19">
      <c r="S21" s="81"/>
    </row>
  </sheetData>
  <mergeCells count="11">
    <mergeCell ref="M2:Q2"/>
    <mergeCell ref="R2:R3"/>
    <mergeCell ref="S2:T2"/>
    <mergeCell ref="U2:V2"/>
    <mergeCell ref="W2:X2"/>
    <mergeCell ref="L2:L3"/>
    <mergeCell ref="B2:B3"/>
    <mergeCell ref="C2:C3"/>
    <mergeCell ref="D2:D3"/>
    <mergeCell ref="E2:F3"/>
    <mergeCell ref="G2:K2"/>
  </mergeCells>
  <conditionalFormatting sqref="F4:L15">
    <cfRule type="cellIs" dxfId="27" priority="9" operator="lessThan">
      <formula>95%</formula>
    </cfRule>
    <cfRule type="cellIs" dxfId="26" priority="10" operator="greaterThanOrEqual">
      <formula>95%</formula>
    </cfRule>
  </conditionalFormatting>
  <conditionalFormatting sqref="R4:R15">
    <cfRule type="cellIs" dxfId="25" priority="5" operator="lessThan">
      <formula>95%</formula>
    </cfRule>
    <cfRule type="cellIs" dxfId="24" priority="6" operator="greaterThanOrEqual">
      <formula>95%</formula>
    </cfRule>
  </conditionalFormatting>
  <conditionalFormatting sqref="X4:X15">
    <cfRule type="cellIs" dxfId="23" priority="1" operator="lessThan">
      <formula>95%</formula>
    </cfRule>
    <cfRule type="cellIs" dxfId="22" priority="2" operator="greaterThanOrEqual">
      <formula>95%</formula>
    </cfRule>
  </conditionalFormatting>
  <pageMargins left="0.7" right="0.7" top="0.75" bottom="0.75" header="0.3" footer="0.3"/>
  <pageSetup orientation="portrait" r:id="rId1"/>
  <ignoredErrors>
    <ignoredError sqref="J4" formula="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1D5F-833D-4471-AB85-A09EF09F9C5A}">
  <sheetPr codeName="Hoja11"/>
  <dimension ref="B1:Y23"/>
  <sheetViews>
    <sheetView showGridLines="0" topLeftCell="W5" zoomScaleNormal="100" workbookViewId="0">
      <selection activeCell="AB12" sqref="AB12"/>
    </sheetView>
  </sheetViews>
  <sheetFormatPr defaultColWidth="11.42578125" defaultRowHeight="15"/>
  <cols>
    <col min="2" max="2" width="11.42578125" bestFit="1" customWidth="1"/>
    <col min="3" max="3" width="8.28515625" style="5" bestFit="1" customWidth="1"/>
    <col min="4" max="5" width="8" style="6" bestFit="1" customWidth="1"/>
    <col min="6" max="6" width="10" style="6" customWidth="1"/>
    <col min="7" max="8" width="8.7109375" style="6" customWidth="1"/>
    <col min="9" max="9" width="8.42578125" style="6" customWidth="1"/>
    <col min="10" max="10" width="8.7109375" style="6" customWidth="1"/>
    <col min="11" max="11" width="9" style="6" customWidth="1"/>
    <col min="12" max="12" width="9" customWidth="1"/>
    <col min="13" max="13" width="9.7109375" customWidth="1"/>
    <col min="14" max="14" width="8" bestFit="1" customWidth="1"/>
    <col min="15" max="15" width="10.42578125" customWidth="1"/>
    <col min="16" max="16" width="14.85546875" customWidth="1"/>
    <col min="17" max="17" width="7.5703125" customWidth="1"/>
    <col min="18" max="18" width="7.85546875" customWidth="1"/>
    <col min="19" max="19" width="6.85546875" customWidth="1"/>
    <col min="24" max="24" width="18.140625" customWidth="1"/>
  </cols>
  <sheetData>
    <row r="1" spans="2:25" ht="18" customHeight="1">
      <c r="C1" s="324"/>
      <c r="D1" s="325"/>
      <c r="E1" s="330" t="s">
        <v>156</v>
      </c>
      <c r="F1" s="331"/>
      <c r="G1" s="331"/>
      <c r="H1" s="331"/>
      <c r="I1" s="331"/>
      <c r="J1" s="331"/>
      <c r="K1" s="332"/>
      <c r="L1" s="180" t="s">
        <v>0</v>
      </c>
      <c r="M1" s="180"/>
      <c r="N1" s="333" t="s">
        <v>1</v>
      </c>
      <c r="O1" s="334"/>
      <c r="P1" s="335"/>
    </row>
    <row r="2" spans="2:25" ht="15.75" customHeight="1">
      <c r="C2" s="326"/>
      <c r="D2" s="327"/>
      <c r="E2" s="336" t="s">
        <v>2</v>
      </c>
      <c r="F2" s="337"/>
      <c r="G2" s="337"/>
      <c r="H2" s="337"/>
      <c r="I2" s="337"/>
      <c r="J2" s="337"/>
      <c r="K2" s="338"/>
      <c r="L2" s="181" t="s">
        <v>3</v>
      </c>
      <c r="M2" s="181"/>
      <c r="N2" s="181">
        <v>0</v>
      </c>
      <c r="O2" s="181"/>
      <c r="P2" s="181"/>
    </row>
    <row r="3" spans="2:25" ht="15.75" customHeight="1">
      <c r="C3" s="328"/>
      <c r="D3" s="329"/>
      <c r="E3" s="333" t="s">
        <v>4</v>
      </c>
      <c r="F3" s="334"/>
      <c r="G3" s="334"/>
      <c r="H3" s="334"/>
      <c r="I3" s="334"/>
      <c r="J3" s="334"/>
      <c r="K3" s="335"/>
      <c r="L3" s="180" t="s">
        <v>5</v>
      </c>
      <c r="M3" s="180"/>
      <c r="N3" s="339">
        <v>45525</v>
      </c>
      <c r="O3" s="340"/>
      <c r="P3" s="341"/>
    </row>
    <row r="5" spans="2:25" ht="31.5" customHeight="1">
      <c r="B5" s="344" t="s">
        <v>9</v>
      </c>
      <c r="C5" s="344" t="s">
        <v>157</v>
      </c>
      <c r="D5" s="347" t="s">
        <v>158</v>
      </c>
      <c r="E5" s="348"/>
      <c r="F5" s="342" t="s">
        <v>159</v>
      </c>
      <c r="G5" s="393" t="s">
        <v>160</v>
      </c>
      <c r="H5" s="394"/>
      <c r="I5" s="394"/>
      <c r="J5" s="394"/>
      <c r="K5" s="342" t="s">
        <v>161</v>
      </c>
      <c r="L5" s="350" t="s">
        <v>162</v>
      </c>
      <c r="M5" s="351"/>
      <c r="N5" s="352"/>
      <c r="O5" s="353" t="s">
        <v>161</v>
      </c>
      <c r="P5" s="395" t="s">
        <v>163</v>
      </c>
      <c r="Q5" s="396"/>
      <c r="R5" s="397" t="s">
        <v>164</v>
      </c>
      <c r="S5" s="397"/>
    </row>
    <row r="6" spans="2:25" ht="66" customHeight="1">
      <c r="B6" s="345"/>
      <c r="C6" s="346"/>
      <c r="D6" s="15" t="s">
        <v>16</v>
      </c>
      <c r="E6" s="15" t="s">
        <v>17</v>
      </c>
      <c r="F6" s="343"/>
      <c r="G6" s="15" t="s">
        <v>28</v>
      </c>
      <c r="H6" s="15" t="s">
        <v>29</v>
      </c>
      <c r="I6" s="15" t="s">
        <v>30</v>
      </c>
      <c r="J6" s="15" t="s">
        <v>31</v>
      </c>
      <c r="K6" s="343"/>
      <c r="L6" s="11" t="s">
        <v>29</v>
      </c>
      <c r="M6" s="11" t="s">
        <v>30</v>
      </c>
      <c r="N6" s="11" t="s">
        <v>31</v>
      </c>
      <c r="O6" s="354"/>
      <c r="P6" s="358" t="s">
        <v>165</v>
      </c>
      <c r="Q6" s="358" t="s">
        <v>166</v>
      </c>
      <c r="R6" s="360" t="s">
        <v>165</v>
      </c>
      <c r="S6" s="360" t="s">
        <v>166</v>
      </c>
    </row>
    <row r="7" spans="2:25" s="19" customFormat="1" ht="18.75" customHeight="1">
      <c r="B7" s="346"/>
      <c r="C7" s="17" t="s">
        <v>167</v>
      </c>
      <c r="D7" s="58">
        <v>0.97</v>
      </c>
      <c r="E7" s="58">
        <v>0.03</v>
      </c>
      <c r="F7" s="349"/>
      <c r="G7" s="58">
        <v>0.56999999999999995</v>
      </c>
      <c r="H7" s="58">
        <v>0.03</v>
      </c>
      <c r="I7" s="58">
        <v>0.1</v>
      </c>
      <c r="J7" s="58">
        <v>0.3</v>
      </c>
      <c r="K7" s="60">
        <f>SUM(G7:J7)</f>
        <v>1</v>
      </c>
      <c r="L7" s="18"/>
      <c r="M7" s="18"/>
      <c r="N7" s="18"/>
      <c r="O7" s="355"/>
      <c r="P7" s="359"/>
      <c r="Q7" s="359"/>
      <c r="R7" s="361"/>
      <c r="S7" s="361"/>
      <c r="X7" s="274" t="s">
        <v>168</v>
      </c>
      <c r="Y7" s="274" t="s">
        <v>148</v>
      </c>
    </row>
    <row r="8" spans="2:25">
      <c r="B8" s="7" t="s">
        <v>37</v>
      </c>
      <c r="C8" s="8">
        <f>VLOOKUP(B8,Maestro!$A$7:$D$19,4,FALSE)</f>
        <v>44640</v>
      </c>
      <c r="D8" s="9">
        <f>+(($C8-(SUMIFS(disponibilidad[Tiempo falla 
(en Mintuos)],disponibilidad[JADE],"SI",disponibilidad[Mes],$B8,disponibilidad[[Tipo de afectación ]],"caÍda total",disponibilidad[Responsable Falla],"Matrix Tech",disponibilidad[Santander La Perla],"SI")))/$C8)*100</f>
        <v>100</v>
      </c>
      <c r="E8" s="9">
        <f>+(($C8-(SUMIFS(disponibilidad[Tiempo falla 
(en Mintuos)],disponibilidad[SIGA],"SI",disponibilidad[Mes],$B8,disponibilidad[[Tipo de afectación ]],"caÍda total",disponibilidad[Responsable Falla],"Matrix Tech",disponibilidad[Santander La Perla],"SI")))/$C8)*100</f>
        <v>100</v>
      </c>
      <c r="F8" s="13">
        <f t="shared" ref="F8:F19" si="0">SUMPRODUCT($D$7:$E$7,D8:E8)/$K$7</f>
        <v>100</v>
      </c>
      <c r="G8" s="9">
        <f>+(($C8-(SUMIFS(disponibilidad[Tiempo falla 
(en Mintuos)],disponibilidad[Apuestas - Chance],"SI",disponibilidad[Mes],$B8,disponibilidad[[Tipo de afectación ]],"caÍda total",disponibilidad[Responsable Falla],"Matrix Tech",disponibilidad[Santander La Perla],"SI")))/$C8)*100</f>
        <v>100</v>
      </c>
      <c r="H8" s="9">
        <f>+(($C8-(SUMIFS(disponibilidad[Tiempo falla 
(en Mintuos)],disponibilidad[PAGOS],"SI",disponibilidad[Mes],$B8,disponibilidad[[Tipo de afectación ]],"caÍda total",disponibilidad[Responsable Falla],"Matrix Tech",disponibilidad[Santander La Perla],"SI")))/$C8)*100</f>
        <v>100</v>
      </c>
      <c r="I8" s="9">
        <f>+(($C8-(SUMIFS(disponibilidad[Tiempo falla 
(en Mintuos)],disponibilidad[RECAUDOS],"SI",disponibilidad[Mes],$B8,disponibilidad[[Tipo de afectación ]],"caÍda total",disponibilidad[Responsable Falla],"Matrix Tech",disponibilidad[Santander La Perla],"SI")))/$C8)*100</f>
        <v>100</v>
      </c>
      <c r="J8" s="9">
        <f>+(($C8-(SUMIFS(disponibilidad[Tiempo falla 
(en Mintuos)],disponibilidad[RECARGAS],"SI",disponibilidad[Mes],$B8,disponibilidad[[Tipo de afectación ]],"caÍda total",disponibilidad[Responsable Falla],"Matrix Tech",disponibilidad[Santander La Perla],"SI")))/$C8)*100</f>
        <v>100</v>
      </c>
      <c r="K8" s="13">
        <f t="shared" ref="K8:K19" si="1">SUMPRODUCT($G$7:$J$7,G8:J8)/$K$7</f>
        <v>100</v>
      </c>
      <c r="L8" s="9">
        <f>+(($C8-(SUMIFS(disponibilidad[Tiempo falla 
(en Mintuos)],disponibilidad[PAGOS],"SI",disponibilidad[Mes],$B8,disponibilidad[[Tipo de afectación ]],"caÍda total",disponibilidad[Responsable Falla],"Aliados o terceros",disponibilidad[Acertemos - Cauca],"SI")))/$C8)*100</f>
        <v>100</v>
      </c>
      <c r="M8" s="9">
        <f>+(($C8-(SUMIFS(disponibilidad[Tiempo falla 
(en Mintuos)],disponibilidad[RECAUDOS],"SI",disponibilidad[Mes],$B8,disponibilidad[[Tipo de afectación ]],"caÍda total",disponibilidad[Responsable Falla],"Aliados o terceros",disponibilidad[Acertemos - Cauca],"SI")))/$C8)*100</f>
        <v>100</v>
      </c>
      <c r="N8" s="9">
        <f>+(($C8-(SUMIFS(disponibilidad[Tiempo falla 
(en Mintuos)],disponibilidad[RECARGAS],"SI",disponibilidad[Mes],$B8,disponibilidad[[Tipo de afectación ]],"caÍda total",disponibilidad[Responsable Falla],"Aliados o terceros",disponibilidad[Acertemos - Cauca],"SI")))/$C8)*100</f>
        <v>100</v>
      </c>
      <c r="O8" s="13">
        <f t="shared" ref="O8:O19" si="2">AVERAGE(L8:N8)</f>
        <v>100</v>
      </c>
      <c r="P8" s="12">
        <f>SUMIFS(disponibilidad[Tiempo falla 
(en Mintuos)],disponibilidad[Mes],$B8,disponibilidad[[Tipo de afectación ]],"caÍda total",disponibilidad[Responsable Falla],"Matrix Tech",disponibilidad[Acertemos - Cauca],"SI")</f>
        <v>0</v>
      </c>
      <c r="Q8" s="14">
        <f>+$P$8/$C$8</f>
        <v>0</v>
      </c>
      <c r="R8" s="12">
        <f>SUMIFS(disponibilidad[Tiempo falla 
(en Mintuos)],disponibilidad[Mes],$B8,disponibilidad[[Tipo de afectación ]],"caÍda total",disponibilidad[Responsable Falla],"Aliados o terceros",disponibilidad[Acertemos - Cauca],"SI")</f>
        <v>0</v>
      </c>
      <c r="S8" s="14">
        <f t="shared" ref="S8:S16" si="3">+$R$8/$C$8</f>
        <v>0</v>
      </c>
      <c r="X8" s="129"/>
    </row>
    <row r="9" spans="2:25">
      <c r="B9" s="10" t="s">
        <v>91</v>
      </c>
      <c r="C9" s="8">
        <f>VLOOKUP(B9,Maestro!$A$7:$D$19,4,FALSE)</f>
        <v>41760</v>
      </c>
      <c r="D9" s="9">
        <f>+(($C9-(SUMIFS(disponibilidad[Tiempo falla 
(en Mintuos)],disponibilidad[JADE],"SI",disponibilidad[Mes],$B9,disponibilidad[[Tipo de afectación ]],"caÍda total",disponibilidad[Responsable Falla],"Matrix Tech",disponibilidad[Acertemos - Cauca],"SI")))/$C9)*100</f>
        <v>100</v>
      </c>
      <c r="E9" s="9">
        <f>+(($C9-(SUMIFS(disponibilidad[Tiempo falla 
(en Mintuos)],disponibilidad[SIGA],"SI",disponibilidad[Mes],$B9,disponibilidad[[Tipo de afectación ]],"caÍda total",disponibilidad[Responsable Falla],"Matrix Tech",disponibilidad[Acertemos - Cauca],"SI")))/$C9)*100</f>
        <v>100</v>
      </c>
      <c r="F9" s="13">
        <f t="shared" si="0"/>
        <v>100</v>
      </c>
      <c r="G9" s="9">
        <f>+(($C9-(SUMIFS(disponibilidad[Tiempo falla 
(en Mintuos)],disponibilidad[Apuestas - Chance],"SI",disponibilidad[Mes],$B9,disponibilidad[[Tipo de afectación ]],"caÍda total",disponibilidad[Responsable Falla],"Matrix Tech",disponibilidad[Acertemos - Cauca],"SI")))/$C9)*100</f>
        <v>100</v>
      </c>
      <c r="H9" s="9">
        <f>+(($C9-(SUMIFS(disponibilidad[Tiempo falla 
(en Mintuos)],disponibilidad[PAGOS],"SI",disponibilidad[Mes],$B9,disponibilidad[[Tipo de afectación ]],"caÍda total",disponibilidad[Responsable Falla],"Matrix Tech",disponibilidad[Acertemos - Cauca],"SI")))/$C9)*100</f>
        <v>100</v>
      </c>
      <c r="I9" s="9">
        <f>+(($C9-(SUMIFS(disponibilidad[Tiempo falla 
(en Mintuos)],disponibilidad[RECAUDOS],"SI",disponibilidad[Mes],$B9,disponibilidad[[Tipo de afectación ]],"caÍda total",disponibilidad[Responsable Falla],"Matrix Tech",disponibilidad[Acertemos - Cauca],"SI")))/$C9)*100</f>
        <v>100</v>
      </c>
      <c r="J9" s="9">
        <f>+(($C9-(SUMIFS(disponibilidad[Tiempo falla 
(en Mintuos)],disponibilidad[RECARGAS],"SI",disponibilidad[Mes],$B9,disponibilidad[[Tipo de afectación ]],"caÍda total",disponibilidad[Responsable Falla],"Matrix Tech",disponibilidad[Acertemos - Cauca],"SI")))/$C9)*100</f>
        <v>100</v>
      </c>
      <c r="K9" s="13">
        <f t="shared" si="1"/>
        <v>100</v>
      </c>
      <c r="L9" s="9">
        <f>+(($C9-(SUMIFS(disponibilidad[Tiempo falla 
(en Mintuos)],disponibilidad[PAGOS],"SI",disponibilidad[Mes],$B9,disponibilidad[[Tipo de afectación ]],"caÍda total",disponibilidad[Responsable Falla],"Aliados o terceros",disponibilidad[Acertemos - Cauca],"SI")))/$C9)*100</f>
        <v>100</v>
      </c>
      <c r="M9" s="9">
        <f>+(($C9-(SUMIFS(disponibilidad[Tiempo falla 
(en Mintuos)],disponibilidad[RECAUDOS],"SI",disponibilidad[Mes],$B9,disponibilidad[[Tipo de afectación ]],"caÍda total",disponibilidad[Responsable Falla],"Aliados o terceros",disponibilidad[Acertemos - Cauca],"SI")))/$C9)*100</f>
        <v>100</v>
      </c>
      <c r="N9" s="9">
        <f>+(($C9-(SUMIFS(disponibilidad[Tiempo falla 
(en Mintuos)],disponibilidad[RECARGAS],"SI",disponibilidad[Mes],$B9,disponibilidad[[Tipo de afectación ]],"caÍda total",disponibilidad[Responsable Falla],"Aliados o terceros",disponibilidad[Acertemos - Cauca],"SI")))/$C9)*100</f>
        <v>100</v>
      </c>
      <c r="O9" s="13">
        <f t="shared" si="2"/>
        <v>100</v>
      </c>
      <c r="P9" s="12">
        <f>SUMIFS(disponibilidad[Tiempo falla 
(en Mintuos)],disponibilidad[Mes],$B9,disponibilidad[[Tipo de afectación ]],"caÍda total",disponibilidad[Responsable Falla],"Matrix Tech",disponibilidad[Acertemos - Cauca],"SI")</f>
        <v>0</v>
      </c>
      <c r="Q9" s="14">
        <f t="shared" ref="Q9:Q19" si="4">+P9/C9</f>
        <v>0</v>
      </c>
      <c r="R9" s="12">
        <f>SUMIFS(disponibilidad[Tiempo falla 
(en Mintuos)],disponibilidad[Mes],$B9,disponibilidad[[Tipo de afectación ]],"caÍda total",disponibilidad[Responsable Falla],"Aliados o terceros",disponibilidad[Acertemos - Cauca],"SI")</f>
        <v>0</v>
      </c>
      <c r="S9" s="14">
        <f t="shared" si="3"/>
        <v>0</v>
      </c>
      <c r="X9" s="270" t="s">
        <v>16</v>
      </c>
      <c r="Y9" s="271">
        <f>VLOOKUP($Y$7,$B$8:$R$17,3,FALSE)</f>
        <v>100</v>
      </c>
    </row>
    <row r="10" spans="2:25">
      <c r="B10" s="10" t="s">
        <v>148</v>
      </c>
      <c r="C10" s="8">
        <f>VLOOKUP(B10,Maestro!$A$7:$D$19,4,FALSE)</f>
        <v>44640</v>
      </c>
      <c r="D10" s="9">
        <f>+(($C10-(SUMIFS(disponibilidad[Tiempo falla 
(en Mintuos)],disponibilidad[JADE],"SI",disponibilidad[Mes],$B10,disponibilidad[[Tipo de afectación ]],"caÍda total",disponibilidad[Responsable Falla],"Matrix Tech",disponibilidad[Acertemos - Cauca],"SI")))/$C10)*100</f>
        <v>100</v>
      </c>
      <c r="E10" s="9">
        <f>+(($C10-(SUMIFS(disponibilidad[Tiempo falla 
(en Mintuos)],disponibilidad[SIGA],"SI",disponibilidad[Mes],$B10,disponibilidad[[Tipo de afectación ]],"caÍda total",disponibilidad[Responsable Falla],"Matrix Tech",disponibilidad[Acertemos - Cauca],"SI")))/$C10)*100</f>
        <v>100</v>
      </c>
      <c r="F10" s="13">
        <f t="shared" si="0"/>
        <v>100</v>
      </c>
      <c r="G10" s="9">
        <f>+(($C10-(SUMIFS(disponibilidad[Tiempo falla 
(en Mintuos)],disponibilidad[Apuestas - Chance],"SI",disponibilidad[Mes],$B10,disponibilidad[[Tipo de afectación ]],"caÍda total",disponibilidad[Responsable Falla],"Matrix Tech",disponibilidad[Acertemos - Cauca],"SI")))/$C10)*100</f>
        <v>100</v>
      </c>
      <c r="H10" s="9">
        <f>+(($C10-(SUMIFS(disponibilidad[Tiempo falla 
(en Mintuos)],disponibilidad[PAGOS],"SI",disponibilidad[Mes],$B10,disponibilidad[[Tipo de afectación ]],"caÍda total",disponibilidad[Responsable Falla],"Matrix Tech",disponibilidad[Acertemos - Cauca],"SI")))/$C10)*100</f>
        <v>100</v>
      </c>
      <c r="I10" s="9">
        <f>+(($C10-(SUMIFS(disponibilidad[Tiempo falla 
(en Mintuos)],disponibilidad[RECAUDOS],"SI",disponibilidad[Mes],$B10,disponibilidad[[Tipo de afectación ]],"caÍda total",disponibilidad[Responsable Falla],"Matrix Tech",disponibilidad[Acertemos - Cauca],"SI")))/$C10)*100</f>
        <v>100</v>
      </c>
      <c r="J10" s="9">
        <f>+(($C10-(SUMIFS(disponibilidad[Tiempo falla 
(en Mintuos)],disponibilidad[RECARGAS],"SI",disponibilidad[Mes],$B10,disponibilidad[[Tipo de afectación ]],"caÍda total",disponibilidad[Responsable Falla],"Matrix Tech",disponibilidad[Acertemos - Cauca],"SI")))/$C10)*100</f>
        <v>100</v>
      </c>
      <c r="K10" s="13">
        <f t="shared" si="1"/>
        <v>100</v>
      </c>
      <c r="L10" s="9">
        <f>+(($C10-(SUMIFS(disponibilidad[Tiempo falla 
(en Mintuos)],disponibilidad[PAGOS],"SI",disponibilidad[Mes],$B10,disponibilidad[[Tipo de afectación ]],"caÍda total",disponibilidad[Responsable Falla],"Aliados o terceros",disponibilidad[Acertemos - Cauca],"SI")))/$C10)*100</f>
        <v>100</v>
      </c>
      <c r="M10" s="9">
        <f>+(($C10-(SUMIFS(disponibilidad[Tiempo falla 
(en Mintuos)],disponibilidad[RECAUDOS],"SI",disponibilidad[Mes],$B10,disponibilidad[[Tipo de afectación ]],"caÍda total",disponibilidad[Responsable Falla],"Aliados o terceros",disponibilidad[Acertemos - Cauca],"SI")))/$C10)*100</f>
        <v>100</v>
      </c>
      <c r="N10" s="9">
        <f>+(($C10-(SUMIFS(disponibilidad[Tiempo falla 
(en Mintuos)],disponibilidad[RECARGAS],"SI",disponibilidad[Mes],$B10,disponibilidad[[Tipo de afectación ]],"caÍda total",disponibilidad[Responsable Falla],"Aliados o terceros",disponibilidad[Acertemos - Cauca],"SI")))/$C10)*100</f>
        <v>100</v>
      </c>
      <c r="O10" s="13">
        <f t="shared" si="2"/>
        <v>100</v>
      </c>
      <c r="P10" s="12">
        <f>SUMIFS(disponibilidad[Tiempo falla 
(en Mintuos)],disponibilidad[Mes],$B10,disponibilidad[[Tipo de afectación ]],"caÍda total",disponibilidad[Responsable Falla],"Matrix Tech",disponibilidad[Acertemos - Cauca],"SI")</f>
        <v>0</v>
      </c>
      <c r="Q10" s="14">
        <f t="shared" si="4"/>
        <v>0</v>
      </c>
      <c r="R10" s="12">
        <f>SUMIFS(disponibilidad[Tiempo falla 
(en Mintuos)],disponibilidad[Mes],$B10,disponibilidad[[Tipo de afectación ]],"caÍda total",disponibilidad[Responsable Falla],"Aliados o terceros",disponibilidad[Acertemos - Cauca],"SI")</f>
        <v>0</v>
      </c>
      <c r="S10" s="14">
        <f t="shared" si="3"/>
        <v>0</v>
      </c>
      <c r="X10" s="82" t="s">
        <v>17</v>
      </c>
      <c r="Y10" s="271">
        <f>VLOOKUP($Y$7,$B$8:$R$17,4,FALSE)</f>
        <v>100</v>
      </c>
    </row>
    <row r="11" spans="2:25">
      <c r="B11" s="10" t="s">
        <v>170</v>
      </c>
      <c r="C11" s="8">
        <f>VLOOKUP(B11,Maestro!$A$7:$D$19,4,FALSE)</f>
        <v>43200</v>
      </c>
      <c r="D11" s="9">
        <f>+(($C11-(SUMIFS(disponibilidad[Tiempo falla 
(en Mintuos)],disponibilidad[JADE],"SI",disponibilidad[Mes],$B11,disponibilidad[[Tipo de afectación ]],"caÍda total",disponibilidad[Responsable Falla],"Matrix Tech",disponibilidad[Acertemos - Cauca],"SI")))/$C11)*100</f>
        <v>100</v>
      </c>
      <c r="E11" s="9">
        <f>+(($C11-(SUMIFS(disponibilidad[Tiempo falla 
(en Mintuos)],disponibilidad[SIGA],"SI",disponibilidad[Mes],$B11,disponibilidad[[Tipo de afectación ]],"caÍda total",disponibilidad[Responsable Falla],"Matrix Tech",disponibilidad[Acertemos - Cauca],"SI")))/$C11)*100</f>
        <v>100</v>
      </c>
      <c r="F11" s="13">
        <f t="shared" si="0"/>
        <v>100</v>
      </c>
      <c r="G11" s="9">
        <f>+(($C11-(SUMIFS(disponibilidad[Tiempo falla 
(en Mintuos)],disponibilidad[Apuestas - Chance],"SI",disponibilidad[Mes],$B11,disponibilidad[[Tipo de afectación ]],"caÍda total",disponibilidad[Responsable Falla],"Matrix Tech",disponibilidad[Acertemos - Cauca],"SI")))/$C11)*100</f>
        <v>100</v>
      </c>
      <c r="H11" s="9">
        <f>+(($C11-(SUMIFS(disponibilidad[Tiempo falla 
(en Mintuos)],disponibilidad[PAGOS],"SI",disponibilidad[Mes],$B11,disponibilidad[[Tipo de afectación ]],"caÍda total",disponibilidad[Responsable Falla],"Matrix Tech",disponibilidad[Acertemos - Cauca],"SI")))/$C11)*100</f>
        <v>100</v>
      </c>
      <c r="I11" s="9">
        <f>+(($C11-(SUMIFS(disponibilidad[Tiempo falla 
(en Mintuos)],disponibilidad[RECAUDOS],"SI",disponibilidad[Mes],$B11,disponibilidad[[Tipo de afectación ]],"caÍda total",disponibilidad[Responsable Falla],"Matrix Tech",disponibilidad[Acertemos - Cauca],"SI")))/$C11)*100</f>
        <v>100</v>
      </c>
      <c r="J11" s="9">
        <f>+(($C11-(SUMIFS(disponibilidad[Tiempo falla 
(en Mintuos)],disponibilidad[RECARGAS],"SI",disponibilidad[Mes],$B11,disponibilidad[[Tipo de afectación ]],"caÍda total",disponibilidad[Responsable Falla],"Matrix Tech",disponibilidad[Acertemos - Cauca],"SI")))/$C11)*100</f>
        <v>100</v>
      </c>
      <c r="K11" s="13">
        <f t="shared" si="1"/>
        <v>100</v>
      </c>
      <c r="L11" s="9">
        <f>+(($C11-(SUMIFS(disponibilidad[Tiempo falla 
(en Mintuos)],disponibilidad[PAGOS],"SI",disponibilidad[Mes],$B11,disponibilidad[[Tipo de afectación ]],"caÍda total",disponibilidad[Responsable Falla],"Aliados o terceros",disponibilidad[Acertemos - Cauca],"SI")))/$C11)*100</f>
        <v>100</v>
      </c>
      <c r="M11" s="9">
        <f>+(($C11-(SUMIFS(disponibilidad[Tiempo falla 
(en Mintuos)],disponibilidad[RECAUDOS],"SI",disponibilidad[Mes],$B11,disponibilidad[[Tipo de afectación ]],"caÍda total",disponibilidad[Responsable Falla],"Aliados o terceros",disponibilidad[Acertemos - Cauca],"SI")))/$C11)*100</f>
        <v>100</v>
      </c>
      <c r="N11" s="9">
        <f>+(($C11-(SUMIFS(disponibilidad[Tiempo falla 
(en Mintuos)],disponibilidad[RECARGAS],"SI",disponibilidad[Mes],$B11,disponibilidad[[Tipo de afectación ]],"caÍda total",disponibilidad[Responsable Falla],"Aliados o terceros",disponibilidad[Acertemos - Cauca],"SI")))/$C11)*100</f>
        <v>100</v>
      </c>
      <c r="O11" s="13">
        <f t="shared" si="2"/>
        <v>100</v>
      </c>
      <c r="P11" s="12">
        <f>SUMIFS(disponibilidad[Tiempo falla 
(en Mintuos)],disponibilidad[Mes],$B11,disponibilidad[[Tipo de afectación ]],"caÍda total",disponibilidad[Responsable Falla],"Matrix Tech",disponibilidad[Acertemos - Cauca],"SI")</f>
        <v>0</v>
      </c>
      <c r="Q11" s="14">
        <f t="shared" si="4"/>
        <v>0</v>
      </c>
      <c r="R11" s="12">
        <f>SUMIFS(disponibilidad[Tiempo falla 
(en Mintuos)],disponibilidad[Mes],$B11,disponibilidad[[Tipo de afectación ]],"caÍda total",disponibilidad[Responsable Falla],"Aliados o terceros",disponibilidad[Acertemos - Cauca],"SI")</f>
        <v>0</v>
      </c>
      <c r="S11" s="14">
        <f t="shared" si="3"/>
        <v>0</v>
      </c>
      <c r="T11" s="80">
        <f>AVERAGE(F11,K11)</f>
        <v>100</v>
      </c>
      <c r="X11" s="272" t="s">
        <v>171</v>
      </c>
      <c r="Y11" s="271">
        <f>VLOOKUP($Y$7,$B$8:$R$17,7,FALSE)</f>
        <v>100</v>
      </c>
    </row>
    <row r="12" spans="2:25">
      <c r="B12" s="10" t="s">
        <v>169</v>
      </c>
      <c r="C12" s="8">
        <f>VLOOKUP(B12,Maestro!$A$7:$D$19,4,FALSE)</f>
        <v>44640</v>
      </c>
      <c r="D12" s="9">
        <f>+(($C12-(SUMIFS(disponibilidad[Tiempo falla 
(en Mintuos)],disponibilidad[JADE],"SI",disponibilidad[Mes],$B12,disponibilidad[[Tipo de afectación ]],"caÍda total",disponibilidad[Responsable Falla],"Matrix Tech",disponibilidad[Acertemos - Cauca],"SI")))/$C12)*100</f>
        <v>100</v>
      </c>
      <c r="E12" s="9">
        <f>+(($C12-(SUMIFS(disponibilidad[Tiempo falla 
(en Mintuos)],disponibilidad[SIGA],"SI",disponibilidad[Mes],$B12,disponibilidad[[Tipo de afectación ]],"caÍda total",disponibilidad[Responsable Falla],"Matrix Tech",disponibilidad[Acertemos - Cauca],"SI")))/$C12)*100</f>
        <v>100</v>
      </c>
      <c r="F12" s="13">
        <f t="shared" si="0"/>
        <v>100</v>
      </c>
      <c r="G12" s="9">
        <f>+(($C12-(SUMIFS(disponibilidad[Tiempo falla 
(en Mintuos)],disponibilidad[Apuestas - Chance],"SI",disponibilidad[Mes],$B12,disponibilidad[[Tipo de afectación ]],"caÍda total",disponibilidad[Responsable Falla],"Matrix Tech",disponibilidad[Acertemos - Cauca],"SI")))/$C12)*100</f>
        <v>100</v>
      </c>
      <c r="H12" s="9">
        <f>+(($C12-(SUMIFS(disponibilidad[Tiempo falla 
(en Mintuos)],disponibilidad[PAGOS],"SI",disponibilidad[Mes],$B12,disponibilidad[[Tipo de afectación ]],"caÍda total",disponibilidad[Responsable Falla],"Matrix Tech",disponibilidad[Acertemos - Cauca],"SI")))/$C12)*100</f>
        <v>100</v>
      </c>
      <c r="I12" s="9">
        <f>+(($C12-(SUMIFS(disponibilidad[Tiempo falla 
(en Mintuos)],disponibilidad[RECAUDOS],"SI",disponibilidad[Mes],$B12,disponibilidad[[Tipo de afectación ]],"caÍda total",disponibilidad[Responsable Falla],"Matrix Tech",disponibilidad[Acertemos - Cauca],"SI")))/$C12)*100</f>
        <v>100</v>
      </c>
      <c r="J12" s="9">
        <f>+(($C12-(SUMIFS(disponibilidad[Tiempo falla 
(en Mintuos)],disponibilidad[RECARGAS],"SI",disponibilidad[Mes],$B12,disponibilidad[[Tipo de afectación ]],"caÍda total",disponibilidad[Responsable Falla],"Matrix Tech",disponibilidad[Acertemos - Cauca],"SI")))/$C12)*100</f>
        <v>100</v>
      </c>
      <c r="K12" s="13">
        <f t="shared" si="1"/>
        <v>100</v>
      </c>
      <c r="L12" s="9">
        <f>+(($C12-(SUMIFS(disponibilidad[Tiempo falla 
(en Mintuos)],disponibilidad[PAGOS],"SI",disponibilidad[Mes],$B12,disponibilidad[[Tipo de afectación ]],"caÍda total",disponibilidad[Responsable Falla],"Aliados o terceros",disponibilidad[Acertemos - Cauca],"SI")))/$C12)*100</f>
        <v>100</v>
      </c>
      <c r="M12" s="9">
        <f>+(($C12-(SUMIFS(disponibilidad[Tiempo falla 
(en Mintuos)],disponibilidad[RECAUDOS],"SI",disponibilidad[Mes],$B12,disponibilidad[[Tipo de afectación ]],"caÍda total",disponibilidad[Responsable Falla],"Aliados o terceros",disponibilidad[Acertemos - Cauca],"SI")))/$C12)*100</f>
        <v>100</v>
      </c>
      <c r="N12" s="9">
        <f>+(($C12-(SUMIFS(disponibilidad[Tiempo falla 
(en Mintuos)],disponibilidad[RECARGAS],"SI",disponibilidad[Mes],$B12,disponibilidad[[Tipo de afectación ]],"caÍda total",disponibilidad[Responsable Falla],"Aliados o terceros",disponibilidad[Acertemos - Cauca],"SI")))/$C12)*100</f>
        <v>100</v>
      </c>
      <c r="O12" s="13">
        <f t="shared" si="2"/>
        <v>100</v>
      </c>
      <c r="P12" s="12">
        <f>SUMIFS(disponibilidad[Tiempo falla 
(en Mintuos)],disponibilidad[Mes],$B12,disponibilidad[[Tipo de afectación ]],"caÍda total",disponibilidad[Responsable Falla],"Matrix Tech",disponibilidad[Acertemos - Cauca],"SI")</f>
        <v>0</v>
      </c>
      <c r="Q12" s="14">
        <f t="shared" si="4"/>
        <v>0</v>
      </c>
      <c r="R12" s="12">
        <f>SUMIFS(disponibilidad[Tiempo falla 
(en Mintuos)],disponibilidad[Mes],$B12,disponibilidad[[Tipo de afectación ]],"caÍda total",disponibilidad[Responsable Falla],"Aliados o terceros",disponibilidad[Acertemos - Cauca],"SI")</f>
        <v>0</v>
      </c>
      <c r="S12" s="14">
        <f t="shared" si="3"/>
        <v>0</v>
      </c>
    </row>
    <row r="13" spans="2:25">
      <c r="B13" s="10" t="s">
        <v>172</v>
      </c>
      <c r="C13" s="8">
        <f>VLOOKUP(B13,Maestro!$A$7:$D$19,4,FALSE)</f>
        <v>43200</v>
      </c>
      <c r="D13" s="9">
        <f>+(($C13-(SUMIFS(disponibilidad[Tiempo falla 
(en Mintuos)],disponibilidad[JADE],"SI",disponibilidad[Mes],$B13,disponibilidad[[Tipo de afectación ]],"caÍda total",disponibilidad[Responsable Falla],"Matrix Tech",disponibilidad[Acertemos - Cauca],"SI")))/$C13)*100</f>
        <v>100</v>
      </c>
      <c r="E13" s="9">
        <f>+(($C13-(SUMIFS(disponibilidad[Tiempo falla 
(en Mintuos)],disponibilidad[SIGA],"SI",disponibilidad[Mes],$B13,disponibilidad[[Tipo de afectación ]],"caÍda total",disponibilidad[Responsable Falla],"Matrix Tech",disponibilidad[Acertemos - Cauca],"SI")))/$C13)*100</f>
        <v>100</v>
      </c>
      <c r="F13" s="13">
        <f t="shared" si="0"/>
        <v>100</v>
      </c>
      <c r="G13" s="9">
        <f>+(($C13-(SUMIFS(disponibilidad[Tiempo falla 
(en Mintuos)],disponibilidad[Apuestas - Chance],"SI",disponibilidad[Mes],$B13,disponibilidad[[Tipo de afectación ]],"caÍda total",disponibilidad[Responsable Falla],"Matrix Tech",disponibilidad[Acertemos - Cauca],"SI")))/$C13)*100</f>
        <v>100</v>
      </c>
      <c r="H13" s="9">
        <f>+(($C13-(SUMIFS(disponibilidad[Tiempo falla 
(en Mintuos)],disponibilidad[PAGOS],"SI",disponibilidad[Mes],$B13,disponibilidad[[Tipo de afectación ]],"caÍda total",disponibilidad[Responsable Falla],"Matrix Tech",disponibilidad[Acertemos - Cauca],"SI")))/$C13)*100</f>
        <v>100</v>
      </c>
      <c r="I13" s="9">
        <f>+(($C13-(SUMIFS(disponibilidad[Tiempo falla 
(en Mintuos)],disponibilidad[RECAUDOS],"SI",disponibilidad[Mes],$B13,disponibilidad[[Tipo de afectación ]],"caÍda total",disponibilidad[Responsable Falla],"Matrix Tech",disponibilidad[Acertemos - Cauca],"SI")))/$C13)*100</f>
        <v>100</v>
      </c>
      <c r="J13" s="9">
        <f>+(($C13-(SUMIFS(disponibilidad[Tiempo falla 
(en Mintuos)],disponibilidad[RECARGAS],"SI",disponibilidad[Mes],$B13,disponibilidad[[Tipo de afectación ]],"caÍda total",disponibilidad[Responsable Falla],"Matrix Tech",disponibilidad[Acertemos - Cauca],"SI")))/$C13)*100</f>
        <v>100</v>
      </c>
      <c r="K13" s="13">
        <f t="shared" si="1"/>
        <v>100</v>
      </c>
      <c r="L13" s="9">
        <f>+(($C13-(SUMIFS(disponibilidad[Tiempo falla 
(en Mintuos)],disponibilidad[PAGOS],"SI",disponibilidad[Mes],$B13,disponibilidad[[Tipo de afectación ]],"caÍda total",disponibilidad[Responsable Falla],"Aliados o terceros",disponibilidad[Acertemos - Cauca],"SI")))/$C13)*100</f>
        <v>100</v>
      </c>
      <c r="M13" s="9">
        <f>+(($C13-(SUMIFS(disponibilidad[Tiempo falla 
(en Mintuos)],disponibilidad[RECAUDOS],"SI",disponibilidad[Mes],$B13,disponibilidad[[Tipo de afectación ]],"caÍda total",disponibilidad[Responsable Falla],"Aliados o terceros",disponibilidad[Acertemos - Cauca],"SI")))/$C13)*100</f>
        <v>100</v>
      </c>
      <c r="N13" s="9">
        <f>+(($C13-(SUMIFS(disponibilidad[Tiempo falla 
(en Mintuos)],disponibilidad[RECARGAS],"SI",disponibilidad[Mes],$B13,disponibilidad[[Tipo de afectación ]],"caÍda total",disponibilidad[Responsable Falla],"Aliados o terceros",disponibilidad[Acertemos - Cauca],"SI")))/$C13)*100</f>
        <v>100</v>
      </c>
      <c r="O13" s="13">
        <f t="shared" si="2"/>
        <v>100</v>
      </c>
      <c r="P13" s="12">
        <f>SUMIFS(disponibilidad[Tiempo falla 
(en Mintuos)],disponibilidad[Mes],$B13,disponibilidad[[Tipo de afectación ]],"caÍda total",disponibilidad[Responsable Falla],"Matrix Tech",disponibilidad[Acertemos - Cauca],"SI")</f>
        <v>0</v>
      </c>
      <c r="Q13" s="14">
        <f t="shared" si="4"/>
        <v>0</v>
      </c>
      <c r="R13" s="12">
        <f>SUMIFS(disponibilidad[Tiempo falla 
(en Mintuos)],disponibilidad[Mes],$B13,disponibilidad[[Tipo de afectación ]],"caÍda total",disponibilidad[Responsable Falla],"Aliados o terceros",disponibilidad[Acertemos - Cauca],"SI")</f>
        <v>0</v>
      </c>
      <c r="S13" s="14">
        <f t="shared" si="3"/>
        <v>0</v>
      </c>
    </row>
    <row r="14" spans="2:25">
      <c r="B14" s="10" t="s">
        <v>173</v>
      </c>
      <c r="C14" s="8">
        <f>VLOOKUP(B14,Maestro!$A$7:$D$19,4,FALSE)</f>
        <v>44640</v>
      </c>
      <c r="D14" s="9">
        <f>+(($C14-(SUMIFS(disponibilidad[Tiempo falla 
(en Mintuos)],disponibilidad[JADE],"SI",disponibilidad[Mes],$B14,disponibilidad[[Tipo de afectación ]],"caÍda total",disponibilidad[Responsable Falla],"Matrix Tech",disponibilidad[Acertemos - Cauca],"SI")))/$C14)*100</f>
        <v>100</v>
      </c>
      <c r="E14" s="9">
        <f>+(($C14-(SUMIFS(disponibilidad[Tiempo falla 
(en Mintuos)],disponibilidad[SIGA],"SI",disponibilidad[Mes],$B14,disponibilidad[[Tipo de afectación ]],"caÍda total",disponibilidad[Responsable Falla],"Matrix Tech",disponibilidad[Acertemos - Cauca],"SI")))/$C14)*100</f>
        <v>100</v>
      </c>
      <c r="F14" s="13">
        <f t="shared" si="0"/>
        <v>100</v>
      </c>
      <c r="G14" s="9">
        <f>+(($C14-(SUMIFS(disponibilidad[Tiempo falla 
(en Mintuos)],disponibilidad[Apuestas - Chance],"SI",disponibilidad[Mes],$B14,disponibilidad[[Tipo de afectación ]],"caÍda total",disponibilidad[Responsable Falla],"Matrix Tech",disponibilidad[Acertemos - Cauca],"SI")))/$C14)*100</f>
        <v>100</v>
      </c>
      <c r="H14" s="9">
        <f>+(($C14-(SUMIFS(disponibilidad[Tiempo falla 
(en Mintuos)],disponibilidad[PAGOS],"SI",disponibilidad[Mes],$B14,disponibilidad[[Tipo de afectación ]],"caÍda total",disponibilidad[Responsable Falla],"Matrix Tech",disponibilidad[Acertemos - Cauca],"SI")))/$C14)*100</f>
        <v>100</v>
      </c>
      <c r="I14" s="9">
        <f>+(($C14-(SUMIFS(disponibilidad[Tiempo falla 
(en Mintuos)],disponibilidad[RECAUDOS],"SI",disponibilidad[Mes],$B14,disponibilidad[[Tipo de afectación ]],"caÍda total",disponibilidad[Responsable Falla],"Matrix Tech",disponibilidad[Acertemos - Cauca],"SI")))/$C14)*100</f>
        <v>100</v>
      </c>
      <c r="J14" s="9">
        <f>+(($C14-(SUMIFS(disponibilidad[Tiempo falla 
(en Mintuos)],disponibilidad[RECARGAS],"SI",disponibilidad[Mes],$B14,disponibilidad[[Tipo de afectación ]],"caÍda total",disponibilidad[Responsable Falla],"Matrix Tech",disponibilidad[Acertemos - Cauca],"SI")))/$C14)*100</f>
        <v>100</v>
      </c>
      <c r="K14" s="13">
        <f t="shared" si="1"/>
        <v>100</v>
      </c>
      <c r="L14" s="9">
        <f>+(($C14-(SUMIFS(disponibilidad[Tiempo falla 
(en Mintuos)],disponibilidad[PAGOS],"SI",disponibilidad[Mes],$B14,disponibilidad[[Tipo de afectación ]],"caÍda total",disponibilidad[Responsable Falla],"Aliados o terceros",disponibilidad[Acertemos - Cauca],"SI")))/$C14)*100</f>
        <v>100</v>
      </c>
      <c r="M14" s="9">
        <f>+(($C14-(SUMIFS(disponibilidad[Tiempo falla 
(en Mintuos)],disponibilidad[RECAUDOS],"SI",disponibilidad[Mes],$B14,disponibilidad[[Tipo de afectación ]],"caÍda total",disponibilidad[Responsable Falla],"Aliados o terceros",disponibilidad[Acertemos - Cauca],"SI")))/$C14)*100</f>
        <v>100</v>
      </c>
      <c r="N14" s="9">
        <f>+(($C14-(SUMIFS(disponibilidad[Tiempo falla 
(en Mintuos)],disponibilidad[RECARGAS],"SI",disponibilidad[Mes],$B14,disponibilidad[[Tipo de afectación ]],"caÍda total",disponibilidad[Responsable Falla],"Aliados o terceros",disponibilidad[Acertemos - Cauca],"SI")))/$C14)*100</f>
        <v>100</v>
      </c>
      <c r="O14" s="13">
        <f t="shared" si="2"/>
        <v>100</v>
      </c>
      <c r="P14" s="12">
        <f>SUMIFS(disponibilidad[Tiempo falla 
(en Mintuos)],disponibilidad[Mes],$B14,disponibilidad[[Tipo de afectación ]],"caÍda total",disponibilidad[Responsable Falla],"Matrix Tech",disponibilidad[Acertemos - Cauca],"SI")</f>
        <v>0</v>
      </c>
      <c r="Q14" s="14">
        <f t="shared" si="4"/>
        <v>0</v>
      </c>
      <c r="R14" s="12">
        <f>SUMIFS(disponibilidad[Tiempo falla 
(en Mintuos)],disponibilidad[Mes],$B14,disponibilidad[[Tipo de afectación ]],"caÍda total",disponibilidad[Responsable Falla],"Aliados o terceros",disponibilidad[Acertemos - Cauca],"SI")</f>
        <v>0</v>
      </c>
      <c r="S14" s="14">
        <f t="shared" si="3"/>
        <v>0</v>
      </c>
      <c r="X14" s="129"/>
    </row>
    <row r="15" spans="2:25">
      <c r="B15" s="10" t="s">
        <v>174</v>
      </c>
      <c r="C15" s="8">
        <f>VLOOKUP(B15,Maestro!$A$7:$D$19,4,FALSE)</f>
        <v>44640</v>
      </c>
      <c r="D15" s="9">
        <f>+(($C15-(SUMIFS(disponibilidad[Tiempo falla 
(en Mintuos)],disponibilidad[JADE],"SI",disponibilidad[Mes],$B15,disponibilidad[[Tipo de afectación ]],"caÍda total",disponibilidad[Responsable Falla],"Matrix Tech",disponibilidad[Santander La Perla],"SI")))/$C15)*100</f>
        <v>100</v>
      </c>
      <c r="E15" s="9">
        <f>+(($C15-(SUMIFS(disponibilidad[Tiempo falla 
(en Mintuos)],disponibilidad[SIGA],"SI",disponibilidad[Mes],$B15,disponibilidad[[Tipo de afectación ]],"caÍda total",disponibilidad[Responsable Falla],"Matrix Tech",disponibilidad[Santander La Perla],"SI")))/$C15)*100</f>
        <v>100</v>
      </c>
      <c r="F15" s="13">
        <f t="shared" si="0"/>
        <v>100</v>
      </c>
      <c r="G15" s="9">
        <f>+(($C15-(SUMIFS(disponibilidad[Tiempo falla 
(en Mintuos)],disponibilidad[Apuestas - Chance],"SI",disponibilidad[Mes],$B15,disponibilidad[[Tipo de afectación ]],"caÍda total",disponibilidad[Responsable Falla],"Matrix Tech",disponibilidad[Santander La Perla],"SI")))/$C15)*100</f>
        <v>100</v>
      </c>
      <c r="H15" s="9">
        <f>+(($C15-(SUMIFS(disponibilidad[Tiempo falla 
(en Mintuos)],disponibilidad[PAGOS],"SI",disponibilidad[Mes],$B15,disponibilidad[[Tipo de afectación ]],"caÍda total",disponibilidad[Responsable Falla],"Matrix Tech",disponibilidad[Santander La Perla],"SI")))/$C15)*100</f>
        <v>100</v>
      </c>
      <c r="I15" s="9">
        <f>+(($C15-(SUMIFS(disponibilidad[Tiempo falla 
(en Mintuos)],disponibilidad[RECAUDOS],"SI",disponibilidad[Mes],$B15,disponibilidad[[Tipo de afectación ]],"caÍda total",disponibilidad[Responsable Falla],"Matrix Tech",disponibilidad[Santander La Perla],"SI")))/$C15)*100</f>
        <v>100</v>
      </c>
      <c r="J15" s="9">
        <f>+(($C15-(SUMIFS(disponibilidad[Tiempo falla 
(en Mintuos)],disponibilidad[RECARGAS],"SI",disponibilidad[Mes],$B15,disponibilidad[[Tipo de afectación ]],"caÍda total",disponibilidad[Responsable Falla],"Matrix Tech",disponibilidad[Santander La Perla],"SI")))/$C15)*100</f>
        <v>100</v>
      </c>
      <c r="K15" s="13">
        <f t="shared" si="1"/>
        <v>100</v>
      </c>
      <c r="L15" s="9">
        <f>+(($C15-(SUMIFS(disponibilidad[Tiempo falla 
(en Mintuos)],disponibilidad[PAGOS],"SI",disponibilidad[Mes],$B15,disponibilidad[[Tipo de afectación ]],"caÍda total",disponibilidad[Responsable Falla],"Aliados o terceros",disponibilidad[Santander La Perla],"SI")))/$C15)*100</f>
        <v>100</v>
      </c>
      <c r="M15" s="9">
        <f>+(($C15-(SUMIFS(disponibilidad[Tiempo falla 
(en Mintuos)],disponibilidad[RECAUDOS],"SI",disponibilidad[Mes],$B15,disponibilidad[[Tipo de afectación ]],"caÍda total",disponibilidad[Responsable Falla],"Aliados o terceros",disponibilidad[Santander La Perla],"SI")))/$C15)*100</f>
        <v>100</v>
      </c>
      <c r="N15" s="9">
        <f>+(($C15-(SUMIFS(disponibilidad[Tiempo falla 
(en Mintuos)],disponibilidad[RECARGAS],"SI",disponibilidad[Mes],$B15,disponibilidad[[Tipo de afectación ]],"caÍda total",disponibilidad[Responsable Falla],"Aliados o terceros",disponibilidad[Santander La Perla],"SI")))/$C15)*100</f>
        <v>100</v>
      </c>
      <c r="O15" s="13">
        <f t="shared" si="2"/>
        <v>100</v>
      </c>
      <c r="P15" s="12">
        <f>SUMIFS(disponibilidad[Tiempo falla 
(en Mintuos)],disponibilidad[Mes],$B15,disponibilidad[[Tipo de afectación ]],"caÍda total",disponibilidad[Responsable Falla],"Matrix Tech",disponibilidad[Santander La Perla],"SI")</f>
        <v>0</v>
      </c>
      <c r="Q15" s="14">
        <f t="shared" si="4"/>
        <v>0</v>
      </c>
      <c r="R15" s="12">
        <f>SUMIFS(disponibilidad[Tiempo falla 
(en Mintuos)],disponibilidad[Mes],$B15,disponibilidad[[Tipo de afectación ]],"caÍda total",disponibilidad[Responsable Falla],"Aliados o terceros",disponibilidad[Santander La Perla],"SI")</f>
        <v>0</v>
      </c>
      <c r="S15" s="14">
        <f t="shared" si="3"/>
        <v>0</v>
      </c>
      <c r="X15" s="82" t="s">
        <v>28</v>
      </c>
      <c r="Y15" s="271">
        <f>VLOOKUP($Y$7,$B$8:$R$17,8,FALSE)</f>
        <v>100</v>
      </c>
    </row>
    <row r="16" spans="2:25">
      <c r="B16" s="10" t="s">
        <v>175</v>
      </c>
      <c r="C16" s="8">
        <f>VLOOKUP(B16,Maestro!$A$7:$D$19,4,FALSE)</f>
        <v>43200</v>
      </c>
      <c r="D16" s="9">
        <f>+(($C16-(SUMIFS(disponibilidad[Tiempo falla 
(en Mintuos)],disponibilidad[JADE],"SI",disponibilidad[Mes],$B16,disponibilidad[[Tipo de afectación ]],"caÍda total",disponibilidad[Responsable Falla],"Matrix Tech",disponibilidad[Santander La Perla],"SI")))/$C16)*100</f>
        <v>100</v>
      </c>
      <c r="E16" s="9">
        <f>+(($C16-(SUMIFS(disponibilidad[Tiempo falla 
(en Mintuos)],disponibilidad[SIGA],"SI",disponibilidad[Mes],$B16,disponibilidad[[Tipo de afectación ]],"caÍda total",disponibilidad[Responsable Falla],"Matrix Tech",disponibilidad[Santander La Perla],"SI")))/$C16)*100</f>
        <v>100</v>
      </c>
      <c r="F16" s="13">
        <f t="shared" si="0"/>
        <v>100</v>
      </c>
      <c r="G16" s="9">
        <f>+(($C16-(SUMIFS(disponibilidad[Tiempo falla 
(en Mintuos)],disponibilidad[Apuestas - Chance],"SI",disponibilidad[Mes],$B16,disponibilidad[[Tipo de afectación ]],"caÍda total",disponibilidad[Responsable Falla],"Matrix Tech",disponibilidad[Santander La Perla],"SI")))/$C16)*100</f>
        <v>100</v>
      </c>
      <c r="H16" s="9">
        <f>+(($C16-(SUMIFS(disponibilidad[Tiempo falla 
(en Mintuos)],disponibilidad[PAGOS],"SI",disponibilidad[Mes],$B16,disponibilidad[[Tipo de afectación ]],"caÍda total",disponibilidad[Responsable Falla],"Matrix Tech",disponibilidad[Santander La Perla],"SI")))/$C16)*100</f>
        <v>100</v>
      </c>
      <c r="I16" s="9">
        <f>+(($C16-(SUMIFS(disponibilidad[Tiempo falla 
(en Mintuos)],disponibilidad[RECAUDOS],"SI",disponibilidad[Mes],$B16,disponibilidad[[Tipo de afectación ]],"caÍda total",disponibilidad[Responsable Falla],"Matrix Tech",disponibilidad[Santander La Perla],"SI")))/$C16)*100</f>
        <v>100</v>
      </c>
      <c r="J16" s="9">
        <f>+(($C16-(SUMIFS(disponibilidad[Tiempo falla 
(en Mintuos)],disponibilidad[RECARGAS],"SI",disponibilidad[Mes],$B16,disponibilidad[[Tipo de afectación ]],"caÍda total",disponibilidad[Responsable Falla],"Matrix Tech",disponibilidad[Santander La Perla],"SI")))/$C16)*100</f>
        <v>100</v>
      </c>
      <c r="K16" s="13">
        <f t="shared" si="1"/>
        <v>100</v>
      </c>
      <c r="L16" s="9">
        <f>+(($C16-(SUMIFS(disponibilidad[Tiempo falla 
(en Mintuos)],disponibilidad[PAGOS],"SI",disponibilidad[Mes],$B16,disponibilidad[[Tipo de afectación ]],"caÍda total",disponibilidad[Responsable Falla],"Aliados o terceros",disponibilidad[Santander La Perla],"SI")))/$C16)*100</f>
        <v>100</v>
      </c>
      <c r="M16" s="9">
        <f>+(($C16-(SUMIFS(disponibilidad[Tiempo falla 
(en Mintuos)],disponibilidad[RECAUDOS],"SI",disponibilidad[Mes],$B16,disponibilidad[[Tipo de afectación ]],"caÍda total",disponibilidad[Responsable Falla],"Aliados o terceros",disponibilidad[Santander La Perla],"SI")))/$C16)*100</f>
        <v>100</v>
      </c>
      <c r="N16" s="9">
        <f>+(($C16-(SUMIFS(disponibilidad[Tiempo falla 
(en Mintuos)],disponibilidad[RECARGAS],"SI",disponibilidad[Mes],$B16,disponibilidad[[Tipo de afectación ]],"caÍda total",disponibilidad[Responsable Falla],"Aliados o terceros",disponibilidad[Santander La Perla],"SI")))/$C16)*100</f>
        <v>100</v>
      </c>
      <c r="O16" s="13">
        <f t="shared" si="2"/>
        <v>100</v>
      </c>
      <c r="P16" s="12">
        <f>SUMIFS(disponibilidad[Tiempo falla 
(en Mintuos)],disponibilidad[Mes],$B16,disponibilidad[[Tipo de afectación ]],"caÍda total",disponibilidad[Responsable Falla],"Matrix Tech",disponibilidad[Santander La Perla],"SI")</f>
        <v>0</v>
      </c>
      <c r="Q16" s="14">
        <f t="shared" si="4"/>
        <v>0</v>
      </c>
      <c r="R16" s="12">
        <f>SUMIFS(disponibilidad[Tiempo falla 
(en Mintuos)],disponibilidad[Mes],$B16,disponibilidad[[Tipo de afectación ]],"caÍda total",disponibilidad[Responsable Falla],"Aliados o terceros",disponibilidad[Acertemos - Cauca],"SI")</f>
        <v>0</v>
      </c>
      <c r="S16" s="14">
        <f t="shared" si="3"/>
        <v>0</v>
      </c>
      <c r="X16" s="82" t="s">
        <v>29</v>
      </c>
      <c r="Y16" s="271">
        <f>VLOOKUP($Y$7,$B$8:$R$17,9,FALSE)</f>
        <v>100</v>
      </c>
    </row>
    <row r="17" spans="2:25">
      <c r="B17" s="10" t="s">
        <v>176</v>
      </c>
      <c r="C17" s="8">
        <f>VLOOKUP(B17,Maestro!$A$7:$D$19,4,FALSE)</f>
        <v>44640</v>
      </c>
      <c r="D17" s="9">
        <f>+(($C17-(SUMIFS(disponibilidad[Tiempo falla 
(en Mintuos)],disponibilidad[JADE],"SI",disponibilidad[Mes],$B17,disponibilidad[[Tipo de afectación ]],"caÍda total",disponibilidad[Responsable Falla],"Matrix Tech",disponibilidad[Santander La Perla],"SI")))/$C17)*100</f>
        <v>100</v>
      </c>
      <c r="E17" s="9">
        <f>+(($C17-(SUMIFS(disponibilidad[Tiempo falla 
(en Mintuos)],disponibilidad[SIGA],"SI",disponibilidad[Mes],$B17,disponibilidad[[Tipo de afectación ]],"caÍda total",disponibilidad[Responsable Falla],"Matrix Tech",disponibilidad[Santander La Perla],"SI")))/$C17)*100</f>
        <v>100</v>
      </c>
      <c r="F17" s="13">
        <f t="shared" si="0"/>
        <v>100</v>
      </c>
      <c r="G17" s="9">
        <f>+((($C17-(SUMIFS(disponibilidad[Tiempo falla 
(en Mintuos)],disponibilidad[Apuestas - Chance],"SI",disponibilidad[Mes],$B17,disponibilidad[[Tipo de afectación ]],"caÍda total",disponibilidad[Responsable Falla],"Matrix Tech",disponibilidad[Santander La Perla],"SI")))/$C17)*100)</f>
        <v>100</v>
      </c>
      <c r="H17" s="9">
        <f>+((($C17-(SUMIFS(disponibilidad[Tiempo falla 
(en Mintuos)],disponibilidad[PAGOS],"SI",disponibilidad[Mes],$B17,disponibilidad[[Tipo de afectación ]],"caÍda total",disponibilidad[Responsable Falla],"Matrix Tech",disponibilidad[Santander La Perla],"SI")))/$C17)*100)</f>
        <v>100</v>
      </c>
      <c r="I17" s="9">
        <f>+((($C17-(SUMIFS(disponibilidad[Tiempo falla 
(en Mintuos)],disponibilidad[RECAUDOS],"SI",disponibilidad[Mes],$B17,disponibilidad[[Tipo de afectación ]],"caÍda total",disponibilidad[Responsable Falla],"Matrix Tech",disponibilidad[Santander La Perla],"SI")))/$C17))*100</f>
        <v>100</v>
      </c>
      <c r="J17" s="9">
        <f>+((($C17-(SUMIFS(disponibilidad[Tiempo falla 
(en Mintuos)],disponibilidad[RECARGAS],"SI",disponibilidad[Mes],$B17,disponibilidad[[Tipo de afectación ]],"caÍda total",disponibilidad[Responsable Falla],"Matrix Tech",disponibilidad[Santander La Perla],"SI")))/$C17)*100)</f>
        <v>100</v>
      </c>
      <c r="K17" s="13">
        <f t="shared" si="1"/>
        <v>100</v>
      </c>
      <c r="L17" s="9">
        <f>+(($C17-(SUMIFS(disponibilidad[Tiempo falla 
(en Mintuos)],disponibilidad[PAGOS],"SI",disponibilidad[Mes],$B17,disponibilidad[[Tipo de afectación ]],"caÍda total",disponibilidad[Responsable Falla],"Aliados o terceros",disponibilidad[Santander La Perla],"SI")))/$C17)*100</f>
        <v>100</v>
      </c>
      <c r="M17" s="9">
        <f>+(($C17-(SUMIFS(disponibilidad[Tiempo falla 
(en Mintuos)],disponibilidad[RECAUDOS],"SI",disponibilidad[Mes],$B17,disponibilidad[[Tipo de afectación ]],"caÍda total",disponibilidad[Responsable Falla],"Aliados o terceros",disponibilidad[Santander La Perla],"SI")))/$C17)*100</f>
        <v>100</v>
      </c>
      <c r="N17" s="9">
        <f>+(($C17-(SUMIFS(disponibilidad[Tiempo falla 
(en Mintuos)],disponibilidad[RECARGAS],"SI",disponibilidad[Mes],$B17,disponibilidad[[Tipo de afectación ]],"caÍda total",disponibilidad[Responsable Falla],"Aliados o terceros",disponibilidad[Santander La Perla],"SI")))/$C17)*100</f>
        <v>100</v>
      </c>
      <c r="O17" s="13">
        <f t="shared" si="2"/>
        <v>100</v>
      </c>
      <c r="P17" s="12">
        <f>SUMIFS(disponibilidad[Tiempo falla 
(en Mintuos)],disponibilidad[Mes],$B17,disponibilidad[[Tipo de afectación ]],"caÍda total",disponibilidad[Responsable Falla],"Matrix Tech",disponibilidad[Santander La Perla],"SI")</f>
        <v>0</v>
      </c>
      <c r="Q17" s="14">
        <f t="shared" si="4"/>
        <v>0</v>
      </c>
      <c r="R17" s="12">
        <f>SUMIFS(disponibilidad[Tiempo falla 
(en Mintuos)],disponibilidad[Mes],$B17,disponibilidad[[Tipo de afectación ]],"caÍda total",disponibilidad[Responsable Falla],"Aliados o terceros",disponibilidad[Santander La Perla],"SI")</f>
        <v>0</v>
      </c>
      <c r="S17" s="14">
        <f>+R17/C17</f>
        <v>0</v>
      </c>
      <c r="X17" s="82" t="s">
        <v>30</v>
      </c>
      <c r="Y17" s="271">
        <f>VLOOKUP($Y$7,$B$8:$R$17,10,FALSE)</f>
        <v>100</v>
      </c>
    </row>
    <row r="18" spans="2:25">
      <c r="B18" s="10" t="s">
        <v>177</v>
      </c>
      <c r="C18" s="8">
        <f>VLOOKUP(B18,Maestro!$A$7:$D$19,4,FALSE)</f>
        <v>43200</v>
      </c>
      <c r="D18" s="9">
        <f>+(($C18-(SUMIFS(disponibilidad[Tiempo falla 
(en Mintuos)],disponibilidad[JADE],"SI",disponibilidad[Mes],$B18,disponibilidad[[Tipo de afectación ]],"caÍda total",disponibilidad[Responsable Falla],"Matrix Tech",disponibilidad[Santander La Perla],"SI")))/$C18)*100</f>
        <v>100</v>
      </c>
      <c r="E18" s="9">
        <f>+(($C18-(SUMIFS(disponibilidad[Tiempo falla 
(en Mintuos)],disponibilidad[SIGA],"SI",disponibilidad[Mes],$B18,disponibilidad[[Tipo de afectación ]],"caÍda total",disponibilidad[Responsable Falla],"Matrix Tech",disponibilidad[Santander La Perla],"SI")))/$C18)*100</f>
        <v>100</v>
      </c>
      <c r="F18" s="13">
        <f t="shared" si="0"/>
        <v>100</v>
      </c>
      <c r="G18" s="9">
        <f>+((($C18-(SUMIFS(disponibilidad[Tiempo falla 
(en Mintuos)],disponibilidad[Apuestas - Chance],"SI",disponibilidad[Mes],$B18,disponibilidad[[Tipo de afectación ]],"caÍda total",disponibilidad[Responsable Falla],"Matrix Tech",disponibilidad[Santander La Perla],"SI")))/$C18)*100)</f>
        <v>100</v>
      </c>
      <c r="H18" s="9">
        <f>+((($C18-(SUMIFS(disponibilidad[Tiempo falla 
(en Mintuos)],disponibilidad[PAGOS],"SI",disponibilidad[Mes],$B18,disponibilidad[[Tipo de afectación ]],"caÍda total",disponibilidad[Responsable Falla],"Matrix Tech",disponibilidad[Santander La Perla],"SI")))/$C18)*100)</f>
        <v>100</v>
      </c>
      <c r="I18" s="9">
        <f>+((($C18-(SUMIFS(disponibilidad[Tiempo falla 
(en Mintuos)],disponibilidad[RECAUDOS],"SI",disponibilidad[Mes],$B18,disponibilidad[[Tipo de afectación ]],"caÍda total",disponibilidad[Responsable Falla],"Matrix Tech",disponibilidad[Santander La Perla],"SI")))/$C18)*100)</f>
        <v>100</v>
      </c>
      <c r="J18" s="9">
        <f>+((($C18-(SUMIFS(disponibilidad[Tiempo falla 
(en Mintuos)],disponibilidad[RECARGAS],"SI",disponibilidad[Mes],$B18,disponibilidad[[Tipo de afectación ]],"caÍda total",disponibilidad[Responsable Falla],"Matrix Tech",disponibilidad[Santander La Perla],"SI")))/$C18)*100)</f>
        <v>100</v>
      </c>
      <c r="K18" s="13">
        <f t="shared" si="1"/>
        <v>100</v>
      </c>
      <c r="L18" s="9">
        <f>+(($C18-(SUMIFS(disponibilidad[Tiempo falla 
(en Mintuos)],disponibilidad[PAGOS],"SI",disponibilidad[Mes],$B18,disponibilidad[[Tipo de afectación ]],"caÍda total",disponibilidad[Responsable Falla],"Aliados o terceros",disponibilidad[Santander La Perla],"SI")))/$C18)*100</f>
        <v>100</v>
      </c>
      <c r="M18" s="9">
        <f>+(($C18-(SUMIFS(disponibilidad[Tiempo falla 
(en Mintuos)],disponibilidad[RECAUDOS],"SI",disponibilidad[Mes],$B18,disponibilidad[[Tipo de afectación ]],"caÍda total",disponibilidad[Responsable Falla],"Aliados o terceros",disponibilidad[Santander La Perla],"SI")))/$C18)*100</f>
        <v>100</v>
      </c>
      <c r="N18" s="9">
        <f>+(($C18-(SUMIFS(disponibilidad[Tiempo falla 
(en Mintuos)],disponibilidad[RECARGAS],"SI",disponibilidad[Mes],$B18,disponibilidad[[Tipo de afectación ]],"caÍda total",disponibilidad[Responsable Falla],"Aliados o terceros",disponibilidad[Santander La Perla],"SI")))/$C18)*100</f>
        <v>100</v>
      </c>
      <c r="O18" s="13">
        <f t="shared" si="2"/>
        <v>100</v>
      </c>
      <c r="P18" s="12">
        <f>SUMIFS(disponibilidad[Tiempo falla 
(en Mintuos)],disponibilidad[Mes],$B18,disponibilidad[[Tipo de afectación ]],"caÍda total",disponibilidad[Responsable Falla],"Matrix Tech",disponibilidad[Santander La Perla],"SI")</f>
        <v>0</v>
      </c>
      <c r="Q18" s="14">
        <f t="shared" si="4"/>
        <v>0</v>
      </c>
      <c r="R18" s="12">
        <f>SUMIFS(disponibilidad[Tiempo falla 
(en Mintuos)],disponibilidad[Mes],$B18,disponibilidad[[Tipo de afectación ]],"caÍda total",disponibilidad[Responsable Falla],"Aliados o terceros",disponibilidad[Acertemos - Cauca],"SI")</f>
        <v>0</v>
      </c>
      <c r="S18" s="14">
        <f>+R18/C18</f>
        <v>0</v>
      </c>
      <c r="X18" s="82" t="s">
        <v>31</v>
      </c>
      <c r="Y18" s="271">
        <f>VLOOKUP($Y$7,$B$8:$R$17,11,FALSE)</f>
        <v>100</v>
      </c>
    </row>
    <row r="19" spans="2:25">
      <c r="B19" s="10" t="s">
        <v>178</v>
      </c>
      <c r="C19" s="8">
        <f>VLOOKUP(B19,Maestro!$A$7:$D$19,4,FALSE)</f>
        <v>44640</v>
      </c>
      <c r="D19" s="9">
        <f>+(($C19-(SUMIFS(disponibilidad[Tiempo falla 
(en Mintuos)],disponibilidad[JADE],"SI",disponibilidad[Mes],$B19,disponibilidad[[Tipo de afectación ]],"caÍda total",disponibilidad[Responsable Falla],"Matrix Tech",disponibilidad[Santander La Perla],"SI")))/$C19)*100</f>
        <v>100</v>
      </c>
      <c r="E19" s="9">
        <f>+(($C19-(SUMIFS(disponibilidad[Tiempo falla 
(en Mintuos)],disponibilidad[SIGA],"SI",disponibilidad[Mes],$B19,disponibilidad[[Tipo de afectación ]],"caÍda total",disponibilidad[Responsable Falla],"Matrix Tech",disponibilidad[Santander La Perla],"SI")))/$C19)*100</f>
        <v>100</v>
      </c>
      <c r="F19" s="13">
        <f t="shared" si="0"/>
        <v>100</v>
      </c>
      <c r="G19" s="9">
        <f>+((($C19-(SUMIFS(disponibilidad[Tiempo falla 
(en Mintuos)],disponibilidad[Apuestas - Chance],"SI",disponibilidad[Mes],$B19,disponibilidad[[Tipo de afectación ]],"caÍda total",disponibilidad[Responsable Falla],"Matrix Tech",disponibilidad[Santander La Perla],"SI")))/$C19)*100)</f>
        <v>100</v>
      </c>
      <c r="H19" s="9">
        <f>+((($C19-(SUMIFS(disponibilidad[Tiempo falla 
(en Mintuos)],disponibilidad[PAGOS],"SI",disponibilidad[Mes],$B19,disponibilidad[[Tipo de afectación ]],"caÍda total",disponibilidad[Responsable Falla],"Matrix Tech",disponibilidad[Santander La Perla],"SI")))/$C19)*100)</f>
        <v>100</v>
      </c>
      <c r="I19" s="9">
        <f>+((($C19-(SUMIFS(disponibilidad[Tiempo falla 
(en Mintuos)],disponibilidad[RECAUDOS],"SI",disponibilidad[Mes],$B19,disponibilidad[[Tipo de afectación ]],"caÍda total",disponibilidad[Responsable Falla],"Matrix Tech",disponibilidad[Santander La Perla],"SI")))/$C19)*100)</f>
        <v>100</v>
      </c>
      <c r="J19" s="9">
        <f>+((($C19-(SUMIFS(disponibilidad[Tiempo falla 
(en Mintuos)],disponibilidad[RECARGAS],"SI",disponibilidad[Mes],$B19,disponibilidad[[Tipo de afectación ]],"caÍda total",disponibilidad[Responsable Falla],"Matrix Tech",disponibilidad[Santander La Perla],"SI")))/$C19)*100)</f>
        <v>100</v>
      </c>
      <c r="K19" s="13">
        <f t="shared" si="1"/>
        <v>100</v>
      </c>
      <c r="L19" s="9">
        <f>+(($C19-(SUMIFS(disponibilidad[Tiempo falla 
(en Mintuos)],disponibilidad[PAGOS],"SI",disponibilidad[Mes],$B19,disponibilidad[[Tipo de afectación ]],"caÍda total",disponibilidad[Responsable Falla],"Aliados o terceros",disponibilidad[Santander La Perla],"SI")))/$C19)*100</f>
        <v>100</v>
      </c>
      <c r="M19" s="9">
        <f>+(($C19-(SUMIFS(disponibilidad[Tiempo falla 
(en Mintuos)],disponibilidad[RECAUDOS],"SI",disponibilidad[Mes],$B19,disponibilidad[[Tipo de afectación ]],"caÍda total",disponibilidad[Responsable Falla],"Aliados o terceros",disponibilidad[Santander La Perla],"SI")))/$C19)*100</f>
        <v>100</v>
      </c>
      <c r="N19" s="9">
        <f>+(($C19-(SUMIFS(disponibilidad[Tiempo falla 
(en Mintuos)],disponibilidad[RECARGAS],"SI",disponibilidad[Mes],$B19,disponibilidad[[Tipo de afectación ]],"caÍda total",disponibilidad[Responsable Falla],"Aliados o terceros",disponibilidad[Santander La Perla],"SI")))/$C19)*100</f>
        <v>100</v>
      </c>
      <c r="O19" s="13">
        <f t="shared" si="2"/>
        <v>100</v>
      </c>
      <c r="P19" s="12">
        <f>SUMIFS(disponibilidad[Tiempo falla 
(en Mintuos)],disponibilidad[Mes],$B19,disponibilidad[[Tipo de afectación ]],"caÍda total",disponibilidad[Responsable Falla],"Matrix Tech",disponibilidad[Santander La Perla],"SI")</f>
        <v>0</v>
      </c>
      <c r="Q19" s="14">
        <f t="shared" si="4"/>
        <v>0</v>
      </c>
      <c r="R19" s="12">
        <f>SUMIFS(disponibilidad[Tiempo falla 
(en Mintuos)],disponibilidad[Mes],$B19,disponibilidad[[Tipo de afectación ]],"caÍda total",disponibilidad[Responsable Falla],"Aliados o terceros",disponibilidad[Santander La Perla],"SI")</f>
        <v>0</v>
      </c>
      <c r="S19" s="14">
        <f>+R19/C19</f>
        <v>0</v>
      </c>
      <c r="X19" s="272" t="s">
        <v>179</v>
      </c>
      <c r="Y19" s="273">
        <f>VLOOKUP($Y$7,$B$8:$R$17,12,FALSE)</f>
        <v>100</v>
      </c>
    </row>
    <row r="23" spans="2:25">
      <c r="G23" s="57"/>
      <c r="H23" s="57"/>
      <c r="I23" s="57"/>
      <c r="J23" s="57"/>
      <c r="K23" s="57"/>
    </row>
  </sheetData>
  <mergeCells count="20">
    <mergeCell ref="R5:S5"/>
    <mergeCell ref="P6:P7"/>
    <mergeCell ref="Q6:Q7"/>
    <mergeCell ref="R6:R7"/>
    <mergeCell ref="S6:S7"/>
    <mergeCell ref="N1:P1"/>
    <mergeCell ref="N3:P3"/>
    <mergeCell ref="C1:D3"/>
    <mergeCell ref="B5:B7"/>
    <mergeCell ref="C5:C6"/>
    <mergeCell ref="D5:E5"/>
    <mergeCell ref="F5:F7"/>
    <mergeCell ref="E1:K1"/>
    <mergeCell ref="E2:K2"/>
    <mergeCell ref="E3:K3"/>
    <mergeCell ref="G5:J5"/>
    <mergeCell ref="P5:Q5"/>
    <mergeCell ref="L5:N5"/>
    <mergeCell ref="O5:O7"/>
    <mergeCell ref="K5:K6"/>
  </mergeCells>
  <conditionalFormatting sqref="F8:F19">
    <cfRule type="cellIs" dxfId="21" priority="5" operator="lessThan">
      <formula>99.7</formula>
    </cfRule>
    <cfRule type="cellIs" dxfId="20" priority="6" operator="greaterThanOrEqual">
      <formula>99.7</formula>
    </cfRule>
  </conditionalFormatting>
  <conditionalFormatting sqref="K8:K19">
    <cfRule type="cellIs" dxfId="19" priority="3" operator="lessThan">
      <formula>99.7</formula>
    </cfRule>
    <cfRule type="cellIs" dxfId="18" priority="4" operator="greaterThanOrEqual">
      <formula>99.7</formula>
    </cfRule>
  </conditionalFormatting>
  <conditionalFormatting sqref="O8:O19">
    <cfRule type="cellIs" dxfId="17" priority="1" operator="lessThan">
      <formula>99.7</formula>
    </cfRule>
    <cfRule type="cellIs" dxfId="16" priority="2" operator="greaterThanOrEqual">
      <formula>99.7</formula>
    </cfRule>
  </conditionalFormatting>
  <pageMargins left="0.7" right="0.7" top="0.75" bottom="0.75" header="0.3" footer="0.3"/>
  <pageSetup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EEE5F2D-220C-44DE-8A3E-3F5667859CE2}">
          <x14:formula1>
            <xm:f>Maestro!$A$8:$A$19</xm:f>
          </x14:formula1>
          <xm:sqref>Y7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231F-4C07-40F2-A95A-9CC17323E976}">
  <sheetPr codeName="Hoja17"/>
  <dimension ref="B1:Y19"/>
  <sheetViews>
    <sheetView showGridLines="0" topLeftCell="K1" workbookViewId="0">
      <selection activeCell="Y7" sqref="Y7"/>
    </sheetView>
  </sheetViews>
  <sheetFormatPr defaultColWidth="11.42578125" defaultRowHeight="15"/>
  <cols>
    <col min="3" max="3" width="8.28515625" style="5" bestFit="1" customWidth="1"/>
    <col min="4" max="5" width="8" style="6" bestFit="1" customWidth="1"/>
    <col min="6" max="6" width="10" style="6" customWidth="1"/>
    <col min="7" max="7" width="8.5703125" style="6" customWidth="1"/>
    <col min="8" max="8" width="8.7109375" style="6" customWidth="1"/>
    <col min="9" max="9" width="9" style="6" customWidth="1"/>
    <col min="10" max="10" width="7.7109375" style="6" customWidth="1"/>
    <col min="11" max="11" width="9" style="6" customWidth="1"/>
    <col min="12" max="15" width="8.42578125" customWidth="1"/>
    <col min="16" max="16" width="12.85546875" customWidth="1"/>
    <col min="17" max="17" width="7.5703125" customWidth="1"/>
    <col min="18" max="18" width="7.85546875" customWidth="1"/>
    <col min="19" max="19" width="6.85546875" customWidth="1"/>
    <col min="24" max="25" width="16.28515625" customWidth="1"/>
  </cols>
  <sheetData>
    <row r="1" spans="2:25" ht="18" customHeight="1">
      <c r="C1" s="324"/>
      <c r="D1" s="325"/>
      <c r="E1" s="330" t="s">
        <v>156</v>
      </c>
      <c r="F1" s="331"/>
      <c r="G1" s="331"/>
      <c r="H1" s="331"/>
      <c r="I1" s="332"/>
      <c r="J1" s="180" t="s">
        <v>0</v>
      </c>
      <c r="K1" s="180"/>
      <c r="L1" s="333" t="s">
        <v>1</v>
      </c>
      <c r="M1" s="334"/>
      <c r="N1" s="335"/>
    </row>
    <row r="2" spans="2:25" ht="15.75" customHeight="1">
      <c r="C2" s="326"/>
      <c r="D2" s="327"/>
      <c r="E2" s="336" t="s">
        <v>2</v>
      </c>
      <c r="F2" s="337"/>
      <c r="G2" s="337"/>
      <c r="H2" s="337"/>
      <c r="I2" s="338"/>
      <c r="J2" s="181" t="s">
        <v>3</v>
      </c>
      <c r="K2" s="181"/>
      <c r="L2" s="181">
        <v>0</v>
      </c>
      <c r="M2" s="181"/>
      <c r="N2" s="181"/>
    </row>
    <row r="3" spans="2:25" ht="15.75" customHeight="1">
      <c r="C3" s="328"/>
      <c r="D3" s="329"/>
      <c r="E3" s="333" t="s">
        <v>4</v>
      </c>
      <c r="F3" s="334"/>
      <c r="G3" s="334"/>
      <c r="H3" s="334"/>
      <c r="I3" s="335"/>
      <c r="J3" s="180" t="s">
        <v>5</v>
      </c>
      <c r="K3" s="180"/>
      <c r="L3" s="339">
        <v>45525</v>
      </c>
      <c r="M3" s="340"/>
      <c r="N3" s="341"/>
    </row>
    <row r="5" spans="2:25" ht="31.5" customHeight="1">
      <c r="B5" s="344" t="s">
        <v>9</v>
      </c>
      <c r="C5" s="344" t="s">
        <v>157</v>
      </c>
      <c r="D5" s="347" t="s">
        <v>158</v>
      </c>
      <c r="E5" s="348"/>
      <c r="F5" s="342" t="s">
        <v>159</v>
      </c>
      <c r="G5" s="347" t="s">
        <v>160</v>
      </c>
      <c r="H5" s="348"/>
      <c r="I5" s="348"/>
      <c r="J5" s="348"/>
      <c r="K5" s="342" t="s">
        <v>161</v>
      </c>
      <c r="L5" s="350" t="s">
        <v>162</v>
      </c>
      <c r="M5" s="351"/>
      <c r="N5" s="352"/>
      <c r="O5" s="353" t="s">
        <v>161</v>
      </c>
      <c r="P5" s="356" t="s">
        <v>163</v>
      </c>
      <c r="Q5" s="356"/>
      <c r="R5" s="357" t="s">
        <v>164</v>
      </c>
      <c r="S5" s="357"/>
    </row>
    <row r="6" spans="2:25" ht="66" customHeight="1">
      <c r="B6" s="345"/>
      <c r="C6" s="346"/>
      <c r="D6" s="15" t="s">
        <v>16</v>
      </c>
      <c r="E6" s="15" t="s">
        <v>17</v>
      </c>
      <c r="F6" s="343"/>
      <c r="G6" s="15" t="s">
        <v>28</v>
      </c>
      <c r="H6" s="15" t="s">
        <v>29</v>
      </c>
      <c r="I6" s="15" t="s">
        <v>30</v>
      </c>
      <c r="J6" s="15" t="s">
        <v>31</v>
      </c>
      <c r="K6" s="343"/>
      <c r="L6" s="11" t="s">
        <v>29</v>
      </c>
      <c r="M6" s="11" t="s">
        <v>30</v>
      </c>
      <c r="N6" s="11" t="s">
        <v>31</v>
      </c>
      <c r="O6" s="354"/>
      <c r="P6" s="358" t="s">
        <v>165</v>
      </c>
      <c r="Q6" s="358" t="s">
        <v>166</v>
      </c>
      <c r="R6" s="360" t="s">
        <v>165</v>
      </c>
      <c r="S6" s="360" t="s">
        <v>166</v>
      </c>
    </row>
    <row r="7" spans="2:25" s="19" customFormat="1" ht="18.75" customHeight="1">
      <c r="B7" s="346"/>
      <c r="C7" s="17" t="s">
        <v>167</v>
      </c>
      <c r="D7" s="58">
        <v>0.97</v>
      </c>
      <c r="E7" s="58">
        <v>0.03</v>
      </c>
      <c r="F7" s="349"/>
      <c r="G7" s="58">
        <v>0.56999999999999995</v>
      </c>
      <c r="H7" s="58">
        <v>0.03</v>
      </c>
      <c r="I7" s="58">
        <v>0.1</v>
      </c>
      <c r="J7" s="58">
        <v>0.3</v>
      </c>
      <c r="K7" s="59">
        <f>SUM(G7:J7)</f>
        <v>1</v>
      </c>
      <c r="L7" s="18"/>
      <c r="M7" s="18"/>
      <c r="N7" s="18"/>
      <c r="O7" s="355"/>
      <c r="P7" s="359"/>
      <c r="Q7" s="359"/>
      <c r="R7" s="361"/>
      <c r="S7" s="361"/>
      <c r="X7" s="274" t="s">
        <v>168</v>
      </c>
      <c r="Y7" s="274" t="s">
        <v>91</v>
      </c>
    </row>
    <row r="8" spans="2:25">
      <c r="B8" s="7" t="s">
        <v>37</v>
      </c>
      <c r="C8" s="8">
        <f>VLOOKUP(B8,Maestro!$A$7:$D$19,4,FALSE)</f>
        <v>44640</v>
      </c>
      <c r="D8" s="9">
        <f>+(($C8-(SUMIFS(disponibilidad[Tiempo falla 
(en Mintuos)],disponibilidad[JADE],"SI",disponibilidad[Mes],$B8,disponibilidad[[Tipo de afectación ]],"caÍda total",disponibilidad[Responsable Falla],"Matrix Tech",disponibilidad[Gana Gana - Tolima],"SI")))/$C8)*100</f>
        <v>99.955197132634737</v>
      </c>
      <c r="E8" s="9">
        <f>+(($C8-(SUMIFS(disponibilidad[Tiempo falla 
(en Mintuos)],disponibilidad[JADE],"SI",disponibilidad[Mes],$B8,disponibilidad[[Tipo de afectación ]],"caÍda total",disponibilidad[Responsable Falla],"Matrix Tech",disponibilidad[Gana Gana - Tolima],"SI")))/$C8)*100</f>
        <v>99.955197132634737</v>
      </c>
      <c r="F8" s="13">
        <f t="shared" ref="F8:F19" si="0">SUMPRODUCT($D$7:$E$7,D8:E8)/$K$7</f>
        <v>99.955197132634723</v>
      </c>
      <c r="G8" s="9">
        <f>+(($C8-(SUMIFS(disponibilidad[Tiempo falla 
(en Mintuos)],disponibilidad[Apuestas - Chance],"SI",disponibilidad[Mes],$B8,disponibilidad[[Tipo de afectación ]],"caÍda total",disponibilidad[Responsable Falla],"Matrix Tech",disponibilidad[Gana Gana - Tolima],"SI")))/$C8)*100</f>
        <v>99.955197132634737</v>
      </c>
      <c r="H8" s="9">
        <f>+(($C8-(SUMIFS(disponibilidad[Tiempo falla 
(en Mintuos)],disponibilidad[PAGOS],"SI",disponibilidad[Mes],$B8,disponibilidad[[Tipo de afectación ]],"caÍda total",disponibilidad[Responsable Falla],"Matrix Tech",disponibilidad[Gana Gana - Tolima],"SI")))/$C8)*100</f>
        <v>99.955197132634737</v>
      </c>
      <c r="I8" s="9">
        <f>+(($C8-(SUMIFS(disponibilidad[Tiempo falla 
(en Mintuos)],disponibilidad[RECAUDOS],"SI",disponibilidad[Mes],$B8,disponibilidad[[Tipo de afectación ]],"caÍda total",disponibilidad[Responsable Falla],"Matrix Tech",disponibilidad[Gana Gana - Tolima],"SI")))/$C8)*100</f>
        <v>99.955197132634737</v>
      </c>
      <c r="J8" s="9">
        <f>+(($C8-(SUMIFS(disponibilidad[Tiempo falla 
(en Mintuos)],disponibilidad[RECARGAS],"SI",disponibilidad[Mes],$B8,disponibilidad[[Tipo de afectación ]],"caÍda total",disponibilidad[Responsable Falla],"Matrix Tech",disponibilidad[Gana Gana - Tolima],"SI")))/$C8)*100</f>
        <v>99.955197132634737</v>
      </c>
      <c r="K8" s="13">
        <f t="shared" ref="K8:K19" si="1">SUMPRODUCT($G$7:$J$7,G8:J8)/$K$7</f>
        <v>99.955197132634723</v>
      </c>
      <c r="L8" s="9">
        <f>+(($C8-(SUMIFS(disponibilidad[Tiempo falla 
(en Mintuos)],disponibilidad[PAGOS],"SI",disponibilidad[Mes],$B8,disponibilidad[[Tipo de afectación ]],"caÍda total",disponibilidad[Responsable Falla],"Aliados o terceros",disponibilidad[Gana Gana - Tolima],"SI")))/$C8)*100</f>
        <v>100</v>
      </c>
      <c r="M8" s="9">
        <f>+(($C8-(SUMIFS(disponibilidad[Tiempo falla 
(en Mintuos)],disponibilidad[RECAUDOS],"SI",disponibilidad[Mes],$B8,disponibilidad[[Tipo de afectación ]],"caÍda total",disponibilidad[Responsable Falla],"Aliados o terceros",disponibilidad[Gana Gana - Tolima],"SI")))/$C8)*100</f>
        <v>100</v>
      </c>
      <c r="N8" s="9">
        <f>+(($C8-(SUMIFS(disponibilidad[Tiempo falla 
(en Mintuos)],disponibilidad[RECARGAS],"SI",disponibilidad[Mes],$B8,disponibilidad[[Tipo de afectación ]],"caÍda total",disponibilidad[Responsable Falla],"Aliados o terceros",disponibilidad[Gana Gana - Tolima],"SI")))/$C8)*100</f>
        <v>100</v>
      </c>
      <c r="O8" s="13">
        <f t="shared" ref="O8:O19" si="2">AVERAGE(L8:N8)</f>
        <v>100</v>
      </c>
      <c r="P8" s="12">
        <f>SUMIFS(disponibilidad[Tiempo falla 
(en Mintuos)],disponibilidad[Mes],$B8,disponibilidad[[Tipo de afectación ]],"caÍda total",disponibilidad[Responsable Falla],"Matrix Tech",disponibilidad[Gana Gana - Tolima],"SI")</f>
        <v>19.999999991850927</v>
      </c>
      <c r="Q8" s="14">
        <f>+$P$8/$C$8</f>
        <v>4.4802867365257453E-4</v>
      </c>
      <c r="R8" s="12">
        <f>SUMIFS(disponibilidad[Tiempo falla 
(en Mintuos)],disponibilidad[Mes],$B8,disponibilidad[[Tipo de afectación ]],"caÍda total",disponibilidad[Responsable Falla],"Aliados o terceros",disponibilidad[Acertemos - Cauca],"SI")</f>
        <v>0</v>
      </c>
      <c r="S8" s="14">
        <f t="shared" ref="S8:S19" si="3">+$R$8/$C$8</f>
        <v>0</v>
      </c>
      <c r="X8" s="129"/>
    </row>
    <row r="9" spans="2:25">
      <c r="B9" s="10" t="s">
        <v>91</v>
      </c>
      <c r="C9" s="8">
        <f>VLOOKUP(B9,Maestro!$A$7:$D$19,4,FALSE)</f>
        <v>41760</v>
      </c>
      <c r="D9" s="9">
        <f>+(($C9-(SUMIFS(disponibilidad[Tiempo falla 
(en Mintuos)],disponibilidad[JADE],"SI",disponibilidad[Mes],$B9,disponibilidad[[Tipo de afectación ]],"caÍda total",disponibilidad[Responsable Falla],"Matrix Tech",disponibilidad[Gana Gana - Tolima],"SI")))/$C9)*100</f>
        <v>99.940134099622441</v>
      </c>
      <c r="E9" s="9">
        <f>+(($C9-(SUMIFS(disponibilidad[Tiempo falla 
(en Mintuos)],disponibilidad[JADE],"SI",disponibilidad[Mes],$B9,disponibilidad[[Tipo de afectación ]],"caÍda total",disponibilidad[Responsable Falla],"Matrix Tech",disponibilidad[Gana Gana - Tolima],"SI")))/$C9)*100</f>
        <v>99.940134099622441</v>
      </c>
      <c r="F9" s="13">
        <f t="shared" si="0"/>
        <v>99.940134099622441</v>
      </c>
      <c r="G9" s="9">
        <f>+(($C9-(SUMIFS(disponibilidad[Tiempo falla 
(en Mintuos)],disponibilidad[Apuestas - Chance],"SI",disponibilidad[Mes],$B9,disponibilidad[[Tipo de afectación ]],"caÍda total",disponibilidad[Responsable Falla],"Matrix Tech",disponibilidad[Gana Gana - Tolima],"SI")))/$C9)*100</f>
        <v>99.940134099622441</v>
      </c>
      <c r="H9" s="9">
        <f>+(($C9-(SUMIFS(disponibilidad[Tiempo falla 
(en Mintuos)],disponibilidad[PAGOS],"SI",disponibilidad[Mes],$B9,disponibilidad[[Tipo de afectación ]],"caÍda total",disponibilidad[Responsable Falla],"Matrix Tech",disponibilidad[Gana Gana - Tolima],"SI")))/$C9)*100</f>
        <v>99.940134099622441</v>
      </c>
      <c r="I9" s="9">
        <f>+(($C9-(SUMIFS(disponibilidad[Tiempo falla 
(en Mintuos)],disponibilidad[RECAUDOS],"SI",disponibilidad[Mes],$B9,disponibilidad[[Tipo de afectación ]],"caÍda total",disponibilidad[Responsable Falla],"Matrix Tech",disponibilidad[Gana Gana - Tolima],"SI")))/$C9)*100</f>
        <v>99.940134099622441</v>
      </c>
      <c r="J9" s="9">
        <f>+(($C9-(SUMIFS(disponibilidad[Tiempo falla 
(en Mintuos)],disponibilidad[RECARGAS],"SI",disponibilidad[Mes],$B9,disponibilidad[[Tipo de afectación ]],"caÍda total",disponibilidad[Responsable Falla],"Matrix Tech",disponibilidad[Gana Gana - Tolima],"SI")))/$C9)*100</f>
        <v>99.940134099622441</v>
      </c>
      <c r="K9" s="13">
        <f t="shared" si="1"/>
        <v>99.940134099622441</v>
      </c>
      <c r="L9" s="9">
        <f>+(($C9-(SUMIFS(disponibilidad[Tiempo falla 
(en Mintuos)],disponibilidad[PAGOS],"SI",disponibilidad[Mes],$B9,disponibilidad[[Tipo de afectación ]],"caÍda total",disponibilidad[Responsable Falla],"Aliados o terceros",disponibilidad[Gana Gana - Tolima],"SI")))/$C9)*100</f>
        <v>100</v>
      </c>
      <c r="M9" s="9">
        <f>+(($C9-(SUMIFS(disponibilidad[Tiempo falla 
(en Mintuos)],disponibilidad[RECAUDOS],"SI",disponibilidad[Mes],$B9,disponibilidad[[Tipo de afectación ]],"caÍda total",disponibilidad[Responsable Falla],"Aliados o terceros",disponibilidad[Gana Gana - Tolima],"SI")))/$C9)*100</f>
        <v>100</v>
      </c>
      <c r="N9" s="9">
        <f>+(($C9-(SUMIFS(disponibilidad[Tiempo falla 
(en Mintuos)],disponibilidad[RECARGAS],"SI",disponibilidad[Mes],$B9,disponibilidad[[Tipo de afectación ]],"caÍda total",disponibilidad[Responsable Falla],"Aliados o terceros",disponibilidad[Gana Gana - Tolima],"SI")))/$C9)*100</f>
        <v>100</v>
      </c>
      <c r="O9" s="13">
        <f t="shared" si="2"/>
        <v>100</v>
      </c>
      <c r="P9" s="12">
        <f>SUMIFS(disponibilidad[Tiempo falla 
(en Mintuos)],disponibilidad[Mes],$B9,disponibilidad[[Tipo de afectación ]],"caÍda total",disponibilidad[Responsable Falla],"Matrix Tech",disponibilidad[Gana Gana - Tolima],"SI")</f>
        <v>24.999999997671694</v>
      </c>
      <c r="Q9" s="14">
        <f t="shared" ref="Q9:Q19" si="4">+P9/C9</f>
        <v>5.9865900377566313E-4</v>
      </c>
      <c r="R9" s="12">
        <f>SUMIFS(disponibilidad[Tiempo falla 
(en Mintuos)],disponibilidad[Mes],$B9,disponibilidad[[Tipo de afectación ]],"caÍda total",disponibilidad[Responsable Falla],"Aliados o terceros",disponibilidad[Acertemos - Cauca],"SI")</f>
        <v>0</v>
      </c>
      <c r="S9" s="14">
        <f t="shared" si="3"/>
        <v>0</v>
      </c>
      <c r="X9" s="270" t="s">
        <v>16</v>
      </c>
      <c r="Y9" s="271">
        <f>VLOOKUP($Y$7,$B$8:$R$19,3,FALSE)</f>
        <v>99.940134099622441</v>
      </c>
    </row>
    <row r="10" spans="2:25">
      <c r="B10" s="10" t="s">
        <v>148</v>
      </c>
      <c r="C10" s="8">
        <f>VLOOKUP(B10,Maestro!$A$7:$D$19,4,FALSE)</f>
        <v>44640</v>
      </c>
      <c r="D10" s="9">
        <f>+(($C10-(SUMIFS(disponibilidad[Tiempo falla 
(en Mintuos)],disponibilidad[JADE],"SI",disponibilidad[Mes],$B10,disponibilidad[[Tipo de afectación ]],"caÍda total",disponibilidad[Responsable Falla],"Matrix Tech",disponibilidad[Gana Gana - Tolima],"SI")))/$C10)*100</f>
        <v>100</v>
      </c>
      <c r="E10" s="9">
        <f>+(($C10-(SUMIFS(disponibilidad[Tiempo falla 
(en Mintuos)],disponibilidad[JADE],"SI",disponibilidad[Mes],$B10,disponibilidad[[Tipo de afectación ]],"caÍda total",disponibilidad[Responsable Falla],"Matrix Tech",disponibilidad[Gana Gana - Tolima],"SI")))/$C10)*100</f>
        <v>100</v>
      </c>
      <c r="F10" s="13">
        <f t="shared" si="0"/>
        <v>100</v>
      </c>
      <c r="G10" s="9">
        <f>+(($C10-(SUMIFS(disponibilidad[Tiempo falla 
(en Mintuos)],disponibilidad[Apuestas - Chance],"SI",disponibilidad[Mes],$B10,disponibilidad[[Tipo de afectación ]],"caÍda total",disponibilidad[Responsable Falla],"Matrix Tech",disponibilidad[Gana Gana - Tolima],"SI")))/$C10)*100</f>
        <v>100</v>
      </c>
      <c r="H10" s="9">
        <f>+(($C10-(SUMIFS(disponibilidad[Tiempo falla 
(en Mintuos)],disponibilidad[PAGOS],"SI",disponibilidad[Mes],$B10,disponibilidad[[Tipo de afectación ]],"caÍda total",disponibilidad[Responsable Falla],"Matrix Tech",disponibilidad[Gana Gana - Tolima],"SI")))/$C10)*100</f>
        <v>100</v>
      </c>
      <c r="I10" s="9">
        <f>+(($C10-(SUMIFS(disponibilidad[Tiempo falla 
(en Mintuos)],disponibilidad[RECAUDOS],"SI",disponibilidad[Mes],$B10,disponibilidad[[Tipo de afectación ]],"caÍda total",disponibilidad[Responsable Falla],"Matrix Tech",disponibilidad[Gana Gana - Tolima],"SI")))/$C10)*100</f>
        <v>100</v>
      </c>
      <c r="J10" s="9">
        <f>+(($C10-(SUMIFS(disponibilidad[Tiempo falla 
(en Mintuos)],disponibilidad[RECARGAS],"SI",disponibilidad[Mes],$B10,disponibilidad[[Tipo de afectación ]],"caÍda total",disponibilidad[Responsable Falla],"Matrix Tech",disponibilidad[Gana Gana - Tolima],"SI")))/$C10)*100</f>
        <v>100</v>
      </c>
      <c r="K10" s="13">
        <f t="shared" si="1"/>
        <v>100</v>
      </c>
      <c r="L10" s="9">
        <f>+(($C10-(SUMIFS(disponibilidad[Tiempo falla 
(en Mintuos)],disponibilidad[PAGOS],"SI",disponibilidad[Mes],$B10,disponibilidad[[Tipo de afectación ]],"caÍda total",disponibilidad[Responsable Falla],"Aliados o terceros",disponibilidad[Gana Gana - Tolima],"SI")))/$C10)*100</f>
        <v>100</v>
      </c>
      <c r="M10" s="9">
        <f>+(($C10-(SUMIFS(disponibilidad[Tiempo falla 
(en Mintuos)],disponibilidad[RECAUDOS],"SI",disponibilidad[Mes],$B10,disponibilidad[[Tipo de afectación ]],"caÍda total",disponibilidad[Responsable Falla],"Aliados o terceros",disponibilidad[Gana Gana - Tolima],"SI")))/$C10)*100</f>
        <v>100</v>
      </c>
      <c r="N10" s="9">
        <f>+(($C10-(SUMIFS(disponibilidad[Tiempo falla 
(en Mintuos)],disponibilidad[RECARGAS],"SI",disponibilidad[Mes],$B10,disponibilidad[[Tipo de afectación ]],"caÍda total",disponibilidad[Responsable Falla],"Aliados o terceros",disponibilidad[Gana Gana - Tolima],"SI")))/$C10)*100</f>
        <v>100</v>
      </c>
      <c r="O10" s="13">
        <f t="shared" si="2"/>
        <v>100</v>
      </c>
      <c r="P10" s="12">
        <f>SUMIFS(disponibilidad[Tiempo falla 
(en Mintuos)],disponibilidad[Mes],$B10,disponibilidad[[Tipo de afectación ]],"caÍda total",disponibilidad[Responsable Falla],"Matrix Tech",disponibilidad[Gana Gana - Tolima],"SI")</f>
        <v>0</v>
      </c>
      <c r="Q10" s="14">
        <f t="shared" si="4"/>
        <v>0</v>
      </c>
      <c r="R10" s="12">
        <f>SUMIFS(disponibilidad[Tiempo falla 
(en Mintuos)],disponibilidad[Mes],$B10,disponibilidad[[Tipo de afectación ]],"caÍda total",disponibilidad[Responsable Falla],"Aliados o terceros",disponibilidad[Acertemos - Cauca],"SI")</f>
        <v>0</v>
      </c>
      <c r="S10" s="14">
        <f t="shared" si="3"/>
        <v>0</v>
      </c>
      <c r="X10" s="82" t="s">
        <v>17</v>
      </c>
      <c r="Y10" s="271">
        <f>VLOOKUP($Y$7,$B$8:$S$19,4,FALSE)</f>
        <v>99.940134099622441</v>
      </c>
    </row>
    <row r="11" spans="2:25">
      <c r="B11" s="10" t="s">
        <v>170</v>
      </c>
      <c r="C11" s="8">
        <f>VLOOKUP(B11,Maestro!$A$7:$D$19,4,FALSE)</f>
        <v>43200</v>
      </c>
      <c r="D11" s="9">
        <f>+(($C11-(SUMIFS(disponibilidad[Tiempo falla 
(en Mintuos)],disponibilidad[JADE],"SI",disponibilidad[Mes],$B11,disponibilidad[[Tipo de afectación ]],"caÍda total",disponibilidad[Responsable Falla],"Matrix Tech",disponibilidad[Gana Gana - Tolima],"SI")))/$C11)*100</f>
        <v>100</v>
      </c>
      <c r="E11" s="9">
        <f>+(($C11-(SUMIFS(disponibilidad[Tiempo falla 
(en Mintuos)],disponibilidad[JADE],"SI",disponibilidad[Mes],$B11,disponibilidad[[Tipo de afectación ]],"caÍda total",disponibilidad[Responsable Falla],"Matrix Tech",disponibilidad[Gana Gana - Tolima],"SI")))/$C11)*100</f>
        <v>100</v>
      </c>
      <c r="F11" s="13">
        <f t="shared" si="0"/>
        <v>100</v>
      </c>
      <c r="G11" s="9">
        <f>+(($C11-(SUMIFS(disponibilidad[Tiempo falla 
(en Mintuos)],disponibilidad[Apuestas - Chance],"SI",disponibilidad[Mes],$B11,disponibilidad[[Tipo de afectación ]],"caÍda total",disponibilidad[Responsable Falla],"Matrix Tech",disponibilidad[Gana Gana - Tolima],"SI")))/$C11)*100</f>
        <v>100</v>
      </c>
      <c r="H11" s="9">
        <f>+(($C11-(SUMIFS(disponibilidad[Tiempo falla 
(en Mintuos)],disponibilidad[PAGOS],"SI",disponibilidad[Mes],$B11,disponibilidad[[Tipo de afectación ]],"caÍda total",disponibilidad[Responsable Falla],"Matrix Tech",disponibilidad[Gana Gana - Tolima],"SI")))/$C11)*100</f>
        <v>100</v>
      </c>
      <c r="I11" s="9">
        <f>+(($C11-(SUMIFS(disponibilidad[Tiempo falla 
(en Mintuos)],disponibilidad[RECAUDOS],"SI",disponibilidad[Mes],$B11,disponibilidad[[Tipo de afectación ]],"caÍda total",disponibilidad[Responsable Falla],"Matrix Tech",disponibilidad[Gana Gana - Tolima],"SI")))/$C11)*100</f>
        <v>100</v>
      </c>
      <c r="J11" s="9">
        <f>+(($C11-(SUMIFS(disponibilidad[Tiempo falla 
(en Mintuos)],disponibilidad[RECARGAS],"SI",disponibilidad[Mes],$B11,disponibilidad[[Tipo de afectación ]],"caÍda total",disponibilidad[Responsable Falla],"Matrix Tech",disponibilidad[Gana Gana - Tolima],"SI")))/$C11)*100</f>
        <v>100</v>
      </c>
      <c r="K11" s="13">
        <f t="shared" si="1"/>
        <v>100</v>
      </c>
      <c r="L11" s="9">
        <f>+(($C11-(SUMIFS(disponibilidad[Tiempo falla 
(en Mintuos)],disponibilidad[PAGOS],"SI",disponibilidad[Mes],$B11,disponibilidad[[Tipo de afectación ]],"caÍda total",disponibilidad[Responsable Falla],"Aliados o terceros",disponibilidad[Gana Gana - Tolima],"SI")))/$C11)*100</f>
        <v>100</v>
      </c>
      <c r="M11" s="9">
        <f>+(($C11-(SUMIFS(disponibilidad[Tiempo falla 
(en Mintuos)],disponibilidad[RECAUDOS],"SI",disponibilidad[Mes],$B11,disponibilidad[[Tipo de afectación ]],"caÍda total",disponibilidad[Responsable Falla],"Aliados o terceros",disponibilidad[Gana Gana - Tolima],"SI")))/$C11)*100</f>
        <v>100</v>
      </c>
      <c r="N11" s="9">
        <f>+(($C11-(SUMIFS(disponibilidad[Tiempo falla 
(en Mintuos)],disponibilidad[RECARGAS],"SI",disponibilidad[Mes],$B11,disponibilidad[[Tipo de afectación ]],"caÍda total",disponibilidad[Responsable Falla],"Aliados o terceros",disponibilidad[Gana Gana - Tolima],"SI")))/$C11)*100</f>
        <v>100</v>
      </c>
      <c r="O11" s="13">
        <f t="shared" si="2"/>
        <v>100</v>
      </c>
      <c r="P11" s="12">
        <f>SUMIFS(disponibilidad[Tiempo falla 
(en Mintuos)],disponibilidad[Mes],$B11,disponibilidad[[Tipo de afectación ]],"caÍda total",disponibilidad[Responsable Falla],"Matrix Tech",disponibilidad[Gana Gana - Tolima],"SI")</f>
        <v>0</v>
      </c>
      <c r="Q11" s="14">
        <f t="shared" si="4"/>
        <v>0</v>
      </c>
      <c r="R11" s="12">
        <f>SUMIFS(disponibilidad[Tiempo falla 
(en Mintuos)],disponibilidad[Mes],$B11,disponibilidad[[Tipo de afectación ]],"caÍda total",disponibilidad[Responsable Falla],"Aliados o terceros",disponibilidad[Acertemos - Cauca],"SI")</f>
        <v>0</v>
      </c>
      <c r="S11" s="14">
        <f t="shared" si="3"/>
        <v>0</v>
      </c>
      <c r="X11" s="272" t="s">
        <v>171</v>
      </c>
      <c r="Y11" s="271">
        <f>VLOOKUP($Y$7,$B$8:$S$19,7,FALSE)</f>
        <v>99.940134099622441</v>
      </c>
    </row>
    <row r="12" spans="2:25">
      <c r="B12" s="10" t="s">
        <v>169</v>
      </c>
      <c r="C12" s="8">
        <f>VLOOKUP(B12,Maestro!$A$7:$D$19,4,FALSE)</f>
        <v>44640</v>
      </c>
      <c r="D12" s="9">
        <f>+(($C12-(SUMIFS(disponibilidad[Tiempo falla 
(en Mintuos)],disponibilidad[JADE],"SI",disponibilidad[Mes],$B12,disponibilidad[[Tipo de afectación ]],"caÍda total",disponibilidad[Responsable Falla],"Matrix Tech",disponibilidad[Gana Gana - Tolima],"SI")))/$C12)*100</f>
        <v>100</v>
      </c>
      <c r="E12" s="9">
        <f>+(($C12-(SUMIFS(disponibilidad[Tiempo falla 
(en Mintuos)],disponibilidad[JADE],"SI",disponibilidad[Mes],$B12,disponibilidad[[Tipo de afectación ]],"caÍda total",disponibilidad[Responsable Falla],"Matrix Tech",disponibilidad[Gana Gana - Tolima],"SI")))/$C12)*100</f>
        <v>100</v>
      </c>
      <c r="F12" s="13">
        <f t="shared" si="0"/>
        <v>100</v>
      </c>
      <c r="G12" s="9">
        <f>+(($C12-(SUMIFS(disponibilidad[Tiempo falla 
(en Mintuos)],disponibilidad[Apuestas - Chance],"SI",disponibilidad[Mes],$B12,disponibilidad[[Tipo de afectación ]],"caÍda total",disponibilidad[Responsable Falla],"Matrix Tech",disponibilidad[Gana Gana - Tolima],"SI")))/$C12)*100</f>
        <v>100</v>
      </c>
      <c r="H12" s="9">
        <f>+(($C12-(SUMIFS(disponibilidad[Tiempo falla 
(en Mintuos)],disponibilidad[PAGOS],"SI",disponibilidad[Mes],$B12,disponibilidad[[Tipo de afectación ]],"caÍda total",disponibilidad[Responsable Falla],"Matrix Tech",disponibilidad[Gana Gana - Tolima],"SI")))/$C12)*100</f>
        <v>100</v>
      </c>
      <c r="I12" s="9">
        <f>+(($C12-(SUMIFS(disponibilidad[Tiempo falla 
(en Mintuos)],disponibilidad[RECAUDOS],"SI",disponibilidad[Mes],$B12,disponibilidad[[Tipo de afectación ]],"caÍda total",disponibilidad[Responsable Falla],"Matrix Tech",disponibilidad[Gana Gana - Tolima],"SI")))/$C12)*100</f>
        <v>100</v>
      </c>
      <c r="J12" s="9">
        <f>+(($C12-(SUMIFS(disponibilidad[Tiempo falla 
(en Mintuos)],disponibilidad[RECARGAS],"SI",disponibilidad[Mes],$B12,disponibilidad[[Tipo de afectación ]],"caÍda total",disponibilidad[Responsable Falla],"Matrix Tech",disponibilidad[Gana Gana - Tolima],"SI")))/$C12)*100</f>
        <v>100</v>
      </c>
      <c r="K12" s="13">
        <f t="shared" si="1"/>
        <v>100</v>
      </c>
      <c r="L12" s="9">
        <f>+(($C12-(SUMIFS(disponibilidad[Tiempo falla 
(en Mintuos)],disponibilidad[PAGOS],"SI",disponibilidad[Mes],$B12,disponibilidad[[Tipo de afectación ]],"caÍda total",disponibilidad[Responsable Falla],"Aliados o terceros",disponibilidad[Gana Gana - Tolima],"SI")))/$C12)*100</f>
        <v>100</v>
      </c>
      <c r="M12" s="9">
        <f>+(($C12-(SUMIFS(disponibilidad[Tiempo falla 
(en Mintuos)],disponibilidad[RECAUDOS],"SI",disponibilidad[Mes],$B12,disponibilidad[[Tipo de afectación ]],"caÍda total",disponibilidad[Responsable Falla],"Aliados o terceros",disponibilidad[Gana Gana - Tolima],"SI")))/$C12)*100</f>
        <v>100</v>
      </c>
      <c r="N12" s="9">
        <f>+(($C12-(SUMIFS(disponibilidad[Tiempo falla 
(en Mintuos)],disponibilidad[RECARGAS],"SI",disponibilidad[Mes],$B12,disponibilidad[[Tipo de afectación ]],"caÍda total",disponibilidad[Responsable Falla],"Aliados o terceros",disponibilidad[Gana Gana - Tolima],"SI")))/$C12)*100</f>
        <v>100</v>
      </c>
      <c r="O12" s="13">
        <f t="shared" si="2"/>
        <v>100</v>
      </c>
      <c r="P12" s="12">
        <f>SUMIFS(disponibilidad[Tiempo falla 
(en Mintuos)],disponibilidad[Mes],$B12,disponibilidad[[Tipo de afectación ]],"caÍda total",disponibilidad[Responsable Falla],"Matrix Tech",disponibilidad[Gana Gana - Tolima],"SI")</f>
        <v>0</v>
      </c>
      <c r="Q12" s="14">
        <f t="shared" si="4"/>
        <v>0</v>
      </c>
      <c r="R12" s="12">
        <f>SUMIFS(disponibilidad[Tiempo falla 
(en Mintuos)],disponibilidad[Mes],$B12,disponibilidad[[Tipo de afectación ]],"caÍda total",disponibilidad[Responsable Falla],"Aliados o terceros",disponibilidad[Acertemos - Cauca],"SI")</f>
        <v>0</v>
      </c>
      <c r="S12" s="14">
        <f t="shared" si="3"/>
        <v>0</v>
      </c>
    </row>
    <row r="13" spans="2:25">
      <c r="B13" s="141" t="s">
        <v>172</v>
      </c>
      <c r="C13" s="142">
        <f>VLOOKUP(B13,Maestro!$A$7:$D$19,4,FALSE)</f>
        <v>43200</v>
      </c>
      <c r="D13" s="143">
        <f>+(($C13-(SUMIFS(disponibilidad[Tiempo falla 
(en Mintuos)],disponibilidad[JADE],"SI",disponibilidad[Mes],$B13,disponibilidad[[Tipo de afectación ]],"caÍda total",disponibilidad[Responsable Falla],"Matrix Tech",disponibilidad[Gana Gana - Tolima],"SI")))/$C13)*100</f>
        <v>100</v>
      </c>
      <c r="E13" s="143">
        <f>+(($C13-(SUMIFS(disponibilidad[Tiempo falla 
(en Mintuos)],disponibilidad[JADE],"SI",disponibilidad[Mes],$B13,disponibilidad[[Tipo de afectación ]],"caÍda total",disponibilidad[Responsable Falla],"Matrix Tech",disponibilidad[Gana Gana - Tolima],"SI")))/$C13)*100</f>
        <v>100</v>
      </c>
      <c r="F13" s="144">
        <f t="shared" si="0"/>
        <v>100</v>
      </c>
      <c r="G13" s="143">
        <f>+(($C13-(SUMIFS(disponibilidad[Tiempo falla 
(en Mintuos)],disponibilidad[Apuestas - Chance],"SI",disponibilidad[Mes],$B13,disponibilidad[[Tipo de afectación ]],"caÍda total",disponibilidad[Responsable Falla],"Matrix Tech",disponibilidad[Gana Gana - Tolima],"SI")))/$C13)*100</f>
        <v>100</v>
      </c>
      <c r="H13" s="143">
        <f>+(($C13-(SUMIFS(disponibilidad[Tiempo falla 
(en Mintuos)],disponibilidad[PAGOS],"SI",disponibilidad[Mes],$B13,disponibilidad[[Tipo de afectación ]],"caÍda total",disponibilidad[Responsable Falla],"Matrix Tech",disponibilidad[Gana Gana - Tolima],"SI")))/$C13)*100</f>
        <v>100</v>
      </c>
      <c r="I13" s="143">
        <f>+(($C13-(SUMIFS(disponibilidad[Tiempo falla 
(en Mintuos)],disponibilidad[RECAUDOS],"SI",disponibilidad[Mes],$B13,disponibilidad[[Tipo de afectación ]],"caÍda total",disponibilidad[Responsable Falla],"Matrix Tech",disponibilidad[Gana Gana - Tolima],"SI")))/$C13)*100</f>
        <v>100</v>
      </c>
      <c r="J13" s="143">
        <f>+(($C13-(SUMIFS(disponibilidad[Tiempo falla 
(en Mintuos)],disponibilidad[RECARGAS],"SI",disponibilidad[Mes],$B13,disponibilidad[[Tipo de afectación ]],"caÍda total",disponibilidad[Responsable Falla],"Matrix Tech",disponibilidad[Gana Gana - Tolima],"SI")))/$C13)*100</f>
        <v>100</v>
      </c>
      <c r="K13" s="144">
        <f t="shared" si="1"/>
        <v>100</v>
      </c>
      <c r="L13" s="143">
        <f>+(($C13-(SUMIFS(disponibilidad[Tiempo falla 
(en Mintuos)],disponibilidad[PAGOS],"SI",disponibilidad[Mes],$B13,disponibilidad[[Tipo de afectación ]],"caÍda total",disponibilidad[Responsable Falla],"Aliados o terceros",disponibilidad[Gana Gana - Tolima],"SI")))/$C13)*100</f>
        <v>100</v>
      </c>
      <c r="M13" s="143">
        <f>+(($C13-(SUMIFS(disponibilidad[Tiempo falla 
(en Mintuos)],disponibilidad[RECAUDOS],"SI",disponibilidad[Mes],$B13,disponibilidad[[Tipo de afectación ]],"caÍda total",disponibilidad[Responsable Falla],"Aliados o terceros",disponibilidad[Gana Gana - Tolima],"SI")))/$C13)*100</f>
        <v>100</v>
      </c>
      <c r="N13" s="143">
        <f>+(($C13-(SUMIFS(disponibilidad[Tiempo falla 
(en Mintuos)],disponibilidad[RECARGAS],"SI",disponibilidad[Mes],$B13,disponibilidad[[Tipo de afectación ]],"caÍda total",disponibilidad[Responsable Falla],"Aliados o terceros",disponibilidad[Gana Gana - Tolima],"SI")))/$C13)*100</f>
        <v>100</v>
      </c>
      <c r="O13" s="268">
        <f t="shared" si="2"/>
        <v>100</v>
      </c>
      <c r="P13" s="12">
        <f>SUMIFS(disponibilidad[Tiempo falla 
(en Mintuos)],disponibilidad[Mes],$B13,disponibilidad[[Tipo de afectación ]],"caÍda total",disponibilidad[Responsable Falla],"Matrix Tech",disponibilidad[Gana Gana - Tolima],"SI")</f>
        <v>0</v>
      </c>
      <c r="Q13" s="14">
        <f t="shared" si="4"/>
        <v>0</v>
      </c>
      <c r="R13" s="12">
        <f>SUMIFS(disponibilidad[Tiempo falla 
(en Mintuos)],disponibilidad[Mes],$B13,disponibilidad[[Tipo de afectación ]],"caÍda total",disponibilidad[Responsable Falla],"Aliados o terceros",disponibilidad[Acertemos - Cauca],"SI")</f>
        <v>0</v>
      </c>
      <c r="S13" s="14">
        <f t="shared" si="3"/>
        <v>0</v>
      </c>
    </row>
    <row r="14" spans="2:25">
      <c r="B14" s="10" t="s">
        <v>173</v>
      </c>
      <c r="C14" s="8">
        <f>VLOOKUP(B14,Maestro!$A$7:$D$19,4,FALSE)</f>
        <v>44640</v>
      </c>
      <c r="D14" s="9">
        <f>+(($C14-(SUMIFS(disponibilidad[Tiempo falla 
(en Mintuos)],disponibilidad[JADE],"SI",disponibilidad[Mes],$B14,disponibilidad[[Tipo de afectación ]],"caÍda total",disponibilidad[Responsable Falla],"Matrix Tech",disponibilidad[Gana Gana - Tolima],"SI")))/$C14)*100</f>
        <v>100</v>
      </c>
      <c r="E14" s="9">
        <f>+(($C14-(SUMIFS(disponibilidad[Tiempo falla 
(en Mintuos)],disponibilidad[JADE],"SI",disponibilidad[Mes],$B14,disponibilidad[[Tipo de afectación ]],"caÍda total",disponibilidad[Responsable Falla],"Matrix Tech",disponibilidad[Gana Gana - Tolima],"SI")))/$C14)*100</f>
        <v>100</v>
      </c>
      <c r="F14" s="13">
        <f t="shared" si="0"/>
        <v>100</v>
      </c>
      <c r="G14" s="9">
        <f>+(($C14-(SUMIFS(disponibilidad[Tiempo falla 
(en Mintuos)],disponibilidad[Apuestas - Chance],"SI",disponibilidad[Mes],$B14,disponibilidad[[Tipo de afectación ]],"caÍda total",disponibilidad[Responsable Falla],"Matrix Tech",disponibilidad[Gana Gana - Tolima],"SI")))/$C14)*100</f>
        <v>100</v>
      </c>
      <c r="H14" s="9">
        <f>+(($C14-(SUMIFS(disponibilidad[Tiempo falla 
(en Mintuos)],disponibilidad[PAGOS],"SI",disponibilidad[Mes],$B14,disponibilidad[[Tipo de afectación ]],"caÍda total",disponibilidad[Responsable Falla],"Matrix Tech",disponibilidad[Gana Gana - Tolima],"SI")))/$C14)*100</f>
        <v>100</v>
      </c>
      <c r="I14" s="9">
        <f>+(($C14-(SUMIFS(disponibilidad[Tiempo falla 
(en Mintuos)],disponibilidad[RECAUDOS],"SI",disponibilidad[Mes],$B14,disponibilidad[[Tipo de afectación ]],"caÍda total",disponibilidad[Responsable Falla],"Matrix Tech",disponibilidad[Gana Gana - Tolima],"SI")))/$C14)*100</f>
        <v>100</v>
      </c>
      <c r="J14" s="9">
        <f>+(($C14-(SUMIFS(disponibilidad[Tiempo falla 
(en Mintuos)],disponibilidad[RECARGAS],"SI",disponibilidad[Mes],$B14,disponibilidad[[Tipo de afectación ]],"caÍda total",disponibilidad[Responsable Falla],"Matrix Tech",disponibilidad[Gana Gana - Tolima],"SI")))/$C14)*100</f>
        <v>100</v>
      </c>
      <c r="K14" s="13">
        <f t="shared" si="1"/>
        <v>100</v>
      </c>
      <c r="L14" s="9">
        <f>+(($C14-(SUMIFS(disponibilidad[Tiempo falla 
(en Mintuos)],disponibilidad[PAGOS],"SI",disponibilidad[Mes],$B14,disponibilidad[[Tipo de afectación ]],"caÍda total",disponibilidad[Responsable Falla],"Aliados o terceros",disponibilidad[Gana Gana - Tolima],"SI")))/$C14)*100</f>
        <v>100</v>
      </c>
      <c r="M14" s="9">
        <f>+(($C14-(SUMIFS(disponibilidad[Tiempo falla 
(en Mintuos)],disponibilidad[RECAUDOS],"SI",disponibilidad[Mes],$B14,disponibilidad[[Tipo de afectación ]],"caÍda total",disponibilidad[Responsable Falla],"Aliados o terceros",disponibilidad[Gana Gana - Tolima],"SI")))/$C14)*100</f>
        <v>100</v>
      </c>
      <c r="N14" s="9">
        <f>+(($C14-(SUMIFS(disponibilidad[Tiempo falla 
(en Mintuos)],disponibilidad[RECARGAS],"SI",disponibilidad[Mes],$B14,disponibilidad[[Tipo de afectación ]],"caÍda total",disponibilidad[Responsable Falla],"Aliados o terceros",disponibilidad[Gana Gana - Tolima],"SI")))/$C14)*100</f>
        <v>100</v>
      </c>
      <c r="O14" s="13">
        <f t="shared" si="2"/>
        <v>100</v>
      </c>
      <c r="P14" s="12">
        <f>SUMIFS(disponibilidad[Tiempo falla 
(en Mintuos)],disponibilidad[Mes],$B14,disponibilidad[[Tipo de afectación ]],"caÍda total",disponibilidad[Responsable Falla],"Matrix Tech",disponibilidad[Gana Gana - Tolima],"SI")</f>
        <v>0</v>
      </c>
      <c r="Q14" s="14">
        <f t="shared" si="4"/>
        <v>0</v>
      </c>
      <c r="R14" s="12">
        <f>SUMIFS(disponibilidad[Tiempo falla 
(en Mintuos)],disponibilidad[Mes],$B14,disponibilidad[[Tipo de afectación ]],"caÍda total",disponibilidad[Responsable Falla],"Aliados o terceros",disponibilidad[Acertemos - Cauca],"SI")</f>
        <v>0</v>
      </c>
      <c r="S14" s="14">
        <f t="shared" si="3"/>
        <v>0</v>
      </c>
      <c r="X14" s="129"/>
    </row>
    <row r="15" spans="2:25">
      <c r="B15" s="10" t="s">
        <v>174</v>
      </c>
      <c r="C15" s="8">
        <f>VLOOKUP(B15,Maestro!$A$7:$D$19,4,FALSE)</f>
        <v>44640</v>
      </c>
      <c r="D15" s="9">
        <f>+(($C15-(SUMIFS(disponibilidad[Tiempo falla 
(en Mintuos)],disponibilidad[JADE],"SI",disponibilidad[Mes],$B15,disponibilidad[[Tipo de afectación ]],"caÍda total",disponibilidad[Responsable Falla],"Matrix Tech",disponibilidad[Gana Gana - Tolima],"SI")))/$C15)*100</f>
        <v>100</v>
      </c>
      <c r="E15" s="9">
        <f>+(($C15-(SUMIFS(disponibilidad[Tiempo falla 
(en Mintuos)],disponibilidad[JADE],"SI",disponibilidad[Mes],$B15,disponibilidad[[Tipo de afectación ]],"caÍda total",disponibilidad[Responsable Falla],"Matrix Tech",disponibilidad[Gana Gana - Tolima],"SI")))/$C15)*100</f>
        <v>100</v>
      </c>
      <c r="F15" s="13">
        <f t="shared" si="0"/>
        <v>100</v>
      </c>
      <c r="G15" s="9">
        <f>+(($C15-(SUMIFS(disponibilidad[Tiempo falla 
(en Mintuos)],disponibilidad[Apuestas - Chance],"SI",disponibilidad[Mes],$B15,disponibilidad[[Tipo de afectación ]],"caÍda total",disponibilidad[Responsable Falla],"Matrix Tech",disponibilidad[Gana Gana - Tolima],"SI")))/$C15)*100</f>
        <v>100</v>
      </c>
      <c r="H15" s="9">
        <f>+(($C15-(SUMIFS(disponibilidad[Tiempo falla 
(en Mintuos)],disponibilidad[PAGOS],"SI",disponibilidad[Mes],$B15,disponibilidad[[Tipo de afectación ]],"caÍda total",disponibilidad[Responsable Falla],"Matrix Tech",disponibilidad[Gana Gana - Tolima],"SI")))/$C15)*100</f>
        <v>100</v>
      </c>
      <c r="I15" s="9">
        <f>+(($C15-(SUMIFS(disponibilidad[Tiempo falla 
(en Mintuos)],disponibilidad[RECAUDOS],"SI",disponibilidad[Mes],$B15,disponibilidad[[Tipo de afectación ]],"caÍda total",disponibilidad[Responsable Falla],"Matrix Tech",disponibilidad[Gana Gana - Tolima],"SI")))/$C15)*100</f>
        <v>100</v>
      </c>
      <c r="J15" s="9">
        <f>+(($C15-(SUMIFS(disponibilidad[Tiempo falla 
(en Mintuos)],disponibilidad[RECARGAS],"SI",disponibilidad[Mes],$B15,disponibilidad[[Tipo de afectación ]],"caÍda total",disponibilidad[Responsable Falla],"Matrix Tech",disponibilidad[Gana Gana - Tolima],"SI")))/$C15)*100</f>
        <v>100</v>
      </c>
      <c r="K15" s="13">
        <f t="shared" si="1"/>
        <v>100</v>
      </c>
      <c r="L15" s="9">
        <f>+(($C15-(SUMIFS(disponibilidad[Tiempo falla 
(en Mintuos)],disponibilidad[PAGOS],"SI",disponibilidad[Mes],$B15,disponibilidad[[Tipo de afectación ]],"caÍda total",disponibilidad[Responsable Falla],"Aliados o terceros",disponibilidad[Gana Gana - Tolima],"SI")))/$C15)*100</f>
        <v>100</v>
      </c>
      <c r="M15" s="9">
        <f>+(($C15-(SUMIFS(disponibilidad[Tiempo falla 
(en Mintuos)],disponibilidad[RECAUDOS],"SI",disponibilidad[Mes],$B15,disponibilidad[[Tipo de afectación ]],"caÍda total",disponibilidad[Responsable Falla],"Aliados o terceros",disponibilidad[Gana Gana - Tolima],"SI")))/$C15)*100</f>
        <v>100</v>
      </c>
      <c r="N15" s="9">
        <f>+(($C15-(SUMIFS(disponibilidad[Tiempo falla 
(en Mintuos)],disponibilidad[RECARGAS],"SI",disponibilidad[Mes],$B15,disponibilidad[[Tipo de afectación ]],"caÍda total",disponibilidad[Responsable Falla],"Aliados o terceros",disponibilidad[Gana Gana - Tolima],"SI")))/$C15)*100</f>
        <v>100</v>
      </c>
      <c r="O15" s="13">
        <f t="shared" si="2"/>
        <v>100</v>
      </c>
      <c r="P15" s="12">
        <f>SUMIFS(disponibilidad[Tiempo falla 
(en Mintuos)],disponibilidad[Mes],$B15,disponibilidad[[Tipo de afectación ]],"caÍda total",disponibilidad[Responsable Falla],"Matrix Tech",disponibilidad[Gana Gana - Tolima],"SI")</f>
        <v>0</v>
      </c>
      <c r="Q15" s="14">
        <f t="shared" si="4"/>
        <v>0</v>
      </c>
      <c r="R15" s="12">
        <f>SUMIFS(disponibilidad[Tiempo falla 
(en Mintuos)],disponibilidad[Mes],$B15,disponibilidad[[Tipo de afectación ]],"caÍda total",disponibilidad[Responsable Falla],"Aliados o terceros",disponibilidad[Acertemos - Cauca],"SI")</f>
        <v>0</v>
      </c>
      <c r="S15" s="14">
        <f t="shared" si="3"/>
        <v>0</v>
      </c>
      <c r="X15" s="82" t="s">
        <v>28</v>
      </c>
      <c r="Y15" s="271">
        <f>VLOOKUP($Y$7,$B$8:$S$19,8,FALSE)</f>
        <v>99.940134099622441</v>
      </c>
    </row>
    <row r="16" spans="2:25">
      <c r="B16" s="141" t="s">
        <v>175</v>
      </c>
      <c r="C16" s="142">
        <f>VLOOKUP(B16,Maestro!$A$7:$D$19,4,FALSE)</f>
        <v>43200</v>
      </c>
      <c r="D16" s="143">
        <f>+(($C16-(SUMIFS(disponibilidad[Tiempo falla 
(en Mintuos)],disponibilidad[JADE],"SI",disponibilidad[Mes],$B16,disponibilidad[[Tipo de afectación ]],"caÍda total",disponibilidad[Responsable Falla],"Matrix Tech",disponibilidad[Gana Gana - Tolima],"SI")))/$C16)*100</f>
        <v>100</v>
      </c>
      <c r="E16" s="143">
        <f>+(($C16-(SUMIFS(disponibilidad[Tiempo falla 
(en Mintuos)],disponibilidad[JADE],"SI",disponibilidad[Mes],$B16,disponibilidad[[Tipo de afectación ]],"caÍda total",disponibilidad[Responsable Falla],"Matrix Tech",disponibilidad[Gana Gana - Tolima],"SI")))/$C16)*100</f>
        <v>100</v>
      </c>
      <c r="F16" s="144">
        <f t="shared" si="0"/>
        <v>100</v>
      </c>
      <c r="G16" s="143">
        <f>+(($C16-(SUMIFS(disponibilidad[Tiempo falla 
(en Mintuos)],disponibilidad[Apuestas - Chance],"SI",disponibilidad[Mes],$B16,disponibilidad[[Tipo de afectación ]],"caÍda total",disponibilidad[Responsable Falla],"Matrix Tech",disponibilidad[Gana Gana - Tolima],"SI")))/$C16)*100</f>
        <v>100</v>
      </c>
      <c r="H16" s="143">
        <f>+(($C16-(SUMIFS(disponibilidad[Tiempo falla 
(en Mintuos)],disponibilidad[PAGOS],"SI",disponibilidad[Mes],$B16,disponibilidad[[Tipo de afectación ]],"caÍda total",disponibilidad[Responsable Falla],"Matrix Tech",disponibilidad[Gana Gana - Tolima],"SI")))/$C16)*100</f>
        <v>100</v>
      </c>
      <c r="I16" s="143">
        <f>+(($C16-(SUMIFS(disponibilidad[Tiempo falla 
(en Mintuos)],disponibilidad[RECAUDOS],"SI",disponibilidad[Mes],$B16,disponibilidad[[Tipo de afectación ]],"caÍda total",disponibilidad[Responsable Falla],"Matrix Tech",disponibilidad[Gana Gana - Tolima],"SI")))/$C16)*100</f>
        <v>100</v>
      </c>
      <c r="J16" s="143">
        <f>+(($C16-(SUMIFS(disponibilidad[Tiempo falla 
(en Mintuos)],disponibilidad[RECARGAS],"SI",disponibilidad[Mes],$B16,disponibilidad[[Tipo de afectación ]],"caÍda total",disponibilidad[Responsable Falla],"Matrix Tech",disponibilidad[Gana Gana - Tolima],"SI")))/$C16)*100</f>
        <v>100</v>
      </c>
      <c r="K16" s="144">
        <f t="shared" si="1"/>
        <v>100</v>
      </c>
      <c r="L16" s="143">
        <f>+(($C16-(SUMIFS(disponibilidad[Tiempo falla 
(en Mintuos)],disponibilidad[PAGOS],"SI",disponibilidad[Mes],$B16,disponibilidad[[Tipo de afectación ]],"caÍda total",disponibilidad[Responsable Falla],"Aliados o terceros",disponibilidad[Gana Gana - Tolima],"SI")))/$C16)*100</f>
        <v>100</v>
      </c>
      <c r="M16" s="143">
        <f>+(($C16-(SUMIFS(disponibilidad[Tiempo falla 
(en Mintuos)],disponibilidad[RECAUDOS],"SI",disponibilidad[Mes],$B16,disponibilidad[[Tipo de afectación ]],"caÍda total",disponibilidad[Responsable Falla],"Aliados o terceros",disponibilidad[Gana Gana - Tolima],"SI")))/$C16)*100</f>
        <v>100</v>
      </c>
      <c r="N16" s="143">
        <f>+(($C16-(SUMIFS(disponibilidad[Tiempo falla 
(en Mintuos)],disponibilidad[RECARGAS],"SI",disponibilidad[Mes],$B16,disponibilidad[[Tipo de afectación ]],"caÍda total",disponibilidad[Responsable Falla],"Aliados o terceros",disponibilidad[Gana Gana - Tolima],"SI")))/$C16)*100</f>
        <v>100</v>
      </c>
      <c r="O16" s="144">
        <f t="shared" si="2"/>
        <v>100</v>
      </c>
      <c r="P16" s="145">
        <f>SUMIFS(disponibilidad[Tiempo falla 
(en Mintuos)],disponibilidad[Mes],$B16,disponibilidad[[Tipo de afectación ]],"caÍda total",disponibilidad[Responsable Falla],"Matrix Tech",disponibilidad[Gana Gana - Tolima],"SI")</f>
        <v>0</v>
      </c>
      <c r="Q16" s="146">
        <f t="shared" si="4"/>
        <v>0</v>
      </c>
      <c r="R16" s="145">
        <f>SUMIFS(disponibilidad[Tiempo falla 
(en Mintuos)],disponibilidad[Mes],$B16,disponibilidad[[Tipo de afectación ]],"caÍda total",disponibilidad[Responsable Falla],"Aliados o terceros",disponibilidad[Acertemos - Cauca],"SI")</f>
        <v>0</v>
      </c>
      <c r="S16" s="146">
        <f t="shared" si="3"/>
        <v>0</v>
      </c>
      <c r="X16" s="82" t="s">
        <v>29</v>
      </c>
      <c r="Y16" s="271">
        <f>VLOOKUP($Y$7,$B$8:$S$19,9,FALSE)</f>
        <v>99.940134099622441</v>
      </c>
    </row>
    <row r="17" spans="2:25">
      <c r="B17" s="141" t="s">
        <v>176</v>
      </c>
      <c r="C17" s="142">
        <f>VLOOKUP(B17,Maestro!$A$7:$D$19,4,FALSE)</f>
        <v>44640</v>
      </c>
      <c r="D17" s="143">
        <f>+(($C17-(SUMIFS(disponibilidad[Tiempo falla 
(en Mintuos)],disponibilidad[JADE],"SI",disponibilidad[Mes],$B17,disponibilidad[[Tipo de afectación ]],"caÍda total",disponibilidad[Responsable Falla],"Matrix Tech",disponibilidad[Gana Gana - Tolima],"SI")))/$C17)*100</f>
        <v>100</v>
      </c>
      <c r="E17" s="143">
        <f>+(($C17-(SUMIFS(disponibilidad[Tiempo falla 
(en Mintuos)],disponibilidad[JADE],"SI",disponibilidad[Mes],$B17,disponibilidad[[Tipo de afectación ]],"caÍda total",disponibilidad[Responsable Falla],"Matrix Tech",disponibilidad[Gana Gana - Tolima],"SI")))/$C17)*100</f>
        <v>100</v>
      </c>
      <c r="F17" s="144">
        <f t="shared" si="0"/>
        <v>100</v>
      </c>
      <c r="G17" s="143">
        <f>+(($C17-(SUMIFS(disponibilidad[Tiempo falla 
(en Mintuos)],disponibilidad[Apuestas - Chance],"SI",disponibilidad[Mes],$B17,disponibilidad[[Tipo de afectación ]],"caÍda total",disponibilidad[Responsable Falla],"Matrix Tech",disponibilidad[Gana Gana - Tolima],"SI")))/$C17)*100</f>
        <v>100</v>
      </c>
      <c r="H17" s="143">
        <f>+(($C17-(SUMIFS(disponibilidad[Tiempo falla 
(en Mintuos)],disponibilidad[PAGOS],"SI",disponibilidad[Mes],$B17,disponibilidad[[Tipo de afectación ]],"caÍda total",disponibilidad[Responsable Falla],"Matrix Tech",disponibilidad[Gana Gana - Tolima],"SI")))/$C17)*100</f>
        <v>100</v>
      </c>
      <c r="I17" s="143">
        <f>+(($C17-(SUMIFS(disponibilidad[Tiempo falla 
(en Mintuos)],disponibilidad[RECAUDOS],"SI",disponibilidad[Mes],$B17,disponibilidad[[Tipo de afectación ]],"caÍda total",disponibilidad[Responsable Falla],"Matrix Tech",disponibilidad[Gana Gana - Tolima],"SI")))/$C17)*100</f>
        <v>100</v>
      </c>
      <c r="J17" s="143">
        <f>+(($C17-(SUMIFS(disponibilidad[Tiempo falla 
(en Mintuos)],disponibilidad[RECARGAS],"SI",disponibilidad[Mes],$B17,disponibilidad[[Tipo de afectación ]],"caÍda total",disponibilidad[Responsable Falla],"Matrix Tech",disponibilidad[Gana Gana - Tolima],"SI")))/$C17)*100</f>
        <v>100</v>
      </c>
      <c r="K17" s="144">
        <f t="shared" si="1"/>
        <v>100</v>
      </c>
      <c r="L17" s="143">
        <f>+(($C17-(SUMIFS(disponibilidad[Tiempo falla 
(en Mintuos)],disponibilidad[PAGOS],"SI",disponibilidad[Mes],$B17,disponibilidad[[Tipo de afectación ]],"caÍda total",disponibilidad[Responsable Falla],"Aliados o terceros",disponibilidad[Gana Gana - Tolima],"SI")))/$C17)*100</f>
        <v>100</v>
      </c>
      <c r="M17" s="143">
        <f>+(($C17-(SUMIFS(disponibilidad[Tiempo falla 
(en Mintuos)],disponibilidad[RECAUDOS],"SI",disponibilidad[Mes],$B17,disponibilidad[[Tipo de afectación ]],"caÍda total",disponibilidad[Responsable Falla],"Aliados o terceros",disponibilidad[Gana Gana - Tolima],"SI")))/$C17)*100</f>
        <v>100</v>
      </c>
      <c r="N17" s="143">
        <f>+(($C17-(SUMIFS(disponibilidad[Tiempo falla 
(en Mintuos)],disponibilidad[RECARGAS],"SI",disponibilidad[Mes],$B17,disponibilidad[[Tipo de afectación ]],"caÍda total",disponibilidad[Responsable Falla],"Aliados o terceros",disponibilidad[Gana Gana - Tolima],"SI")))/$C17)*100</f>
        <v>100</v>
      </c>
      <c r="O17" s="144">
        <f t="shared" si="2"/>
        <v>100</v>
      </c>
      <c r="P17" s="145">
        <f>SUMIFS(disponibilidad[Tiempo falla 
(en Mintuos)],disponibilidad[Mes],$B17,disponibilidad[[Tipo de afectación ]],"caÍda total",disponibilidad[Responsable Falla],"Matrix Tech",disponibilidad[Gana Gana - Tolima],"SI")</f>
        <v>0</v>
      </c>
      <c r="Q17" s="146">
        <f t="shared" si="4"/>
        <v>0</v>
      </c>
      <c r="R17" s="145">
        <f>SUMIFS(disponibilidad[Tiempo falla 
(en Mintuos)],disponibilidad[Mes],$B17,disponibilidad[[Tipo de afectación ]],"caÍda total",disponibilidad[Responsable Falla],"Aliados o terceros",disponibilidad[Gana Gana - Tolima],"SI")</f>
        <v>0</v>
      </c>
      <c r="S17" s="146">
        <f t="shared" si="3"/>
        <v>0</v>
      </c>
      <c r="X17" s="82" t="s">
        <v>30</v>
      </c>
      <c r="Y17" s="271">
        <f>VLOOKUP($Y$7,$B$8:$S$19,10,FALSE)</f>
        <v>99.940134099622441</v>
      </c>
    </row>
    <row r="18" spans="2:25">
      <c r="B18" s="10" t="s">
        <v>177</v>
      </c>
      <c r="C18" s="8">
        <f>VLOOKUP(B18,Maestro!$A$7:$D$19,4,FALSE)</f>
        <v>43200</v>
      </c>
      <c r="D18" s="9">
        <f>+(($C18-(SUMIFS(disponibilidad[Tiempo falla 
(en Mintuos)],disponibilidad[JADE],"SI",disponibilidad[Mes],$B18,disponibilidad[[Tipo de afectación ]],"caÍda total",disponibilidad[Responsable Falla],"Matrix Tech",disponibilidad[Gana Gana - Tolima],"SI")))/$C18)*100</f>
        <v>100</v>
      </c>
      <c r="E18" s="9">
        <f>+(($C18-(SUMIFS(disponibilidad[Tiempo falla 
(en Mintuos)],disponibilidad[JADE],"SI",disponibilidad[Mes],$B18,disponibilidad[[Tipo de afectación ]],"caÍda total",disponibilidad[Responsable Falla],"Matrix Tech",disponibilidad[Gana Gana - Tolima],"SI")))/$C18)*100</f>
        <v>100</v>
      </c>
      <c r="F18" s="13">
        <f t="shared" si="0"/>
        <v>100</v>
      </c>
      <c r="G18" s="9">
        <f>+(($C18-(SUMIFS(disponibilidad[Tiempo falla 
(en Mintuos)],disponibilidad[Apuestas - Chance],"SI",disponibilidad[Mes],$B18,disponibilidad[[Tipo de afectación ]],"caÍda total",disponibilidad[Responsable Falla],"Matrix Tech",disponibilidad[Gana Gana - Tolima],"SI")))/$C18)*100</f>
        <v>100</v>
      </c>
      <c r="H18" s="9">
        <f>+(($C18-(SUMIFS(disponibilidad[Tiempo falla 
(en Mintuos)],disponibilidad[PAGOS],"SI",disponibilidad[Mes],$B18,disponibilidad[[Tipo de afectación ]],"caÍda total",disponibilidad[Responsable Falla],"Matrix Tech",disponibilidad[Gana Gana - Tolima],"SI")))/$C18)*100</f>
        <v>100</v>
      </c>
      <c r="I18" s="9">
        <f>+(($C18-(SUMIFS(disponibilidad[Tiempo falla 
(en Mintuos)],disponibilidad[RECAUDOS],"SI",disponibilidad[Mes],$B18,disponibilidad[[Tipo de afectación ]],"caÍda total",disponibilidad[Responsable Falla],"Matrix Tech",disponibilidad[Gana Gana - Tolima],"SI")))/$C18)*100</f>
        <v>100</v>
      </c>
      <c r="J18" s="9">
        <f>+(($C18-(SUMIFS(disponibilidad[Tiempo falla 
(en Mintuos)],disponibilidad[RECARGAS],"SI",disponibilidad[Mes],$B18,disponibilidad[[Tipo de afectación ]],"caÍda total",disponibilidad[Responsable Falla],"Matrix Tech",disponibilidad[Gana Gana - Tolima],"SI")))/$C18)*100</f>
        <v>100</v>
      </c>
      <c r="K18" s="13">
        <f>SUMPRODUCT($G$7:$J$7,G18:J18)/$K$7</f>
        <v>100</v>
      </c>
      <c r="L18" s="9">
        <f>+(($C18-(SUMIFS(disponibilidad[Tiempo falla 
(en Mintuos)],disponibilidad[PAGOS],"SI",disponibilidad[Mes],$B18,disponibilidad[[Tipo de afectación ]],"caÍda total",disponibilidad[Responsable Falla],"Aliados o terceros",disponibilidad[Gana Gana - Tolima],"SI")))/$C18)*100</f>
        <v>100</v>
      </c>
      <c r="M18" s="9">
        <f>+(($C18-(SUMIFS(disponibilidad[Tiempo falla 
(en Mintuos)],disponibilidad[RECAUDOS],"SI",disponibilidad[Mes],$B18,disponibilidad[[Tipo de afectación ]],"caÍda total",disponibilidad[Responsable Falla],"Aliados o terceros",disponibilidad[Gana Gana - Tolima],"SI")))/$C18)*100</f>
        <v>100</v>
      </c>
      <c r="N18" s="9">
        <f>+(($C18-(SUMIFS(disponibilidad[Tiempo falla 
(en Mintuos)],disponibilidad[RECARGAS],"SI",disponibilidad[Mes],$B18,disponibilidad[[Tipo de afectación ]],"caÍda total",disponibilidad[Responsable Falla],"Aliados o terceros",disponibilidad[Gana Gana - Tolima],"SI")))/$C18)*100</f>
        <v>100</v>
      </c>
      <c r="O18" s="13">
        <f t="shared" si="2"/>
        <v>100</v>
      </c>
      <c r="P18" s="12">
        <f>SUMIFS(disponibilidad[Tiempo falla 
(en Mintuos)],disponibilidad[Mes],$B18,disponibilidad[[Tipo de afectación ]],"caÍda total",disponibilidad[Responsable Falla],"Matrix Tech",disponibilidad[Gana Gana - Tolima],"SI")</f>
        <v>0</v>
      </c>
      <c r="Q18" s="14">
        <f t="shared" si="4"/>
        <v>0</v>
      </c>
      <c r="R18" s="12">
        <f>SUMIFS(disponibilidad[Tiempo falla 
(en Mintuos)],disponibilidad[Mes],$B18,disponibilidad[[Tipo de afectación ]],"caÍda total",disponibilidad[Responsable Falla],"Aliados o terceros",disponibilidad[Gana Gana - Tolima],"SI")</f>
        <v>0</v>
      </c>
      <c r="S18" s="14">
        <f t="shared" si="3"/>
        <v>0</v>
      </c>
      <c r="X18" s="82" t="s">
        <v>31</v>
      </c>
      <c r="Y18" s="271">
        <f>VLOOKUP($Y$7,$B$8:$S$19,11,FALSE)</f>
        <v>100</v>
      </c>
    </row>
    <row r="19" spans="2:25">
      <c r="B19" s="10" t="s">
        <v>178</v>
      </c>
      <c r="C19" s="8">
        <f>VLOOKUP(B19,Maestro!$A$7:$D$19,4,FALSE)</f>
        <v>44640</v>
      </c>
      <c r="D19" s="9">
        <f>+(($C19-(SUMIFS(disponibilidad[Tiempo falla 
(en Mintuos)],disponibilidad[JADE],"SI",disponibilidad[Mes],$B19,disponibilidad[[Tipo de afectación ]],"caÍda total",disponibilidad[Responsable Falla],"Matrix Tech",disponibilidad[Gana Gana - Tolima],"SI")))/$C19)*100</f>
        <v>100</v>
      </c>
      <c r="E19" s="9">
        <f>+(($C19-(SUMIFS(disponibilidad[Tiempo falla 
(en Mintuos)],disponibilidad[JADE],"SI",disponibilidad[Mes],$B19,disponibilidad[[Tipo de afectación ]],"caÍda total",disponibilidad[Responsable Falla],"Matrix Tech",disponibilidad[Gana Gana - Tolima],"SI")))/$C19)*100</f>
        <v>100</v>
      </c>
      <c r="F19" s="13">
        <f t="shared" si="0"/>
        <v>100</v>
      </c>
      <c r="G19" s="9">
        <f>+(($C19-(SUMIFS(disponibilidad[Tiempo falla 
(en Mintuos)],disponibilidad[Apuestas - Chance],"SI",disponibilidad[Mes],$B19,disponibilidad[[Tipo de afectación ]],"caÍda total",disponibilidad[Responsable Falla],"Matrix Tech",disponibilidad[Gana Gana - Tolima],"SI")))/$C19)*100</f>
        <v>100</v>
      </c>
      <c r="H19" s="9">
        <f>+(($C19-(SUMIFS(disponibilidad[Tiempo falla 
(en Mintuos)],disponibilidad[PAGOS],"SI",disponibilidad[Mes],$B19,disponibilidad[[Tipo de afectación ]],"caÍda total",disponibilidad[Responsable Falla],"Matrix Tech",disponibilidad[Gana Gana - Tolima],"SI")))/$C19)*100</f>
        <v>100</v>
      </c>
      <c r="I19" s="9">
        <f>+(($C19-(SUMIFS(disponibilidad[Tiempo falla 
(en Mintuos)],disponibilidad[RECAUDOS],"SI",disponibilidad[Mes],$B19,disponibilidad[[Tipo de afectación ]],"caÍda total",disponibilidad[Responsable Falla],"Matrix Tech",disponibilidad[Gana Gana - Tolima],"SI")))/$C19)*100</f>
        <v>100</v>
      </c>
      <c r="J19" s="9">
        <f>+(($C19-(SUMIFS(disponibilidad[Tiempo falla 
(en Mintuos)],disponibilidad[RECARGAS],"SI",disponibilidad[Mes],$B19,disponibilidad[[Tipo de afectación ]],"caÍda total",disponibilidad[Responsable Falla],"Matrix Tech",disponibilidad[Gana Gana - Tolima],"SI")))/$C19)*100</f>
        <v>100</v>
      </c>
      <c r="K19" s="13">
        <f t="shared" si="1"/>
        <v>100</v>
      </c>
      <c r="L19" s="9">
        <f>+(($C19-(SUMIFS(disponibilidad[Tiempo falla 
(en Mintuos)],disponibilidad[PAGOS],"SI",disponibilidad[Mes],$B19,disponibilidad[[Tipo de afectación ]],"caÍda total",disponibilidad[Responsable Falla],"Aliados o terceros",disponibilidad[Gana Gana - Tolima],"SI")))/$C19)*100</f>
        <v>100</v>
      </c>
      <c r="M19" s="9">
        <f>+(($C19-(SUMIFS(disponibilidad[Tiempo falla 
(en Mintuos)],disponibilidad[RECAUDOS],"SI",disponibilidad[Mes],$B19,disponibilidad[[Tipo de afectación ]],"caÍda total",disponibilidad[Responsable Falla],"Aliados o terceros",disponibilidad[Gana Gana - Tolima],"SI")))/$C19)*100</f>
        <v>100</v>
      </c>
      <c r="N19" s="9">
        <f>+(($C19-(SUMIFS(disponibilidad[Tiempo falla 
(en Mintuos)],disponibilidad[RECARGAS],"SI",disponibilidad[Mes],$B19,disponibilidad[[Tipo de afectación ]],"caÍda total",disponibilidad[Responsable Falla],"Aliados o terceros",disponibilidad[Gana Gana - Tolima],"SI")))/$C19)*100</f>
        <v>100</v>
      </c>
      <c r="O19" s="13">
        <f t="shared" si="2"/>
        <v>100</v>
      </c>
      <c r="P19" s="12">
        <f>SUMIFS(disponibilidad[Tiempo falla 
(en Mintuos)],disponibilidad[Mes],$B19,disponibilidad[[Tipo de afectación ]],"caÍda total",disponibilidad[Responsable Falla],"Matrix Tech",disponibilidad[Gana Gana - Tolima],"SI")</f>
        <v>0</v>
      </c>
      <c r="Q19" s="14">
        <f t="shared" si="4"/>
        <v>0</v>
      </c>
      <c r="R19" s="12">
        <f>SUMIFS(disponibilidad[Tiempo falla 
(en Mintuos)],disponibilidad[Mes],$B19,disponibilidad[[Tipo de afectación ]],"caÍda total",disponibilidad[Responsable Falla],"Aliados o terceros",disponibilidad[Gana Gana - Tolima],"SI")</f>
        <v>0</v>
      </c>
      <c r="S19" s="14">
        <f t="shared" si="3"/>
        <v>0</v>
      </c>
      <c r="X19" s="272" t="s">
        <v>179</v>
      </c>
      <c r="Y19" s="273">
        <f>VLOOKUP($Y$7,$B$8:$S$19,12,FALSE)</f>
        <v>100</v>
      </c>
    </row>
  </sheetData>
  <mergeCells count="20">
    <mergeCell ref="K5:K6"/>
    <mergeCell ref="L5:N5"/>
    <mergeCell ref="B5:B7"/>
    <mergeCell ref="C5:C6"/>
    <mergeCell ref="D5:E5"/>
    <mergeCell ref="F5:F7"/>
    <mergeCell ref="G5:J5"/>
    <mergeCell ref="O5:O7"/>
    <mergeCell ref="P5:Q5"/>
    <mergeCell ref="R5:S5"/>
    <mergeCell ref="P6:P7"/>
    <mergeCell ref="Q6:Q7"/>
    <mergeCell ref="R6:R7"/>
    <mergeCell ref="S6:S7"/>
    <mergeCell ref="C1:D3"/>
    <mergeCell ref="E1:I1"/>
    <mergeCell ref="L1:N1"/>
    <mergeCell ref="E2:I2"/>
    <mergeCell ref="E3:I3"/>
    <mergeCell ref="L3:N3"/>
  </mergeCells>
  <conditionalFormatting sqref="F8:F19">
    <cfRule type="cellIs" dxfId="15" priority="5" operator="lessThan">
      <formula>99.7</formula>
    </cfRule>
    <cfRule type="cellIs" dxfId="14" priority="6" operator="greaterThanOrEqual">
      <formula>99.7</formula>
    </cfRule>
  </conditionalFormatting>
  <conditionalFormatting sqref="K8:K19">
    <cfRule type="cellIs" dxfId="13" priority="3" operator="lessThan">
      <formula>99.7</formula>
    </cfRule>
    <cfRule type="cellIs" dxfId="12" priority="4" operator="greaterThanOrEqual">
      <formula>99.7</formula>
    </cfRule>
  </conditionalFormatting>
  <conditionalFormatting sqref="O8:O19">
    <cfRule type="cellIs" dxfId="11" priority="1" operator="lessThan">
      <formula>99.7</formula>
    </cfRule>
    <cfRule type="cellIs" dxfId="10" priority="2" operator="greaterThanOrEqual">
      <formula>99.7</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B89BB7B-C952-4AF7-AB9E-2F4C8B29F4D8}">
          <x14:formula1>
            <xm:f>Maestro!$A$8:$A$19</xm:f>
          </x14:formula1>
          <xm:sqref>Y7</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A5A35-986E-4685-9072-B4053CF89003}">
  <sheetPr codeName="Hoja3"/>
  <dimension ref="A1:Y40"/>
  <sheetViews>
    <sheetView showGridLines="0" topLeftCell="A12" zoomScaleNormal="100" workbookViewId="0">
      <selection activeCell="J9" sqref="J9"/>
    </sheetView>
  </sheetViews>
  <sheetFormatPr defaultColWidth="11.42578125" defaultRowHeight="15"/>
  <cols>
    <col min="3" max="3" width="13.42578125" customWidth="1"/>
    <col min="4" max="4" width="8" bestFit="1" customWidth="1"/>
    <col min="5" max="5" width="8" customWidth="1"/>
    <col min="6" max="8" width="8" bestFit="1" customWidth="1"/>
    <col min="9" max="10" width="8" customWidth="1"/>
    <col min="11" max="11" width="9.140625" customWidth="1"/>
    <col min="12" max="14" width="8" bestFit="1" customWidth="1"/>
    <col min="15" max="15" width="9.85546875" bestFit="1" customWidth="1"/>
    <col min="16" max="16" width="8" bestFit="1" customWidth="1"/>
    <col min="17" max="17" width="8" customWidth="1"/>
    <col min="18" max="18" width="8.42578125" customWidth="1"/>
    <col min="19" max="19" width="13.7109375" customWidth="1"/>
    <col min="20" max="20" width="21.140625" customWidth="1"/>
    <col min="21" max="21" width="9.140625" customWidth="1"/>
    <col min="24" max="24" width="24.28515625" customWidth="1"/>
    <col min="25" max="25" width="16.7109375" customWidth="1"/>
  </cols>
  <sheetData>
    <row r="1" spans="1:25" ht="18" customHeight="1">
      <c r="A1" s="402"/>
      <c r="B1" s="403"/>
      <c r="C1" s="408" t="s">
        <v>156</v>
      </c>
      <c r="D1" s="409"/>
      <c r="E1" s="409"/>
      <c r="F1" s="409"/>
      <c r="G1" s="409"/>
      <c r="H1" s="409"/>
      <c r="I1" s="409"/>
      <c r="J1" s="409"/>
      <c r="K1" s="409"/>
      <c r="L1" s="409"/>
      <c r="M1" s="410" t="s">
        <v>0</v>
      </c>
      <c r="N1" s="410"/>
      <c r="O1" s="410"/>
      <c r="P1" s="411"/>
      <c r="Q1" s="410"/>
      <c r="R1" s="411"/>
    </row>
    <row r="2" spans="1:25" ht="15.75" customHeight="1">
      <c r="A2" s="404"/>
      <c r="B2" s="405"/>
      <c r="C2" s="412" t="s">
        <v>2</v>
      </c>
      <c r="D2" s="413"/>
      <c r="E2" s="413"/>
      <c r="F2" s="413"/>
      <c r="G2" s="413"/>
      <c r="H2" s="413"/>
      <c r="I2" s="413"/>
      <c r="J2" s="413"/>
      <c r="K2" s="413"/>
      <c r="L2" s="413"/>
      <c r="M2" s="413" t="s">
        <v>3</v>
      </c>
      <c r="N2" s="413"/>
      <c r="O2" s="413"/>
      <c r="P2" s="414"/>
      <c r="Q2" s="413"/>
      <c r="R2" s="415"/>
    </row>
    <row r="3" spans="1:25" ht="15.75" customHeight="1">
      <c r="A3" s="406"/>
      <c r="B3" s="407"/>
      <c r="C3" s="416" t="s">
        <v>4</v>
      </c>
      <c r="D3" s="410"/>
      <c r="E3" s="410"/>
      <c r="F3" s="410"/>
      <c r="G3" s="410"/>
      <c r="H3" s="410"/>
      <c r="I3" s="410"/>
      <c r="J3" s="410"/>
      <c r="K3" s="410"/>
      <c r="L3" s="410"/>
      <c r="M3" s="410" t="s">
        <v>5</v>
      </c>
      <c r="N3" s="410"/>
      <c r="O3" s="410"/>
      <c r="P3" s="411"/>
      <c r="Q3" s="417"/>
      <c r="R3" s="418"/>
    </row>
    <row r="5" spans="1:25" ht="18.75">
      <c r="D5" s="399" t="s">
        <v>159</v>
      </c>
      <c r="E5" s="400"/>
      <c r="F5" s="400"/>
      <c r="G5" s="400"/>
      <c r="H5" s="400"/>
      <c r="I5" s="400"/>
      <c r="J5" s="400"/>
      <c r="K5" s="401"/>
      <c r="L5" s="399" t="s">
        <v>161</v>
      </c>
      <c r="M5" s="400"/>
      <c r="N5" s="400"/>
      <c r="O5" s="400"/>
      <c r="P5" s="400"/>
      <c r="Q5" s="400"/>
      <c r="R5" s="401"/>
    </row>
    <row r="6" spans="1:25" ht="129">
      <c r="B6" s="67" t="s">
        <v>9</v>
      </c>
      <c r="C6" s="67" t="s">
        <v>157</v>
      </c>
      <c r="D6" s="54" t="s">
        <v>21</v>
      </c>
      <c r="E6" s="53" t="s">
        <v>406</v>
      </c>
      <c r="F6" s="53" t="s">
        <v>407</v>
      </c>
      <c r="G6" s="53" t="s">
        <v>24</v>
      </c>
      <c r="H6" s="53" t="s">
        <v>410</v>
      </c>
      <c r="I6" s="124" t="s">
        <v>27</v>
      </c>
      <c r="J6" s="53" t="s">
        <v>25</v>
      </c>
      <c r="K6" s="62" t="s">
        <v>472</v>
      </c>
      <c r="L6" s="54" t="s">
        <v>21</v>
      </c>
      <c r="M6" s="53" t="s">
        <v>406</v>
      </c>
      <c r="N6" s="53" t="s">
        <v>407</v>
      </c>
      <c r="O6" s="53" t="s">
        <v>24</v>
      </c>
      <c r="P6" s="53" t="s">
        <v>410</v>
      </c>
      <c r="Q6" s="53" t="s">
        <v>25</v>
      </c>
      <c r="R6" s="62" t="s">
        <v>472</v>
      </c>
      <c r="S6" s="65" t="s">
        <v>473</v>
      </c>
      <c r="T6" s="66" t="s">
        <v>165</v>
      </c>
      <c r="U6" s="66" t="s">
        <v>166</v>
      </c>
    </row>
    <row r="7" spans="1:25" ht="15" customHeight="1">
      <c r="B7" s="131" t="s">
        <v>37</v>
      </c>
      <c r="C7" s="68">
        <f>VLOOKUP(B7,Maestro!$A$7:$D$19,4,FALSE)</f>
        <v>44640</v>
      </c>
      <c r="D7" s="55">
        <f>+'Acertemos - Cauca'!F8</f>
        <v>100</v>
      </c>
      <c r="E7" s="56">
        <f>+'Jer - Boyaca'!F8</f>
        <v>99.897871863807879</v>
      </c>
      <c r="F7" s="56">
        <f>+'SuChance - Huila'!F8</f>
        <v>99.873969534026401</v>
      </c>
      <c r="G7" s="56">
        <f>+MatrixRedes____!H5</f>
        <v>100</v>
      </c>
      <c r="H7" s="56">
        <f>+'Gana Gana - Tolima1'!H5</f>
        <v>99.955197132634723</v>
      </c>
      <c r="I7" s="56">
        <f>+'Santander - LaPerla'!F8</f>
        <v>100</v>
      </c>
      <c r="J7" s="56">
        <f>+'Gana - Antioquia'!I8</f>
        <v>99.771370967741035</v>
      </c>
      <c r="K7" s="63">
        <f>AVERAGE(D7:J7)</f>
        <v>99.92834421403002</v>
      </c>
      <c r="L7" s="55">
        <f>+'Acertemos - Cauca'!K8</f>
        <v>100</v>
      </c>
      <c r="M7" s="56">
        <f>+'Jer - Boyaca'!K8</f>
        <v>99.8947132616576</v>
      </c>
      <c r="N7" s="56">
        <f>+'SuChance - Huila'!K8</f>
        <v>99.8700716845633</v>
      </c>
      <c r="O7" s="56">
        <f>+MatrixRedes!L8</f>
        <v>100</v>
      </c>
      <c r="P7" s="56">
        <f>+'Gana Gana - Tolima'!O8</f>
        <v>100</v>
      </c>
      <c r="Q7" s="56">
        <f>+'Gana - Antioquia'!N8</f>
        <v>99.852598566308117</v>
      </c>
      <c r="R7" s="63">
        <f>AVERAGE(L7:Q7)</f>
        <v>99.936230585421512</v>
      </c>
      <c r="S7" s="64">
        <f t="shared" ref="S7:S18" si="0">AVERAGE(K7,R7)</f>
        <v>99.932287399725766</v>
      </c>
      <c r="T7" s="70">
        <f>SUMIFS(disponibilidad[Tiempo falla 
(en Mintuos)],disponibilidad[Mes],$B7,disponibilidad[[Tipo de afectación ]],"caÍda total",disponibilidad[Responsable Falla],"Matrix Tech")</f>
        <v>242.99999999930151</v>
      </c>
      <c r="U7" s="69">
        <f t="shared" ref="U7:U18" si="1">+T7/C7</f>
        <v>5.443548387081127E-3</v>
      </c>
      <c r="X7" s="274" t="s">
        <v>168</v>
      </c>
      <c r="Y7" s="274" t="s">
        <v>91</v>
      </c>
    </row>
    <row r="8" spans="1:25" ht="15" customHeight="1">
      <c r="B8" s="140" t="s">
        <v>91</v>
      </c>
      <c r="C8" s="68">
        <f>VLOOKUP(B8,Maestro!$A$7:$D$19,4,FALSE)</f>
        <v>41760</v>
      </c>
      <c r="D8" s="55">
        <f>+'Acertemos - Cauca'!F9</f>
        <v>100</v>
      </c>
      <c r="E8" s="56">
        <f>+'Jer - Boyaca'!F9</f>
        <v>99.800239463583139</v>
      </c>
      <c r="F8" s="56">
        <f>+'SuChance - Huila'!F9</f>
        <v>99.816499042155854</v>
      </c>
      <c r="G8" s="56">
        <f>+MatrixRedes____!H6</f>
        <v>100</v>
      </c>
      <c r="H8" s="56">
        <f>+'Gana Gana - Tolima1'!H6</f>
        <v>99.940134099622441</v>
      </c>
      <c r="I8" s="56">
        <f>+'Santander - LaPerla'!F9</f>
        <v>100</v>
      </c>
      <c r="J8" s="56">
        <f>+'Gana - Antioquia'!I9</f>
        <v>99.984913793103445</v>
      </c>
      <c r="K8" s="63">
        <f t="shared" ref="K8:K16" si="2">AVERAGE(D8:J8)</f>
        <v>99.934540914066403</v>
      </c>
      <c r="L8" s="55">
        <f>+'Acertemos - Cauca'!K9</f>
        <v>100</v>
      </c>
      <c r="M8" s="56">
        <f>+'Jer - Boyaca'!K9</f>
        <v>99.794061302663039</v>
      </c>
      <c r="N8" s="56">
        <f>+'SuChance - Huila'!K9</f>
        <v>99.810823754799856</v>
      </c>
      <c r="O8" s="56">
        <f>+MatrixRedes!L9</f>
        <v>100</v>
      </c>
      <c r="P8" s="56">
        <f>+'Gana Gana - Tolima'!O9</f>
        <v>100</v>
      </c>
      <c r="Q8" s="56">
        <f>+'Gana - Antioquia'!N9</f>
        <v>99.855316091954336</v>
      </c>
      <c r="R8" s="63">
        <f t="shared" ref="R8:R16" si="3">AVERAGE(L8:Q8)</f>
        <v>99.910033524902872</v>
      </c>
      <c r="S8" s="64">
        <f t="shared" si="0"/>
        <v>99.922287219484645</v>
      </c>
      <c r="T8" s="70">
        <f>SUMIFS(disponibilidad[Tiempo falla 
(en Mintuos)],disponibilidad[Mes],$B8,disponibilidad[[Tipo de afectación ]],"caÍda total",disponibilidad[Responsable Falla],"Matrix Tech")</f>
        <v>335.99999999511056</v>
      </c>
      <c r="U8" s="117">
        <f t="shared" si="1"/>
        <v>8.0459770113771693E-3</v>
      </c>
      <c r="X8" s="398" t="s">
        <v>159</v>
      </c>
      <c r="Y8" s="398"/>
    </row>
    <row r="9" spans="1:25" ht="15" customHeight="1">
      <c r="B9" s="140" t="s">
        <v>148</v>
      </c>
      <c r="C9" s="68">
        <f>VLOOKUP(B9,Maestro!$A$7:$D$19,4,FALSE)</f>
        <v>44640</v>
      </c>
      <c r="D9" s="55">
        <f>+'Acertemos - Cauca'!F10</f>
        <v>100</v>
      </c>
      <c r="E9" s="56">
        <f>+'Jer - Boyaca'!F10</f>
        <v>100</v>
      </c>
      <c r="F9" s="56">
        <f>+'SuChance - Huila'!F10</f>
        <v>100</v>
      </c>
      <c r="G9" s="56">
        <f>+MatrixRedes____!H7</f>
        <v>100</v>
      </c>
      <c r="H9" s="56">
        <f>+'Gana Gana - Tolima1'!H7</f>
        <v>100</v>
      </c>
      <c r="I9" s="56">
        <f>+'Santander - LaPerla'!F10</f>
        <v>100</v>
      </c>
      <c r="J9" s="56">
        <f>+'Gana - Antioquia'!I10</f>
        <v>100</v>
      </c>
      <c r="K9" s="63">
        <f t="shared" si="2"/>
        <v>100</v>
      </c>
      <c r="L9" s="55">
        <f>+'Acertemos - Cauca'!K10</f>
        <v>100</v>
      </c>
      <c r="M9" s="56">
        <f>+'Jer - Boyaca'!K10</f>
        <v>100</v>
      </c>
      <c r="N9" s="56">
        <f>+'SuChance - Huila'!K10</f>
        <v>100</v>
      </c>
      <c r="O9" s="56">
        <f>+'SuChance - Huila'!K10</f>
        <v>100</v>
      </c>
      <c r="P9" s="56">
        <f>+'Gana Gana - Tolima'!O10</f>
        <v>100</v>
      </c>
      <c r="Q9" s="56">
        <f>+'Gana - Antioquia'!N10</f>
        <v>100</v>
      </c>
      <c r="R9" s="63">
        <f t="shared" si="3"/>
        <v>100</v>
      </c>
      <c r="S9" s="64">
        <f t="shared" si="0"/>
        <v>100</v>
      </c>
      <c r="T9" s="70">
        <f>SUMIFS(disponibilidad[Tiempo falla 
(en Mintuos)],disponibilidad[Mes],$B9,disponibilidad[[Tipo de afectación ]],"caÍda total",disponibilidad[Responsable Falla],"Matrix Tech")</f>
        <v>0</v>
      </c>
      <c r="U9" s="117">
        <f t="shared" si="1"/>
        <v>0</v>
      </c>
      <c r="X9" s="288" t="s">
        <v>21</v>
      </c>
      <c r="Y9" s="289">
        <f>VLOOKUP($Y$7,$B$7:$T$18,3,FALSE)</f>
        <v>100</v>
      </c>
    </row>
    <row r="10" spans="1:25" ht="15" customHeight="1">
      <c r="B10" s="140" t="s">
        <v>170</v>
      </c>
      <c r="C10" s="68">
        <f>VLOOKUP(B10,Maestro!$A$7:$D$19,4,FALSE)</f>
        <v>43200</v>
      </c>
      <c r="D10" s="55">
        <f>+'Acertemos - Cauca'!F11</f>
        <v>100</v>
      </c>
      <c r="E10" s="56">
        <f>+'Jer - Boyaca'!F11</f>
        <v>100</v>
      </c>
      <c r="F10" s="56">
        <f>+'SuChance - Huila'!F11</f>
        <v>100</v>
      </c>
      <c r="G10" s="56">
        <f>+MatrixRedes____!H8</f>
        <v>100</v>
      </c>
      <c r="H10" s="56">
        <f>+'Gana Gana - Tolima1'!H8</f>
        <v>100</v>
      </c>
      <c r="I10" s="56">
        <f>+'Santander - LaPerla'!F11</f>
        <v>100</v>
      </c>
      <c r="J10" s="56">
        <f>+'Gana - Antioquia'!I11</f>
        <v>100</v>
      </c>
      <c r="K10" s="63">
        <f t="shared" si="2"/>
        <v>100</v>
      </c>
      <c r="L10" s="55">
        <f>+'Acertemos - Cauca'!K11</f>
        <v>100</v>
      </c>
      <c r="M10" s="56">
        <f>+'Jer - Boyaca'!K11</f>
        <v>100</v>
      </c>
      <c r="N10" s="56">
        <f>+'SuChance - Huila'!K11</f>
        <v>100</v>
      </c>
      <c r="O10" s="56">
        <f>+MatrixRedes!L11</f>
        <v>100</v>
      </c>
      <c r="P10" s="56">
        <f>+'Gana Gana - Tolima'!O11</f>
        <v>100</v>
      </c>
      <c r="Q10" s="56">
        <f>+'Gana - Antioquia'!N11</f>
        <v>100</v>
      </c>
      <c r="R10" s="63">
        <f t="shared" si="3"/>
        <v>100</v>
      </c>
      <c r="S10" s="64">
        <f t="shared" si="0"/>
        <v>100</v>
      </c>
      <c r="T10" s="70">
        <f>SUMIFS(disponibilidad[Tiempo falla 
(en Mintuos)],disponibilidad[Mes],$B10,disponibilidad[[Tipo de afectación ]],"caÍda total",disponibilidad[Responsable Falla],"Matrix Tech")</f>
        <v>0</v>
      </c>
      <c r="U10" s="117">
        <f t="shared" si="1"/>
        <v>0</v>
      </c>
      <c r="X10" s="286" t="s">
        <v>406</v>
      </c>
      <c r="Y10" s="271">
        <f>VLOOKUP($Y$7,$B$7:$T$18,4,FALSE)</f>
        <v>99.800239463583139</v>
      </c>
    </row>
    <row r="11" spans="1:25" ht="15" customHeight="1">
      <c r="B11" s="131" t="s">
        <v>169</v>
      </c>
      <c r="C11" s="68">
        <f>VLOOKUP(B11,Maestro!$A$7:$D$19,4,FALSE)</f>
        <v>44640</v>
      </c>
      <c r="D11" s="55">
        <f>+'Acertemos - Cauca'!F12</f>
        <v>100</v>
      </c>
      <c r="E11" s="56">
        <f>+'Jer - Boyaca'!F12</f>
        <v>100</v>
      </c>
      <c r="F11" s="56">
        <f>+'SuChance - Huila'!F12</f>
        <v>100</v>
      </c>
      <c r="G11" s="56">
        <f>+MatrixRedes____!H9</f>
        <v>100</v>
      </c>
      <c r="H11" s="56">
        <f>+'Gana Gana - Tolima1'!H9</f>
        <v>100</v>
      </c>
      <c r="I11" s="56">
        <f>+'Santander - LaPerla'!F12</f>
        <v>100</v>
      </c>
      <c r="J11" s="56">
        <f>+'Gana - Antioquia'!I12</f>
        <v>100</v>
      </c>
      <c r="K11" s="63">
        <f>AVERAGE(D11:J11)</f>
        <v>100</v>
      </c>
      <c r="L11" s="55">
        <f>+'Acertemos - Cauca'!K12</f>
        <v>100</v>
      </c>
      <c r="M11" s="56">
        <f>+'Jer - Boyaca'!K12</f>
        <v>100</v>
      </c>
      <c r="N11" s="56">
        <f>+'SuChance - Huila'!K12</f>
        <v>100</v>
      </c>
      <c r="O11" s="56">
        <f>+MatrixRedes!L12</f>
        <v>100</v>
      </c>
      <c r="P11" s="56">
        <f>+'Gana Gana - Tolima'!O12</f>
        <v>100</v>
      </c>
      <c r="Q11" s="56">
        <f>+'Gana - Antioquia'!N12</f>
        <v>100</v>
      </c>
      <c r="R11" s="63">
        <f>AVERAGE(L11:Q11)</f>
        <v>100</v>
      </c>
      <c r="S11" s="64">
        <f t="shared" si="0"/>
        <v>100</v>
      </c>
      <c r="T11" s="70">
        <f>SUMIFS(disponibilidad[Tiempo falla 
(en Mintuos)],disponibilidad[Mes],$B11,disponibilidad[[Tipo de afectación ]],"caÍda total",disponibilidad[Responsable Falla],"Matrix Tech")</f>
        <v>0</v>
      </c>
      <c r="U11" s="117">
        <f t="shared" si="1"/>
        <v>0</v>
      </c>
      <c r="X11" s="286" t="s">
        <v>407</v>
      </c>
      <c r="Y11" s="271">
        <f>VLOOKUP($Y$7,$B$7:$T$18,5,FALSE)</f>
        <v>99.816499042155854</v>
      </c>
    </row>
    <row r="12" spans="1:25" ht="15" customHeight="1">
      <c r="B12" s="132" t="s">
        <v>172</v>
      </c>
      <c r="C12" s="133">
        <f>VLOOKUP(B12,Maestro!$A$7:$D$19,4,FALSE)</f>
        <v>43200</v>
      </c>
      <c r="D12" s="134">
        <f>+'Acertemos - Cauca'!F13</f>
        <v>100</v>
      </c>
      <c r="E12" s="135">
        <f>+'Jer - Boyaca'!F13</f>
        <v>100</v>
      </c>
      <c r="F12" s="135">
        <f>+'SuChance - Huila'!F13</f>
        <v>100</v>
      </c>
      <c r="G12" s="135">
        <f>+MatrixRedes____!H10</f>
        <v>100</v>
      </c>
      <c r="H12" s="135">
        <f>+'Gana Gana - Tolima1'!H10</f>
        <v>100</v>
      </c>
      <c r="I12" s="135">
        <f>+'Santander - LaPerla'!F13</f>
        <v>100</v>
      </c>
      <c r="J12" s="56">
        <f>+'Gana - Antioquia'!I13</f>
        <v>100</v>
      </c>
      <c r="K12" s="136">
        <f t="shared" si="2"/>
        <v>100</v>
      </c>
      <c r="L12" s="134">
        <f>+'Acertemos - Cauca'!K13</f>
        <v>100</v>
      </c>
      <c r="M12" s="135">
        <f>+'Jer - Boyaca'!K13</f>
        <v>100</v>
      </c>
      <c r="N12" s="135">
        <f>+'SuChance - Huila'!K13</f>
        <v>100</v>
      </c>
      <c r="O12" s="135">
        <f>+MatrixRedes!L13</f>
        <v>100</v>
      </c>
      <c r="P12" s="56">
        <f>+'Gana Gana - Tolima'!O13</f>
        <v>100</v>
      </c>
      <c r="Q12" s="56">
        <f>+'Gana - Antioquia'!N13</f>
        <v>100</v>
      </c>
      <c r="R12" s="136">
        <f t="shared" si="3"/>
        <v>100</v>
      </c>
      <c r="S12" s="137">
        <f t="shared" si="0"/>
        <v>100</v>
      </c>
      <c r="T12" s="138">
        <f>SUMIFS(disponibilidad[Tiempo falla 
(en Mintuos)],disponibilidad[Mes],$B12,disponibilidad[[Tipo de afectación ]],"caÍda total",disponibilidad[Responsable Falla],"Matrix Tech")</f>
        <v>0</v>
      </c>
      <c r="U12" s="139">
        <f t="shared" si="1"/>
        <v>0</v>
      </c>
      <c r="X12" s="286" t="s">
        <v>24</v>
      </c>
      <c r="Y12" s="271">
        <f>VLOOKUP($Y$7,$B$7:$T$18,6,FALSE)</f>
        <v>100</v>
      </c>
    </row>
    <row r="13" spans="1:25" ht="15" customHeight="1">
      <c r="B13" s="140" t="s">
        <v>173</v>
      </c>
      <c r="C13" s="68">
        <f>VLOOKUP(B13,Maestro!$A$7:$D$19,4,FALSE)</f>
        <v>44640</v>
      </c>
      <c r="D13" s="55">
        <f>+'Acertemos - Cauca'!F14</f>
        <v>100</v>
      </c>
      <c r="E13" s="56">
        <f>+'Jer - Boyaca'!F14</f>
        <v>100</v>
      </c>
      <c r="F13" s="56">
        <f>+'SuChance - Huila'!F14</f>
        <v>100</v>
      </c>
      <c r="G13" s="56">
        <f>+MatrixRedes____!H11</f>
        <v>100</v>
      </c>
      <c r="H13" s="56">
        <f>+'Gana Gana - Tolima1'!H11</f>
        <v>100</v>
      </c>
      <c r="I13" s="56">
        <f>+'Santander - LaPerla'!F14</f>
        <v>100</v>
      </c>
      <c r="J13" s="56">
        <f>+'Gana - Antioquia'!I14</f>
        <v>100</v>
      </c>
      <c r="K13" s="63">
        <f t="shared" si="2"/>
        <v>100</v>
      </c>
      <c r="L13" s="55">
        <f>+'Acertemos - Cauca'!K14</f>
        <v>100</v>
      </c>
      <c r="M13" s="56">
        <f>+'Jer - Boyaca'!K14</f>
        <v>100</v>
      </c>
      <c r="N13" s="56">
        <f>+'SuChance - Huila'!K14</f>
        <v>100</v>
      </c>
      <c r="O13" s="56">
        <f>+MatrixRedes!L14</f>
        <v>100</v>
      </c>
      <c r="P13" s="56">
        <f>+'Gana Gana - Tolima'!O14</f>
        <v>100</v>
      </c>
      <c r="Q13" s="56">
        <f>+'Gana - Antioquia'!N14</f>
        <v>100</v>
      </c>
      <c r="R13" s="63">
        <f t="shared" si="3"/>
        <v>100</v>
      </c>
      <c r="S13" s="64">
        <f t="shared" si="0"/>
        <v>100</v>
      </c>
      <c r="T13" s="70">
        <f>SUMIFS(disponibilidad[Tiempo falla 
(en Mintuos)],disponibilidad[Mes],$B13,disponibilidad[[Tipo de afectación ]],"caÍda total",disponibilidad[Responsable Falla],"Matrix Tech")</f>
        <v>0</v>
      </c>
      <c r="U13" s="117">
        <f t="shared" si="1"/>
        <v>0</v>
      </c>
      <c r="X13" s="286" t="s">
        <v>410</v>
      </c>
      <c r="Y13" s="271">
        <f>VLOOKUP($Y$7,$B$7:$T$18,7,FALSE)</f>
        <v>99.940134099622441</v>
      </c>
    </row>
    <row r="14" spans="1:25" ht="15" customHeight="1">
      <c r="B14" s="132" t="s">
        <v>174</v>
      </c>
      <c r="C14" s="133">
        <f>VLOOKUP(B14,Maestro!$A$7:$D$19,4,FALSE)</f>
        <v>44640</v>
      </c>
      <c r="D14" s="134">
        <f>+'Acertemos - Cauca'!F15</f>
        <v>100</v>
      </c>
      <c r="E14" s="135">
        <f>+'Jer - Boyaca'!F15</f>
        <v>100</v>
      </c>
      <c r="F14" s="135">
        <f>+'SuChance - Huila'!F15</f>
        <v>100</v>
      </c>
      <c r="G14" s="135">
        <f>+MatrixRedes____!H12</f>
        <v>100</v>
      </c>
      <c r="H14" s="135">
        <f>+'Gana Gana - Tolima1'!H12</f>
        <v>100</v>
      </c>
      <c r="I14" s="135">
        <f>+'Santander - LaPerla'!F15</f>
        <v>100</v>
      </c>
      <c r="J14" s="56">
        <f>+'Gana - Antioquia'!I15</f>
        <v>100</v>
      </c>
      <c r="K14" s="136">
        <f t="shared" si="2"/>
        <v>100</v>
      </c>
      <c r="L14" s="134">
        <f>+'Acertemos - Cauca'!K15</f>
        <v>100</v>
      </c>
      <c r="M14" s="135">
        <f>+'Jer - Boyaca'!K15</f>
        <v>100</v>
      </c>
      <c r="N14" s="135">
        <f>+'SuChance - Huila'!K15</f>
        <v>100</v>
      </c>
      <c r="O14" s="135">
        <f>+MatrixRedes!L15</f>
        <v>100</v>
      </c>
      <c r="P14" s="56">
        <f>+'Gana Gana - Tolima'!O15</f>
        <v>100</v>
      </c>
      <c r="Q14" s="56">
        <f>+'Gana - Antioquia'!N15</f>
        <v>100</v>
      </c>
      <c r="R14" s="136">
        <f t="shared" si="3"/>
        <v>100</v>
      </c>
      <c r="S14" s="137">
        <f t="shared" si="0"/>
        <v>100</v>
      </c>
      <c r="T14" s="138">
        <f>SUMIFS(disponibilidad[Tiempo falla 
(en Mintuos)],disponibilidad[Mes],$B14,disponibilidad[[Tipo de afectación ]],"caÍda total",disponibilidad[Responsable Falla],"Matrix Tech")</f>
        <v>0</v>
      </c>
      <c r="U14" s="139">
        <f t="shared" si="1"/>
        <v>0</v>
      </c>
      <c r="V14" s="125"/>
      <c r="X14" s="287" t="s">
        <v>27</v>
      </c>
      <c r="Y14" s="271">
        <f>VLOOKUP($Y$7,$B$7:$T$18,8,FALSE)</f>
        <v>100</v>
      </c>
    </row>
    <row r="15" spans="1:25" ht="15" customHeight="1">
      <c r="B15" s="140" t="s">
        <v>175</v>
      </c>
      <c r="C15" s="68">
        <f>VLOOKUP(B15,Maestro!$A$7:$D$19,4,FALSE)</f>
        <v>43200</v>
      </c>
      <c r="D15" s="55">
        <f>+'Acertemos - Cauca'!F16</f>
        <v>100</v>
      </c>
      <c r="E15" s="56">
        <f>+'Jer - Boyaca'!F16</f>
        <v>100</v>
      </c>
      <c r="F15" s="56">
        <f>+'SuChance - Huila'!F16</f>
        <v>100</v>
      </c>
      <c r="G15" s="56">
        <f>+MatrixRedes____!H13</f>
        <v>100</v>
      </c>
      <c r="H15" s="56">
        <f>+'Gana Gana - Tolima1'!H13</f>
        <v>100</v>
      </c>
      <c r="I15" s="56">
        <f>+'Santander - LaPerla'!F16</f>
        <v>100</v>
      </c>
      <c r="J15" s="56">
        <f>+'Gana - Antioquia'!I16</f>
        <v>100</v>
      </c>
      <c r="K15" s="63">
        <f t="shared" si="2"/>
        <v>100</v>
      </c>
      <c r="L15" s="55">
        <f>+'Acertemos - Cauca'!K16</f>
        <v>100</v>
      </c>
      <c r="M15" s="56">
        <f>+'Jer - Boyaca'!K16</f>
        <v>100</v>
      </c>
      <c r="N15" s="56">
        <f>+'SuChance - Huila'!K16</f>
        <v>100</v>
      </c>
      <c r="O15" s="56">
        <f>+MatrixRedes!L16</f>
        <v>100</v>
      </c>
      <c r="P15" s="56">
        <f>+'Gana Gana - Tolima'!O16</f>
        <v>100</v>
      </c>
      <c r="Q15" s="56">
        <f>+'Gana - Antioquia'!N16</f>
        <v>100</v>
      </c>
      <c r="R15" s="63">
        <f t="shared" si="3"/>
        <v>100</v>
      </c>
      <c r="S15" s="64">
        <f t="shared" si="0"/>
        <v>100</v>
      </c>
      <c r="T15" s="70">
        <f>SUMIFS(disponibilidad[Tiempo falla 
(en Mintuos)],disponibilidad[Mes],$B15,disponibilidad[[Tipo de afectación ]],"caÍda total",disponibilidad[Responsable Falla],"Matrix Tech")</f>
        <v>0</v>
      </c>
      <c r="U15" s="117">
        <f t="shared" si="1"/>
        <v>0</v>
      </c>
      <c r="X15" s="286" t="s">
        <v>25</v>
      </c>
      <c r="Y15" s="271">
        <f>VLOOKUP($Y$7,$B$7:$T$18,9,FALSE)</f>
        <v>99.984913793103445</v>
      </c>
    </row>
    <row r="16" spans="1:25" ht="15" customHeight="1">
      <c r="B16" s="140" t="s">
        <v>176</v>
      </c>
      <c r="C16" s="68">
        <f>VLOOKUP(B16,Maestro!$A$7:$D$19,4,FALSE)</f>
        <v>44640</v>
      </c>
      <c r="D16" s="55">
        <f>+'Acertemos - Cauca'!F17</f>
        <v>100</v>
      </c>
      <c r="E16" s="56">
        <f>+'Jer - Boyaca'!F17</f>
        <v>100</v>
      </c>
      <c r="F16" s="56">
        <f>+'SuChance - Huila'!F17</f>
        <v>100</v>
      </c>
      <c r="G16" s="56">
        <f>+MatrixRedes____!H14</f>
        <v>100</v>
      </c>
      <c r="H16" s="56">
        <f>+'Gana Gana - Tolima1'!H14</f>
        <v>100</v>
      </c>
      <c r="I16" s="56">
        <f>+'Santander - LaPerla'!F17</f>
        <v>100</v>
      </c>
      <c r="J16" s="56">
        <f>+'Gana - Antioquia'!I17</f>
        <v>100</v>
      </c>
      <c r="K16" s="63">
        <f t="shared" si="2"/>
        <v>100</v>
      </c>
      <c r="L16" s="55">
        <f>+'Acertemos - Cauca'!K17</f>
        <v>100</v>
      </c>
      <c r="M16" s="56">
        <f>+'Jer - Boyaca'!K17</f>
        <v>100</v>
      </c>
      <c r="N16" s="56">
        <f>+'SuChance - Huila'!K17</f>
        <v>100</v>
      </c>
      <c r="O16" s="56">
        <f>+MatrixRedes!L17</f>
        <v>100</v>
      </c>
      <c r="P16" s="56">
        <f>+'Gana Gana - Tolima'!O17</f>
        <v>100</v>
      </c>
      <c r="Q16" s="56">
        <f>+'Gana - Antioquia'!N17</f>
        <v>100</v>
      </c>
      <c r="R16" s="63">
        <f t="shared" si="3"/>
        <v>100</v>
      </c>
      <c r="S16" s="64">
        <f t="shared" si="0"/>
        <v>100</v>
      </c>
      <c r="T16" s="70">
        <f>SUMIFS(disponibilidad[Tiempo falla 
(en Mintuos)],disponibilidad[Mes],$B16,disponibilidad[[Tipo de afectación ]],"caÍda total",disponibilidad[Responsable Falla],"Matrix Tech")</f>
        <v>0</v>
      </c>
      <c r="U16" s="117">
        <f t="shared" si="1"/>
        <v>0</v>
      </c>
    </row>
    <row r="17" spans="2:22" ht="15" customHeight="1">
      <c r="B17" s="140" t="s">
        <v>177</v>
      </c>
      <c r="C17" s="68">
        <f>VLOOKUP(B17,Maestro!$A$7:$D$19,4,FALSE)</f>
        <v>43200</v>
      </c>
      <c r="D17" s="55">
        <f>+'Acertemos - Cauca'!F18</f>
        <v>100</v>
      </c>
      <c r="E17" s="56">
        <f>+'Jer - Boyaca'!F18</f>
        <v>100</v>
      </c>
      <c r="F17" s="56">
        <f>+'SuChance - Huila'!F18</f>
        <v>100</v>
      </c>
      <c r="G17" s="56">
        <f>+MatrixRedes____!H15</f>
        <v>100</v>
      </c>
      <c r="H17" s="56">
        <f>+'Gana Gana - Tolima1'!H15</f>
        <v>100</v>
      </c>
      <c r="I17" s="56">
        <f>+'Santander - LaPerla'!F18</f>
        <v>100</v>
      </c>
      <c r="J17" s="56">
        <f>+'Gana - Antioquia'!I18</f>
        <v>100</v>
      </c>
      <c r="K17" s="63">
        <f t="shared" ref="K17:K18" si="4">AVERAGE(D17:J17)</f>
        <v>100</v>
      </c>
      <c r="L17" s="55">
        <f>+'Acertemos - Cauca'!K18</f>
        <v>100</v>
      </c>
      <c r="M17" s="56">
        <f>+'Jer - Boyaca'!K18</f>
        <v>100</v>
      </c>
      <c r="N17" s="56">
        <f>+'SuChance - Huila'!K18</f>
        <v>100</v>
      </c>
      <c r="O17" s="56">
        <f>+MatrixRedes!L18</f>
        <v>100</v>
      </c>
      <c r="P17" s="56">
        <f>+'Gana Gana - Tolima'!O18</f>
        <v>100</v>
      </c>
      <c r="Q17" s="56">
        <f>+'Gana - Antioquia'!N18</f>
        <v>100</v>
      </c>
      <c r="R17" s="63">
        <f t="shared" ref="R17:R18" si="5">AVERAGE(L17:Q17)</f>
        <v>100</v>
      </c>
      <c r="S17" s="64">
        <f t="shared" si="0"/>
        <v>100</v>
      </c>
      <c r="T17" s="70">
        <f>SUMIFS(disponibilidad[Tiempo falla 
(en Mintuos)],disponibilidad[Mes],$B17,disponibilidad[[Tipo de afectación ]],"caÍda total",disponibilidad[Responsable Falla],"Matrix Tech")</f>
        <v>0</v>
      </c>
      <c r="U17" s="117">
        <f t="shared" si="1"/>
        <v>0</v>
      </c>
    </row>
    <row r="18" spans="2:22" ht="15" customHeight="1">
      <c r="B18" s="236" t="s">
        <v>178</v>
      </c>
      <c r="C18" s="237">
        <f>VLOOKUP(B18,Maestro!$A$7:$D$19,4,FALSE)</f>
        <v>44640</v>
      </c>
      <c r="D18" s="238">
        <f>+'Acertemos - Cauca'!F19</f>
        <v>100</v>
      </c>
      <c r="E18" s="239">
        <f>+'Jer - Boyaca'!F19</f>
        <v>100</v>
      </c>
      <c r="F18" s="239">
        <f>+'SuChance - Huila'!F19</f>
        <v>100</v>
      </c>
      <c r="G18" s="239">
        <f>+MatrixRedes____!H16</f>
        <v>100</v>
      </c>
      <c r="H18" s="239">
        <f>+'Gana Gana - Tolima1'!H16</f>
        <v>100</v>
      </c>
      <c r="I18" s="239">
        <f>+'Santander - LaPerla'!F19</f>
        <v>100</v>
      </c>
      <c r="J18" s="239">
        <f>+'Gana - Antioquia'!I18</f>
        <v>100</v>
      </c>
      <c r="K18" s="63">
        <f t="shared" si="4"/>
        <v>100</v>
      </c>
      <c r="L18" s="55">
        <f>+'Acertemos - Cauca'!K19</f>
        <v>100</v>
      </c>
      <c r="M18" s="56">
        <f>+'Jer - Boyaca'!K19</f>
        <v>100</v>
      </c>
      <c r="N18" s="56">
        <f>+'SuChance - Huila'!K19</f>
        <v>100</v>
      </c>
      <c r="O18" s="56">
        <f>+MatrixRedes!L19</f>
        <v>100</v>
      </c>
      <c r="P18" s="56">
        <f>+'Gana Gana - Tolima'!O19</f>
        <v>100</v>
      </c>
      <c r="Q18" s="56">
        <f>+'Gana - Antioquia'!N19</f>
        <v>0</v>
      </c>
      <c r="R18" s="63">
        <f t="shared" si="5"/>
        <v>83.333333333333329</v>
      </c>
      <c r="S18" s="64">
        <f t="shared" si="0"/>
        <v>91.666666666666657</v>
      </c>
      <c r="T18" s="70">
        <f>SUMIFS(disponibilidad[Tiempo falla 
(en Mintuos)],disponibilidad[Mes],$B18,disponibilidad[[Tipo de afectación ]],"caÍda total",disponibilidad[Responsable Falla],"Matrix Tech")</f>
        <v>0</v>
      </c>
      <c r="U18" s="117">
        <f t="shared" si="1"/>
        <v>0</v>
      </c>
    </row>
    <row r="22" spans="2:22">
      <c r="P22">
        <f>+O23*19%</f>
        <v>702240</v>
      </c>
      <c r="Q22">
        <f>+O23-P22</f>
        <v>2993760</v>
      </c>
    </row>
    <row r="23" spans="2:22">
      <c r="N23">
        <v>42000</v>
      </c>
      <c r="O23">
        <f>+N23*88</f>
        <v>3696000</v>
      </c>
      <c r="Q23">
        <v>1250</v>
      </c>
      <c r="R23">
        <f>+Q23/12</f>
        <v>104.16666666666667</v>
      </c>
    </row>
    <row r="24" spans="2:22">
      <c r="P24">
        <v>798</v>
      </c>
      <c r="Q24">
        <v>4202</v>
      </c>
      <c r="R24">
        <f>+Q24/4</f>
        <v>1050.5</v>
      </c>
      <c r="S24">
        <f>+R24/12</f>
        <v>87.541666666666671</v>
      </c>
      <c r="T24">
        <f>ROUND(S24,3)</f>
        <v>87.542000000000002</v>
      </c>
      <c r="V24" s="220"/>
    </row>
    <row r="25" spans="2:22">
      <c r="O25">
        <v>3704800</v>
      </c>
      <c r="P25">
        <f>+O25/42000</f>
        <v>88.209523809523816</v>
      </c>
    </row>
    <row r="27" spans="2:22">
      <c r="O27">
        <v>8400</v>
      </c>
      <c r="P27">
        <v>81</v>
      </c>
      <c r="Q27">
        <f>+O27/P27</f>
        <v>103.70370370370371</v>
      </c>
      <c r="S27">
        <f>+Q27*S24</f>
        <v>9078.3950617283954</v>
      </c>
    </row>
    <row r="29" spans="2:22">
      <c r="N29">
        <v>740960</v>
      </c>
      <c r="O29" t="s">
        <v>474</v>
      </c>
      <c r="P29">
        <v>0</v>
      </c>
      <c r="Q29">
        <v>2963840</v>
      </c>
      <c r="R29">
        <v>3704800</v>
      </c>
      <c r="S29">
        <f>+R29-N29</f>
        <v>2963840</v>
      </c>
    </row>
    <row r="30" spans="2:22">
      <c r="R30">
        <v>3696000</v>
      </c>
      <c r="S30" s="259">
        <v>104.16670000000001</v>
      </c>
      <c r="T30">
        <f>+R30/S30</f>
        <v>35481.588645891628</v>
      </c>
      <c r="U30">
        <v>42</v>
      </c>
      <c r="V30">
        <v>0</v>
      </c>
    </row>
    <row r="31" spans="2:22">
      <c r="R31">
        <v>8800</v>
      </c>
      <c r="S31" s="259">
        <v>104.16670000000001</v>
      </c>
      <c r="T31">
        <f>+R31/S31</f>
        <v>84.479972966408653</v>
      </c>
    </row>
    <row r="32" spans="2:22">
      <c r="R32" s="82" t="s">
        <v>475</v>
      </c>
      <c r="S32" s="82" t="s">
        <v>476</v>
      </c>
      <c r="T32" s="82" t="s">
        <v>477</v>
      </c>
    </row>
    <row r="33" spans="15:25">
      <c r="O33">
        <f>+R33-N29</f>
        <v>2955040</v>
      </c>
      <c r="P33" s="260" t="s">
        <v>478</v>
      </c>
      <c r="Q33" s="266"/>
      <c r="R33" s="263">
        <v>3696000</v>
      </c>
      <c r="S33" s="82">
        <v>88</v>
      </c>
      <c r="T33" s="82">
        <f>+R33/S33</f>
        <v>42000</v>
      </c>
    </row>
    <row r="34" spans="15:25">
      <c r="P34" s="261" t="s">
        <v>479</v>
      </c>
      <c r="R34" s="264">
        <f>+O33</f>
        <v>2955040</v>
      </c>
      <c r="S34" s="82"/>
      <c r="T34" s="82"/>
    </row>
    <row r="35" spans="15:25">
      <c r="P35" s="261" t="s">
        <v>480</v>
      </c>
      <c r="R35" s="264">
        <v>8800</v>
      </c>
      <c r="S35" s="82">
        <v>88</v>
      </c>
      <c r="T35" s="82">
        <f>+R35/S35</f>
        <v>100</v>
      </c>
    </row>
    <row r="36" spans="15:25">
      <c r="P36" s="262" t="s">
        <v>481</v>
      </c>
      <c r="Q36" s="267"/>
      <c r="R36" s="265">
        <f>+O33+R35</f>
        <v>2963840</v>
      </c>
      <c r="S36" s="82"/>
      <c r="T36" s="82"/>
    </row>
    <row r="39" spans="15:25">
      <c r="R39">
        <v>2930160</v>
      </c>
      <c r="S39">
        <f>+R39/4</f>
        <v>732540</v>
      </c>
      <c r="T39">
        <f>+S39*5</f>
        <v>3662700</v>
      </c>
      <c r="U39">
        <f>+T39/87</f>
        <v>42100</v>
      </c>
    </row>
    <row r="40" spans="15:25">
      <c r="S40">
        <v>87</v>
      </c>
      <c r="T40">
        <v>100</v>
      </c>
      <c r="U40">
        <f>+T40*S40</f>
        <v>8700</v>
      </c>
      <c r="V40">
        <f>+R39-U40</f>
        <v>2921460</v>
      </c>
      <c r="W40">
        <f>+V40/4</f>
        <v>730365</v>
      </c>
      <c r="X40">
        <f>+W40*5</f>
        <v>3651825</v>
      </c>
      <c r="Y40">
        <f>+X40/87</f>
        <v>41975</v>
      </c>
    </row>
  </sheetData>
  <mergeCells count="13">
    <mergeCell ref="X8:Y8"/>
    <mergeCell ref="L5:R5"/>
    <mergeCell ref="D5:K5"/>
    <mergeCell ref="A1:B3"/>
    <mergeCell ref="C1:L1"/>
    <mergeCell ref="M1:P1"/>
    <mergeCell ref="Q1:R1"/>
    <mergeCell ref="C2:L2"/>
    <mergeCell ref="M2:P2"/>
    <mergeCell ref="Q2:R2"/>
    <mergeCell ref="C3:L3"/>
    <mergeCell ref="M3:P3"/>
    <mergeCell ref="Q3:R3"/>
  </mergeCells>
  <conditionalFormatting sqref="K7:K18 R7:S18">
    <cfRule type="cellIs" dxfId="9" priority="11" operator="lessThan">
      <formula>99.7</formula>
    </cfRule>
    <cfRule type="cellIs" dxfId="8" priority="12" operator="greaterThanOrEqual">
      <formula>99.7</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BD14E273-C069-4B97-9CBF-71806AC3ABDA}">
          <x14:formula1>
            <xm:f>Maestro!$A$8:$A$19</xm:f>
          </x14:formula1>
          <xm:sqref>Y7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1A1C-10A3-44E8-9DD0-E779C0EA63E5}">
  <dimension ref="A1:N7"/>
  <sheetViews>
    <sheetView workbookViewId="0">
      <selection activeCell="C1" sqref="C1"/>
    </sheetView>
  </sheetViews>
  <sheetFormatPr defaultColWidth="11.42578125" defaultRowHeight="15"/>
  <cols>
    <col min="6" max="6" width="17" customWidth="1"/>
  </cols>
  <sheetData>
    <row r="1" spans="1:14" ht="18" customHeight="1">
      <c r="A1" s="375"/>
      <c r="B1" s="375"/>
      <c r="C1" s="376" t="s">
        <v>156</v>
      </c>
      <c r="D1" s="376"/>
      <c r="E1" s="376"/>
      <c r="F1" s="376"/>
      <c r="G1" s="376"/>
      <c r="H1" s="376"/>
      <c r="I1" s="376"/>
      <c r="J1" s="377" t="s">
        <v>0</v>
      </c>
      <c r="K1" s="377"/>
      <c r="L1" s="377" t="s">
        <v>1</v>
      </c>
      <c r="M1" s="377"/>
      <c r="N1" s="377"/>
    </row>
    <row r="2" spans="1:14" ht="15.75" customHeight="1">
      <c r="A2" s="375"/>
      <c r="B2" s="375"/>
      <c r="C2" s="378" t="s">
        <v>2</v>
      </c>
      <c r="D2" s="378"/>
      <c r="E2" s="378"/>
      <c r="F2" s="378"/>
      <c r="G2" s="378"/>
      <c r="H2" s="378"/>
      <c r="I2" s="378"/>
      <c r="J2" s="378" t="s">
        <v>3</v>
      </c>
      <c r="K2" s="378"/>
      <c r="L2" s="378">
        <v>0</v>
      </c>
      <c r="M2" s="378"/>
      <c r="N2" s="378"/>
    </row>
    <row r="3" spans="1:14" ht="15.75" customHeight="1">
      <c r="A3" s="375"/>
      <c r="B3" s="375"/>
      <c r="C3" s="377" t="s">
        <v>4</v>
      </c>
      <c r="D3" s="377"/>
      <c r="E3" s="377"/>
      <c r="F3" s="377"/>
      <c r="G3" s="377"/>
      <c r="H3" s="377"/>
      <c r="I3" s="377"/>
      <c r="J3" s="377" t="s">
        <v>5</v>
      </c>
      <c r="K3" s="377"/>
      <c r="L3" s="379">
        <v>45525</v>
      </c>
      <c r="M3" s="379"/>
      <c r="N3" s="379"/>
    </row>
    <row r="6" spans="1:14" ht="30">
      <c r="A6" s="36" t="s">
        <v>482</v>
      </c>
      <c r="B6" s="419" t="s">
        <v>483</v>
      </c>
      <c r="C6" s="419"/>
      <c r="D6" s="419"/>
      <c r="E6" s="419"/>
      <c r="F6" s="36" t="s">
        <v>484</v>
      </c>
      <c r="G6" s="419" t="s">
        <v>485</v>
      </c>
      <c r="H6" s="419"/>
      <c r="I6" s="419"/>
    </row>
    <row r="7" spans="1:14" ht="30" customHeight="1">
      <c r="A7" s="37">
        <v>0</v>
      </c>
      <c r="B7" s="420" t="s">
        <v>486</v>
      </c>
      <c r="C7" s="420"/>
      <c r="D7" s="420"/>
      <c r="E7" s="420"/>
      <c r="F7" s="38">
        <v>45525</v>
      </c>
      <c r="G7" s="421" t="s">
        <v>487</v>
      </c>
      <c r="H7" s="421"/>
      <c r="I7" s="421"/>
    </row>
  </sheetData>
  <mergeCells count="14">
    <mergeCell ref="B6:E6"/>
    <mergeCell ref="G6:I6"/>
    <mergeCell ref="B7:E7"/>
    <mergeCell ref="G7:I7"/>
    <mergeCell ref="L1:N1"/>
    <mergeCell ref="C2:I2"/>
    <mergeCell ref="J2:K2"/>
    <mergeCell ref="L2:N2"/>
    <mergeCell ref="C3:I3"/>
    <mergeCell ref="J3:K3"/>
    <mergeCell ref="L3:N3"/>
    <mergeCell ref="A1:B3"/>
    <mergeCell ref="C1:I1"/>
    <mergeCell ref="J1:K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C212-E765-46FA-8541-B2B476C0C0CA}">
  <sheetPr codeName="Hoja15"/>
  <dimension ref="A1:R79"/>
  <sheetViews>
    <sheetView topLeftCell="A16" workbookViewId="0">
      <selection activeCell="D8" sqref="D8"/>
    </sheetView>
  </sheetViews>
  <sheetFormatPr defaultColWidth="11.42578125" defaultRowHeight="15"/>
  <cols>
    <col min="1" max="1" width="27" bestFit="1" customWidth="1"/>
    <col min="2" max="2" width="9.42578125" bestFit="1" customWidth="1"/>
    <col min="4" max="4" width="57.140625" customWidth="1"/>
    <col min="6" max="6" width="9.42578125" customWidth="1"/>
    <col min="7" max="7" width="24" bestFit="1" customWidth="1"/>
    <col min="8" max="8" width="21.7109375" customWidth="1"/>
    <col min="12" max="12" width="17.28515625" bestFit="1" customWidth="1"/>
    <col min="13" max="13" width="6.42578125" bestFit="1" customWidth="1"/>
    <col min="14" max="14" width="7.140625" bestFit="1" customWidth="1"/>
    <col min="15" max="15" width="10.5703125" bestFit="1" customWidth="1"/>
    <col min="16" max="16" width="10.28515625" bestFit="1" customWidth="1"/>
    <col min="17" max="17" width="9.140625" bestFit="1" customWidth="1"/>
    <col min="18" max="18" width="17.5703125" bestFit="1" customWidth="1"/>
  </cols>
  <sheetData>
    <row r="1" spans="1:18" ht="18" customHeight="1">
      <c r="A1" s="375"/>
      <c r="B1" s="375"/>
      <c r="C1" s="376" t="s">
        <v>156</v>
      </c>
      <c r="D1" s="376"/>
      <c r="E1" s="376"/>
      <c r="F1" s="376"/>
      <c r="G1" s="376"/>
      <c r="H1" s="376"/>
      <c r="I1" s="376"/>
      <c r="J1" s="377" t="s">
        <v>0</v>
      </c>
      <c r="K1" s="377"/>
      <c r="L1" s="377" t="s">
        <v>1</v>
      </c>
      <c r="M1" s="377"/>
      <c r="N1" s="377"/>
    </row>
    <row r="2" spans="1:18" ht="15.75" customHeight="1">
      <c r="A2" s="375"/>
      <c r="B2" s="375"/>
      <c r="C2" s="378" t="s">
        <v>2</v>
      </c>
      <c r="D2" s="378"/>
      <c r="E2" s="378"/>
      <c r="F2" s="378"/>
      <c r="G2" s="378"/>
      <c r="H2" s="378"/>
      <c r="I2" s="378"/>
      <c r="J2" s="378" t="s">
        <v>3</v>
      </c>
      <c r="K2" s="378"/>
      <c r="L2" s="378">
        <v>0</v>
      </c>
      <c r="M2" s="378"/>
      <c r="N2" s="378"/>
    </row>
    <row r="3" spans="1:18" ht="15.75" customHeight="1">
      <c r="A3" s="375"/>
      <c r="B3" s="375"/>
      <c r="C3" s="377" t="s">
        <v>4</v>
      </c>
      <c r="D3" s="377"/>
      <c r="E3" s="377"/>
      <c r="F3" s="377"/>
      <c r="G3" s="377"/>
      <c r="H3" s="377"/>
      <c r="I3" s="377"/>
      <c r="J3" s="377" t="s">
        <v>5</v>
      </c>
      <c r="K3" s="377"/>
      <c r="L3" s="379">
        <v>45525</v>
      </c>
      <c r="M3" s="379"/>
      <c r="N3" s="379"/>
    </row>
    <row r="7" spans="1:18">
      <c r="A7" s="2" t="s">
        <v>488</v>
      </c>
      <c r="B7" s="2" t="s">
        <v>489</v>
      </c>
      <c r="C7" s="2" t="s">
        <v>490</v>
      </c>
      <c r="D7" s="2" t="s">
        <v>491</v>
      </c>
      <c r="G7" s="2" t="s">
        <v>492</v>
      </c>
      <c r="H7" s="2" t="s">
        <v>32</v>
      </c>
      <c r="I7" s="3" t="s">
        <v>493</v>
      </c>
      <c r="L7" t="s">
        <v>28</v>
      </c>
      <c r="M7" t="s">
        <v>360</v>
      </c>
      <c r="N7" t="s">
        <v>29</v>
      </c>
      <c r="O7" t="s">
        <v>30</v>
      </c>
      <c r="P7" t="s">
        <v>31</v>
      </c>
      <c r="Q7" t="s">
        <v>361</v>
      </c>
      <c r="R7" t="s">
        <v>494</v>
      </c>
    </row>
    <row r="8" spans="1:18">
      <c r="A8" t="s">
        <v>37</v>
      </c>
      <c r="B8" s="1">
        <v>31</v>
      </c>
      <c r="C8" s="4">
        <f>+B8*24</f>
        <v>744</v>
      </c>
      <c r="D8" s="1">
        <f>+(B8*24)*60</f>
        <v>44640</v>
      </c>
      <c r="G8" t="s">
        <v>39</v>
      </c>
      <c r="H8" t="s">
        <v>42</v>
      </c>
      <c r="I8" t="s">
        <v>40</v>
      </c>
      <c r="K8" t="s">
        <v>16</v>
      </c>
    </row>
    <row r="9" spans="1:18">
      <c r="A9" t="s">
        <v>91</v>
      </c>
      <c r="B9" s="1">
        <v>29</v>
      </c>
      <c r="C9" s="4">
        <f t="shared" ref="C9:C19" si="0">+B9*24</f>
        <v>696</v>
      </c>
      <c r="D9" s="1">
        <f t="shared" ref="D9:D19" si="1">+(B9*24)*60</f>
        <v>41760</v>
      </c>
      <c r="G9" t="s">
        <v>48</v>
      </c>
      <c r="H9" t="s">
        <v>67</v>
      </c>
      <c r="I9" t="s">
        <v>41</v>
      </c>
      <c r="K9" t="s">
        <v>17</v>
      </c>
    </row>
    <row r="10" spans="1:18">
      <c r="A10" t="s">
        <v>148</v>
      </c>
      <c r="B10" s="1">
        <v>31</v>
      </c>
      <c r="C10" s="4">
        <f t="shared" si="0"/>
        <v>744</v>
      </c>
      <c r="D10" s="1">
        <f t="shared" si="1"/>
        <v>44640</v>
      </c>
      <c r="K10" t="s">
        <v>495</v>
      </c>
    </row>
    <row r="11" spans="1:18">
      <c r="A11" t="s">
        <v>170</v>
      </c>
      <c r="B11" s="1">
        <v>30</v>
      </c>
      <c r="C11" s="4">
        <f t="shared" si="0"/>
        <v>720</v>
      </c>
      <c r="D11" s="1">
        <f t="shared" si="1"/>
        <v>43200</v>
      </c>
      <c r="K11" t="s">
        <v>496</v>
      </c>
    </row>
    <row r="12" spans="1:18">
      <c r="A12" t="s">
        <v>169</v>
      </c>
      <c r="B12" s="1">
        <v>31</v>
      </c>
      <c r="C12" s="4">
        <f t="shared" si="0"/>
        <v>744</v>
      </c>
      <c r="D12" s="1">
        <f>+(B12*24)*60</f>
        <v>44640</v>
      </c>
      <c r="K12" t="s">
        <v>359</v>
      </c>
    </row>
    <row r="13" spans="1:18">
      <c r="A13" t="s">
        <v>172</v>
      </c>
      <c r="B13" s="1">
        <v>30</v>
      </c>
      <c r="C13" s="4">
        <f t="shared" si="0"/>
        <v>720</v>
      </c>
      <c r="D13" s="1">
        <f t="shared" si="1"/>
        <v>43200</v>
      </c>
    </row>
    <row r="14" spans="1:18">
      <c r="A14" t="s">
        <v>173</v>
      </c>
      <c r="B14" s="1">
        <v>31</v>
      </c>
      <c r="C14" s="4">
        <f t="shared" si="0"/>
        <v>744</v>
      </c>
      <c r="D14" s="1">
        <f t="shared" si="1"/>
        <v>44640</v>
      </c>
    </row>
    <row r="15" spans="1:18">
      <c r="A15" t="s">
        <v>174</v>
      </c>
      <c r="B15" s="1">
        <v>31</v>
      </c>
      <c r="C15" s="4">
        <f t="shared" si="0"/>
        <v>744</v>
      </c>
      <c r="D15" s="1">
        <f t="shared" si="1"/>
        <v>44640</v>
      </c>
    </row>
    <row r="16" spans="1:18">
      <c r="A16" t="s">
        <v>175</v>
      </c>
      <c r="B16" s="1">
        <v>30</v>
      </c>
      <c r="C16" s="4">
        <f t="shared" si="0"/>
        <v>720</v>
      </c>
      <c r="D16" s="1">
        <f t="shared" si="1"/>
        <v>43200</v>
      </c>
    </row>
    <row r="17" spans="1:11">
      <c r="A17" t="s">
        <v>176</v>
      </c>
      <c r="B17" s="1">
        <v>31</v>
      </c>
      <c r="C17" s="4">
        <f t="shared" si="0"/>
        <v>744</v>
      </c>
      <c r="D17" s="1">
        <f t="shared" si="1"/>
        <v>44640</v>
      </c>
    </row>
    <row r="18" spans="1:11">
      <c r="A18" t="s">
        <v>177</v>
      </c>
      <c r="B18" s="1">
        <v>30</v>
      </c>
      <c r="C18" s="4">
        <f t="shared" si="0"/>
        <v>720</v>
      </c>
      <c r="D18" s="1">
        <f t="shared" si="1"/>
        <v>43200</v>
      </c>
    </row>
    <row r="19" spans="1:11">
      <c r="A19" t="s">
        <v>178</v>
      </c>
      <c r="B19" s="1">
        <v>31</v>
      </c>
      <c r="C19" s="4">
        <f t="shared" si="0"/>
        <v>744</v>
      </c>
      <c r="D19" s="1">
        <f t="shared" si="1"/>
        <v>44640</v>
      </c>
    </row>
    <row r="23" spans="1:11">
      <c r="A23" s="2" t="s">
        <v>488</v>
      </c>
      <c r="B23" s="2" t="s">
        <v>489</v>
      </c>
      <c r="C23" s="2" t="s">
        <v>490</v>
      </c>
      <c r="D23" s="2" t="s">
        <v>491</v>
      </c>
    </row>
    <row r="24" spans="1:11">
      <c r="A24" t="s">
        <v>148</v>
      </c>
      <c r="B24" s="1">
        <v>16</v>
      </c>
      <c r="C24" s="4">
        <f t="shared" ref="C24" si="2">+B24*24</f>
        <v>384</v>
      </c>
      <c r="D24" s="1">
        <f t="shared" ref="D24" si="3">+(B24*24)*60</f>
        <v>23040</v>
      </c>
      <c r="E24" t="s">
        <v>497</v>
      </c>
    </row>
    <row r="30" spans="1:11" ht="15.75" thickBot="1"/>
    <row r="31" spans="1:11" ht="48" thickBot="1">
      <c r="A31" s="21"/>
      <c r="B31" s="22" t="s">
        <v>28</v>
      </c>
      <c r="C31" s="22" t="s">
        <v>360</v>
      </c>
      <c r="D31" s="22" t="s">
        <v>29</v>
      </c>
      <c r="E31" s="22" t="s">
        <v>30</v>
      </c>
      <c r="F31" s="22" t="s">
        <v>31</v>
      </c>
      <c r="G31" s="22" t="s">
        <v>361</v>
      </c>
      <c r="H31" s="22" t="s">
        <v>498</v>
      </c>
    </row>
    <row r="32" spans="1:11" ht="15.75" thickBot="1">
      <c r="A32" s="27" t="s">
        <v>499</v>
      </c>
      <c r="B32" s="23">
        <v>0.46573502833319175</v>
      </c>
      <c r="C32" s="23">
        <v>0.18683675527642141</v>
      </c>
      <c r="D32" s="23">
        <v>3.7696123448979636E-2</v>
      </c>
      <c r="E32" s="23">
        <v>0.1058500367487209</v>
      </c>
      <c r="F32" s="23">
        <v>0.20340665034838321</v>
      </c>
      <c r="G32" s="23">
        <v>4.7540584430321651E-4</v>
      </c>
      <c r="H32" s="16">
        <v>1.0000000000000002</v>
      </c>
      <c r="K32" s="16">
        <v>1</v>
      </c>
    </row>
    <row r="33" spans="1:11" ht="15.75" thickBot="1">
      <c r="A33" s="27" t="s">
        <v>25</v>
      </c>
      <c r="B33" s="23">
        <v>4.6053554935523412E-2</v>
      </c>
      <c r="C33" s="23">
        <v>0.11010573589545188</v>
      </c>
      <c r="D33" s="23">
        <v>3.2389392709425147E-2</v>
      </c>
      <c r="E33" s="23">
        <v>0.21667114000378804</v>
      </c>
      <c r="F33" s="23">
        <v>0.59395749601402603</v>
      </c>
      <c r="G33" s="23">
        <v>8.2268044178549805E-4</v>
      </c>
      <c r="H33" s="16">
        <v>1</v>
      </c>
      <c r="J33">
        <v>99.33</v>
      </c>
      <c r="K33" s="16">
        <v>0.47</v>
      </c>
    </row>
    <row r="34" spans="1:11" ht="15.75" thickBot="1">
      <c r="A34" s="27" t="s">
        <v>22</v>
      </c>
      <c r="B34" s="23">
        <v>0.5972504492343671</v>
      </c>
      <c r="C34" s="23">
        <v>7.708419737591006E-2</v>
      </c>
      <c r="D34" s="23">
        <v>2.0460358549005294E-2</v>
      </c>
      <c r="E34" s="23">
        <v>7.8397938124260505E-2</v>
      </c>
      <c r="F34" s="23">
        <v>0.22652242650088553</v>
      </c>
      <c r="G34" s="23">
        <v>2.8463021557157753E-4</v>
      </c>
      <c r="H34" s="16">
        <v>1.0000000000000002</v>
      </c>
    </row>
    <row r="35" spans="1:11" ht="15.75" thickBot="1">
      <c r="A35" s="27" t="s">
        <v>23</v>
      </c>
      <c r="B35" s="23">
        <v>0.67384281245645272</v>
      </c>
      <c r="C35" s="23">
        <v>8.3076276868902718E-2</v>
      </c>
      <c r="D35" s="23">
        <v>3.5855884865181584E-2</v>
      </c>
      <c r="E35" s="23">
        <v>0.13313715787678473</v>
      </c>
      <c r="F35" s="23">
        <v>7.3938643687153291E-2</v>
      </c>
      <c r="G35" s="23">
        <v>1.4922424552510298E-4</v>
      </c>
      <c r="H35" s="16">
        <v>1</v>
      </c>
    </row>
    <row r="36" spans="1:11" ht="15.75" thickBot="1">
      <c r="A36" s="27" t="s">
        <v>500</v>
      </c>
      <c r="B36" s="23">
        <v>0</v>
      </c>
      <c r="C36" s="23">
        <v>0.58345680066796735</v>
      </c>
      <c r="D36" s="23">
        <v>0</v>
      </c>
      <c r="E36" s="23">
        <v>0.39505465972045378</v>
      </c>
      <c r="F36" s="23">
        <v>2.1488539611578834E-2</v>
      </c>
      <c r="G36" s="23">
        <v>0</v>
      </c>
      <c r="H36" s="16">
        <v>0.99999999999999989</v>
      </c>
    </row>
    <row r="37" spans="1:11" ht="15.75" thickBot="1">
      <c r="A37" s="24" t="s">
        <v>501</v>
      </c>
      <c r="B37" s="23">
        <v>0.40760288543945083</v>
      </c>
      <c r="C37" s="23">
        <v>0.13018464715856912</v>
      </c>
      <c r="D37" s="23">
        <v>0.20345016707533947</v>
      </c>
      <c r="E37" s="23">
        <v>3.8579448238213548E-2</v>
      </c>
      <c r="F37" s="23">
        <v>0.21975434045899275</v>
      </c>
      <c r="G37" s="23">
        <v>4.2851162943432055E-4</v>
      </c>
      <c r="H37" s="16">
        <v>1</v>
      </c>
    </row>
    <row r="38" spans="1:11" ht="15.75" thickBot="1">
      <c r="A38" s="27" t="s">
        <v>502</v>
      </c>
      <c r="B38" s="23">
        <v>0</v>
      </c>
      <c r="C38" s="23">
        <v>1</v>
      </c>
      <c r="D38" s="23">
        <v>0</v>
      </c>
      <c r="E38" s="23">
        <v>0</v>
      </c>
      <c r="F38" s="23">
        <v>0</v>
      </c>
      <c r="G38" s="23">
        <v>0</v>
      </c>
      <c r="H38" s="16">
        <v>1</v>
      </c>
    </row>
    <row r="39" spans="1:11" ht="15.75" thickBot="1">
      <c r="A39" s="27" t="s">
        <v>26</v>
      </c>
      <c r="B39" s="23">
        <v>0.59691968171361243</v>
      </c>
      <c r="C39" s="23">
        <v>8.6519543324238002E-2</v>
      </c>
      <c r="D39" s="23">
        <v>2.5875233863530901E-2</v>
      </c>
      <c r="E39" s="23">
        <v>0.18998598548728418</v>
      </c>
      <c r="F39" s="23">
        <v>0.10042974084606994</v>
      </c>
      <c r="G39" s="23">
        <v>2.6981476526458293E-4</v>
      </c>
      <c r="H39" s="16">
        <v>1</v>
      </c>
    </row>
    <row r="40" spans="1:11">
      <c r="A40" s="25" t="s">
        <v>503</v>
      </c>
      <c r="B40" s="20">
        <v>0.34842555151407478</v>
      </c>
      <c r="C40" s="20">
        <v>0.2821579945709326</v>
      </c>
      <c r="D40" s="20">
        <v>4.4465895063932753E-2</v>
      </c>
      <c r="E40" s="20">
        <v>0.14470954577493822</v>
      </c>
      <c r="F40" s="20">
        <v>0.17993722968338621</v>
      </c>
      <c r="G40" s="20">
        <v>3.037833927355373E-4</v>
      </c>
      <c r="H40" s="26">
        <v>1</v>
      </c>
    </row>
    <row r="43" spans="1:11" ht="15.75" thickBot="1"/>
    <row r="44" spans="1:11" ht="46.5" thickBot="1">
      <c r="A44" s="21"/>
      <c r="B44" s="71" t="s">
        <v>16</v>
      </c>
      <c r="C44" s="71" t="s">
        <v>17</v>
      </c>
      <c r="D44" s="71" t="s">
        <v>358</v>
      </c>
      <c r="E44" s="71" t="s">
        <v>359</v>
      </c>
    </row>
    <row r="45" spans="1:11" ht="15.75" thickBot="1">
      <c r="A45" s="72" t="s">
        <v>499</v>
      </c>
      <c r="B45" s="73">
        <v>0.99746114873900471</v>
      </c>
      <c r="C45" s="73">
        <v>1.9941878488084833E-3</v>
      </c>
      <c r="D45" s="73">
        <v>0</v>
      </c>
      <c r="E45" s="73">
        <v>5.4466341218674548E-4</v>
      </c>
    </row>
    <row r="46" spans="1:11" ht="15.75" thickBot="1">
      <c r="A46" s="24" t="s">
        <v>25</v>
      </c>
      <c r="B46" s="73">
        <v>0.67616306490886646</v>
      </c>
      <c r="C46" s="73">
        <v>1.5857127810418717E-2</v>
      </c>
      <c r="D46" s="73">
        <v>4.8854668968192141E-3</v>
      </c>
      <c r="E46" s="73">
        <v>1.3993852325857755E-3</v>
      </c>
    </row>
    <row r="47" spans="1:11" ht="15.75" thickBot="1">
      <c r="A47" s="72" t="s">
        <v>22</v>
      </c>
      <c r="B47" s="73">
        <v>0.99924079592696324</v>
      </c>
      <c r="C47" s="73">
        <v>2.6885124468365975E-4</v>
      </c>
      <c r="D47" s="73">
        <v>5.2054607158785623E-6</v>
      </c>
      <c r="E47" s="73">
        <v>4.3436642265349314E-4</v>
      </c>
    </row>
    <row r="48" spans="1:11" ht="15.75" thickBot="1">
      <c r="A48" s="24" t="s">
        <v>23</v>
      </c>
      <c r="B48" s="73">
        <v>0.99948317585923618</v>
      </c>
      <c r="C48" s="73">
        <v>0</v>
      </c>
      <c r="D48" s="73">
        <v>0</v>
      </c>
      <c r="E48" s="73">
        <v>6.7567012274139264E-4</v>
      </c>
    </row>
    <row r="49" spans="1:5" ht="15.75" thickBot="1">
      <c r="A49" s="72" t="s">
        <v>500</v>
      </c>
      <c r="B49" s="73">
        <v>0.66309409595577262</v>
      </c>
      <c r="C49" s="73">
        <v>0</v>
      </c>
      <c r="D49" s="73">
        <v>0.33626428559958094</v>
      </c>
      <c r="E49" s="73">
        <v>5.1371890986433857E-6</v>
      </c>
    </row>
    <row r="50" spans="1:5" ht="15.75" thickBot="1">
      <c r="A50" s="24" t="s">
        <v>501</v>
      </c>
      <c r="B50" s="73">
        <v>0.92913871805814219</v>
      </c>
      <c r="C50" s="73">
        <v>0</v>
      </c>
      <c r="D50" s="73">
        <v>6.4564832785170445E-2</v>
      </c>
      <c r="E50" s="73">
        <v>9.8875609551380534E-4</v>
      </c>
    </row>
    <row r="51" spans="1:5" ht="15.75" thickBot="1">
      <c r="A51" s="27" t="s">
        <v>502</v>
      </c>
      <c r="B51" s="23"/>
      <c r="C51" s="23"/>
      <c r="D51" s="23"/>
      <c r="E51" s="23">
        <v>1</v>
      </c>
    </row>
    <row r="52" spans="1:5" ht="15.75" thickBot="1">
      <c r="A52" s="24" t="s">
        <v>26</v>
      </c>
      <c r="B52" s="23">
        <v>0.99950134482126607</v>
      </c>
      <c r="C52" s="23">
        <v>0</v>
      </c>
      <c r="D52" s="23">
        <v>8.2282124867331816E-6</v>
      </c>
      <c r="E52" s="23">
        <v>6.4179981146058338E-4</v>
      </c>
    </row>
    <row r="59" spans="1:5">
      <c r="A59" t="s">
        <v>201</v>
      </c>
      <c r="D59" t="s">
        <v>504</v>
      </c>
    </row>
    <row r="60" spans="1:5">
      <c r="A60" t="s">
        <v>187</v>
      </c>
      <c r="D60" t="s">
        <v>198</v>
      </c>
    </row>
    <row r="61" spans="1:5">
      <c r="A61" t="s">
        <v>222</v>
      </c>
      <c r="D61" t="s">
        <v>505</v>
      </c>
    </row>
    <row r="62" spans="1:5">
      <c r="A62" t="s">
        <v>191</v>
      </c>
      <c r="D62" t="s">
        <v>229</v>
      </c>
    </row>
    <row r="63" spans="1:5">
      <c r="A63" t="s">
        <v>203</v>
      </c>
      <c r="D63" t="s">
        <v>257</v>
      </c>
    </row>
    <row r="64" spans="1:5">
      <c r="D64" t="s">
        <v>506</v>
      </c>
    </row>
    <row r="65" spans="4:4">
      <c r="D65" t="s">
        <v>507</v>
      </c>
    </row>
    <row r="66" spans="4:4">
      <c r="D66" t="s">
        <v>508</v>
      </c>
    </row>
    <row r="67" spans="4:4">
      <c r="D67" t="s">
        <v>509</v>
      </c>
    </row>
    <row r="68" spans="4:4">
      <c r="D68" t="s">
        <v>510</v>
      </c>
    </row>
    <row r="69" spans="4:4">
      <c r="D69" t="s">
        <v>511</v>
      </c>
    </row>
    <row r="70" spans="4:4">
      <c r="D70" t="s">
        <v>512</v>
      </c>
    </row>
    <row r="71" spans="4:4">
      <c r="D71" t="s">
        <v>513</v>
      </c>
    </row>
    <row r="72" spans="4:4">
      <c r="D72" t="s">
        <v>514</v>
      </c>
    </row>
    <row r="73" spans="4:4">
      <c r="D73" t="s">
        <v>515</v>
      </c>
    </row>
    <row r="74" spans="4:4">
      <c r="D74" t="s">
        <v>516</v>
      </c>
    </row>
    <row r="75" spans="4:4">
      <c r="D75" t="s">
        <v>517</v>
      </c>
    </row>
    <row r="76" spans="4:4">
      <c r="D76" t="s">
        <v>518</v>
      </c>
    </row>
    <row r="77" spans="4:4">
      <c r="D77" t="s">
        <v>519</v>
      </c>
    </row>
    <row r="78" spans="4:4">
      <c r="D78" t="s">
        <v>520</v>
      </c>
    </row>
    <row r="79" spans="4:4">
      <c r="D79" t="s">
        <v>521</v>
      </c>
    </row>
  </sheetData>
  <mergeCells count="10">
    <mergeCell ref="A1:B3"/>
    <mergeCell ref="C1:I1"/>
    <mergeCell ref="J1:K1"/>
    <mergeCell ref="L1:N1"/>
    <mergeCell ref="C2:I2"/>
    <mergeCell ref="J2:K2"/>
    <mergeCell ref="L2:N2"/>
    <mergeCell ref="C3:I3"/>
    <mergeCell ref="J3:K3"/>
    <mergeCell ref="L3:N3"/>
  </mergeCells>
  <phoneticPr fontId="3"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D213-2327-415B-B112-9AD24FB75D53}">
  <sheetPr codeName="Hoja4"/>
  <dimension ref="A1:AK43"/>
  <sheetViews>
    <sheetView showGridLines="0" topLeftCell="A22" zoomScale="79" zoomScaleNormal="79" workbookViewId="0">
      <selection activeCell="B40" sqref="B40:J43"/>
    </sheetView>
  </sheetViews>
  <sheetFormatPr defaultColWidth="9.140625" defaultRowHeight="15"/>
  <cols>
    <col min="2" max="2" width="11.85546875" bestFit="1" customWidth="1"/>
    <col min="3" max="3" width="13.42578125" bestFit="1" customWidth="1"/>
    <col min="4" max="4" width="12.5703125" bestFit="1" customWidth="1"/>
    <col min="5" max="7" width="13.28515625" bestFit="1" customWidth="1"/>
    <col min="8" max="9" width="12.5703125" bestFit="1" customWidth="1"/>
    <col min="10" max="10" width="13.28515625" bestFit="1" customWidth="1"/>
    <col min="11" max="11" width="21.140625" bestFit="1" customWidth="1"/>
    <col min="27" max="27" width="26.7109375" customWidth="1"/>
    <col min="28" max="28" width="17" bestFit="1" customWidth="1"/>
    <col min="29" max="29" width="15.42578125" style="175" customWidth="1"/>
    <col min="30" max="30" width="5.5703125" customWidth="1"/>
    <col min="32" max="32" width="22.5703125" customWidth="1"/>
    <col min="33" max="33" width="17" bestFit="1" customWidth="1"/>
    <col min="34" max="34" width="15.42578125" customWidth="1"/>
    <col min="36" max="36" width="19" bestFit="1" customWidth="1"/>
    <col min="37" max="37" width="21.85546875" bestFit="1" customWidth="1"/>
  </cols>
  <sheetData>
    <row r="1" spans="1:37" ht="18" customHeight="1">
      <c r="A1" s="402"/>
      <c r="B1" s="403"/>
      <c r="C1" s="408" t="s">
        <v>156</v>
      </c>
      <c r="D1" s="409"/>
      <c r="E1" s="409"/>
      <c r="F1" s="409"/>
      <c r="G1" s="409"/>
      <c r="H1" s="409"/>
      <c r="I1" s="409"/>
      <c r="J1" s="409"/>
      <c r="K1" s="409"/>
      <c r="L1" s="409"/>
      <c r="M1" s="410" t="s">
        <v>0</v>
      </c>
      <c r="N1" s="410"/>
      <c r="O1" s="410"/>
      <c r="P1" s="411"/>
      <c r="Q1" s="410"/>
      <c r="R1" s="411"/>
      <c r="AC1"/>
    </row>
    <row r="2" spans="1:37" ht="15.75" customHeight="1">
      <c r="A2" s="404"/>
      <c r="B2" s="405"/>
      <c r="C2" s="412" t="s">
        <v>2</v>
      </c>
      <c r="D2" s="413"/>
      <c r="E2" s="413"/>
      <c r="F2" s="413"/>
      <c r="G2" s="413"/>
      <c r="H2" s="413"/>
      <c r="I2" s="413"/>
      <c r="J2" s="413"/>
      <c r="K2" s="413"/>
      <c r="L2" s="413"/>
      <c r="M2" s="413" t="s">
        <v>3</v>
      </c>
      <c r="N2" s="413"/>
      <c r="O2" s="413"/>
      <c r="P2" s="414"/>
      <c r="Q2" s="413"/>
      <c r="R2" s="415"/>
      <c r="AC2"/>
    </row>
    <row r="3" spans="1:37" ht="15.75" customHeight="1">
      <c r="A3" s="406"/>
      <c r="B3" s="407"/>
      <c r="C3" s="416" t="s">
        <v>4</v>
      </c>
      <c r="D3" s="410"/>
      <c r="E3" s="410"/>
      <c r="F3" s="410"/>
      <c r="G3" s="410"/>
      <c r="H3" s="410"/>
      <c r="I3" s="410"/>
      <c r="J3" s="410"/>
      <c r="K3" s="410"/>
      <c r="L3" s="410"/>
      <c r="M3" s="410" t="s">
        <v>5</v>
      </c>
      <c r="N3" s="410"/>
      <c r="O3" s="410"/>
      <c r="P3" s="411"/>
      <c r="Q3" s="417"/>
      <c r="R3" s="418"/>
      <c r="AC3"/>
    </row>
    <row r="5" spans="1:37" ht="18.75">
      <c r="D5" s="399" t="s">
        <v>159</v>
      </c>
      <c r="E5" s="400"/>
      <c r="F5" s="400"/>
      <c r="G5" s="400"/>
      <c r="H5" s="400"/>
      <c r="I5" s="400"/>
      <c r="J5" s="400"/>
      <c r="K5" s="401"/>
      <c r="L5" s="399" t="s">
        <v>161</v>
      </c>
      <c r="M5" s="400"/>
      <c r="N5" s="400"/>
      <c r="O5" s="400"/>
      <c r="P5" s="400"/>
      <c r="Q5" s="400"/>
      <c r="R5" s="401"/>
    </row>
    <row r="6" spans="1:37" ht="129.75">
      <c r="B6" s="67" t="s">
        <v>9</v>
      </c>
      <c r="C6" s="67" t="s">
        <v>157</v>
      </c>
      <c r="D6" s="54" t="s">
        <v>21</v>
      </c>
      <c r="E6" s="53" t="s">
        <v>406</v>
      </c>
      <c r="F6" s="53" t="s">
        <v>407</v>
      </c>
      <c r="G6" s="53" t="s">
        <v>24</v>
      </c>
      <c r="H6" s="53" t="s">
        <v>410</v>
      </c>
      <c r="I6" s="124" t="s">
        <v>27</v>
      </c>
      <c r="J6" s="53" t="s">
        <v>25</v>
      </c>
      <c r="K6" s="62" t="s">
        <v>472</v>
      </c>
      <c r="L6" s="54" t="s">
        <v>21</v>
      </c>
      <c r="M6" s="53" t="s">
        <v>406</v>
      </c>
      <c r="N6" s="53" t="s">
        <v>407</v>
      </c>
      <c r="O6" s="53" t="s">
        <v>24</v>
      </c>
      <c r="P6" s="53" t="s">
        <v>410</v>
      </c>
      <c r="Q6" s="53" t="s">
        <v>25</v>
      </c>
      <c r="R6" s="62" t="s">
        <v>472</v>
      </c>
      <c r="S6" s="65" t="s">
        <v>473</v>
      </c>
      <c r="T6" s="66" t="s">
        <v>165</v>
      </c>
      <c r="U6" s="66" t="s">
        <v>166</v>
      </c>
      <c r="Z6" s="155" t="s">
        <v>9</v>
      </c>
      <c r="AA6" s="156" t="s">
        <v>10</v>
      </c>
      <c r="AB6" s="157" t="s">
        <v>12</v>
      </c>
      <c r="AC6" s="172" t="s">
        <v>14</v>
      </c>
      <c r="AE6" s="155" t="s">
        <v>9</v>
      </c>
      <c r="AF6" s="156" t="s">
        <v>10</v>
      </c>
      <c r="AG6" s="157" t="s">
        <v>12</v>
      </c>
      <c r="AH6" s="158" t="s">
        <v>14</v>
      </c>
    </row>
    <row r="7" spans="1:37" ht="16.5" customHeight="1">
      <c r="B7" s="131" t="s">
        <v>177</v>
      </c>
      <c r="C7" s="68">
        <v>43200</v>
      </c>
      <c r="D7" s="55">
        <v>99.999999999999972</v>
      </c>
      <c r="E7" s="56">
        <v>99.999999999999972</v>
      </c>
      <c r="F7" s="56">
        <v>100</v>
      </c>
      <c r="G7" s="56">
        <v>100</v>
      </c>
      <c r="H7" s="56">
        <v>100</v>
      </c>
      <c r="I7" s="56">
        <v>99.999999999999972</v>
      </c>
      <c r="J7" s="56">
        <v>99.987037037033588</v>
      </c>
      <c r="K7" s="63">
        <v>99.998559670781503</v>
      </c>
      <c r="L7" s="55">
        <v>99.999999999999986</v>
      </c>
      <c r="M7" s="56">
        <v>99.999999999999972</v>
      </c>
      <c r="N7" s="56">
        <v>100.00000000000001</v>
      </c>
      <c r="O7" s="56">
        <v>100</v>
      </c>
      <c r="P7" s="56">
        <v>99.999999999999986</v>
      </c>
      <c r="Q7" s="56">
        <v>99.967592592583955</v>
      </c>
      <c r="R7" s="63">
        <v>99.995949074072982</v>
      </c>
      <c r="S7" s="64">
        <v>99.99725437242725</v>
      </c>
      <c r="T7" s="70">
        <v>109.00000000954606</v>
      </c>
      <c r="U7" s="69">
        <v>2.5231481483691215E-3</v>
      </c>
      <c r="Z7" s="159" t="s">
        <v>522</v>
      </c>
      <c r="AA7" s="168" t="s">
        <v>523</v>
      </c>
      <c r="AB7" s="169">
        <v>45387.307638888888</v>
      </c>
      <c r="AC7" s="173">
        <v>21.000000005587935</v>
      </c>
      <c r="AE7" s="159" t="s">
        <v>522</v>
      </c>
      <c r="AF7" s="168" t="s">
        <v>524</v>
      </c>
      <c r="AG7" s="169">
        <v>45399.670138888891</v>
      </c>
      <c r="AH7" s="173">
        <v>0.99999999278225005</v>
      </c>
      <c r="AJ7" s="161" t="s">
        <v>362</v>
      </c>
    </row>
    <row r="8" spans="1:37" ht="16.5" customHeight="1">
      <c r="B8" s="131" t="s">
        <v>178</v>
      </c>
      <c r="C8" s="68">
        <v>44640</v>
      </c>
      <c r="D8" s="55">
        <v>99.678405017940065</v>
      </c>
      <c r="E8" s="56">
        <v>98.498006272419076</v>
      </c>
      <c r="F8" s="56">
        <v>99.752083333376504</v>
      </c>
      <c r="G8" s="56">
        <v>100</v>
      </c>
      <c r="H8" s="56">
        <v>98.340053763428344</v>
      </c>
      <c r="I8" s="56">
        <v>99.382885304674147</v>
      </c>
      <c r="J8" s="56">
        <v>100</v>
      </c>
      <c r="K8" s="63">
        <v>99.516825965759793</v>
      </c>
      <c r="L8" s="55">
        <v>99.588324523727096</v>
      </c>
      <c r="M8" s="56">
        <v>98.359699193230682</v>
      </c>
      <c r="N8" s="56">
        <v>99.642602901451113</v>
      </c>
      <c r="O8" s="56">
        <v>100</v>
      </c>
      <c r="P8" s="56">
        <v>98.34050164143251</v>
      </c>
      <c r="Q8" s="56">
        <v>99.666224693686658</v>
      </c>
      <c r="R8" s="63">
        <v>99.449669119191014</v>
      </c>
      <c r="S8" s="64">
        <v>99.483247542475397</v>
      </c>
      <c r="T8" s="70">
        <v>2980.9999999625143</v>
      </c>
      <c r="U8" s="69">
        <v>6.6778673834285721E-2</v>
      </c>
      <c r="Z8" s="160" t="s">
        <v>522</v>
      </c>
      <c r="AA8" s="170" t="s">
        <v>525</v>
      </c>
      <c r="AB8" s="171">
        <v>45387.521527777775</v>
      </c>
      <c r="AC8" s="174">
        <v>15</v>
      </c>
      <c r="AE8" s="160" t="s">
        <v>522</v>
      </c>
      <c r="AF8" s="170" t="s">
        <v>526</v>
      </c>
      <c r="AG8" s="171">
        <v>45399.704861111109</v>
      </c>
      <c r="AH8" s="174">
        <v>37.999999998137355</v>
      </c>
      <c r="AJ8" s="162" t="s">
        <v>527</v>
      </c>
      <c r="AK8" s="176" t="s">
        <v>528</v>
      </c>
    </row>
    <row r="9" spans="1:37" ht="16.5" customHeight="1">
      <c r="B9" s="131" t="s">
        <v>37</v>
      </c>
      <c r="C9" s="68">
        <f>VLOOKUP(B9,Maestro!$A$7:$D$19,4,FALSE)</f>
        <v>44640</v>
      </c>
      <c r="D9" s="55">
        <f>+'Acertemos - Cauca'!F10</f>
        <v>100</v>
      </c>
      <c r="E9" s="56">
        <f>+'Jer - Boyaca'!F10</f>
        <v>100</v>
      </c>
      <c r="F9" s="56">
        <f>+'SuChance - Huila'!F10</f>
        <v>100</v>
      </c>
      <c r="G9" s="56">
        <f>+MatrixRedes____!H7</f>
        <v>100</v>
      </c>
      <c r="H9" s="56">
        <f>+'Gana Gana - Tolima1'!H7</f>
        <v>100</v>
      </c>
      <c r="I9" s="56">
        <f>+'Santander - LaPerla'!F10</f>
        <v>100</v>
      </c>
      <c r="J9" s="56">
        <f>+'Gana - Antioquia'!I10</f>
        <v>100</v>
      </c>
      <c r="K9" s="63">
        <f>AVERAGE(D9:J9)</f>
        <v>100</v>
      </c>
      <c r="L9" s="55">
        <f>+'Acertemos - Cauca'!K10</f>
        <v>100</v>
      </c>
      <c r="M9" s="56">
        <f>+'Jer - Boyaca'!K10</f>
        <v>100</v>
      </c>
      <c r="N9" s="56">
        <f>+'SuChance - Huila'!K10</f>
        <v>100</v>
      </c>
      <c r="O9" s="56">
        <f>+MatrixRedes!L10</f>
        <v>100</v>
      </c>
      <c r="P9" s="56">
        <f>+'Gana Gana - Tolima'!O10</f>
        <v>100</v>
      </c>
      <c r="Q9" s="56">
        <f>+'Gana - Antioquia'!N10</f>
        <v>100</v>
      </c>
      <c r="R9" s="63">
        <f>AVERAGE(L9:Q9)</f>
        <v>100</v>
      </c>
      <c r="S9" s="64">
        <f t="shared" ref="S9:S11" si="0">AVERAGE(K9,R9)</f>
        <v>100</v>
      </c>
      <c r="T9" s="70">
        <f>SUMIFS(disponibilidad[Tiempo falla 
(en Mintuos)],disponibilidad[Mes],$B9,disponibilidad[[Tipo de afectación ]],"caÍda total",disponibilidad[Responsable Falla],"Matrix Tech")</f>
        <v>242.99999999930151</v>
      </c>
      <c r="U9" s="69">
        <f t="shared" ref="U9:U11" si="1">+T9/C9</f>
        <v>5.443548387081127E-3</v>
      </c>
      <c r="Z9" s="159" t="s">
        <v>522</v>
      </c>
      <c r="AA9" s="168" t="s">
        <v>529</v>
      </c>
      <c r="AB9" s="169">
        <v>45388.295138888891</v>
      </c>
      <c r="AC9" s="173">
        <v>8.9999999979045242</v>
      </c>
      <c r="AE9" s="159" t="s">
        <v>522</v>
      </c>
      <c r="AF9" s="168" t="s">
        <v>530</v>
      </c>
      <c r="AG9" s="169">
        <v>45400.348611111112</v>
      </c>
      <c r="AH9" s="173">
        <v>7.0000000018626451</v>
      </c>
      <c r="AJ9" s="163" t="s">
        <v>531</v>
      </c>
      <c r="AK9" s="177" t="s">
        <v>532</v>
      </c>
    </row>
    <row r="10" spans="1:37" ht="16.5" customHeight="1">
      <c r="B10" s="140" t="s">
        <v>91</v>
      </c>
      <c r="C10" s="68">
        <f>VLOOKUP(B10,Maestro!$A$7:$D$19,4,FALSE)</f>
        <v>41760</v>
      </c>
      <c r="D10" s="55">
        <f>+'Acertemos - Cauca'!F11</f>
        <v>100</v>
      </c>
      <c r="E10" s="56">
        <f>+'Jer - Boyaca'!F11</f>
        <v>100</v>
      </c>
      <c r="F10" s="56">
        <f>+'SuChance - Huila'!F11</f>
        <v>100</v>
      </c>
      <c r="G10" s="56">
        <f>+MatrixRedes____!H8</f>
        <v>100</v>
      </c>
      <c r="H10" s="56">
        <f>+'Gana Gana - Tolima1'!H8</f>
        <v>100</v>
      </c>
      <c r="I10" s="56">
        <f>+'Santander - LaPerla'!F11</f>
        <v>100</v>
      </c>
      <c r="J10" s="56">
        <f>+'Gana - Antioquia'!I11</f>
        <v>100</v>
      </c>
      <c r="K10" s="63">
        <f t="shared" ref="K10:K11" si="2">AVERAGE(D10:J10)</f>
        <v>100</v>
      </c>
      <c r="L10" s="55">
        <f>+'Acertemos - Cauca'!K11</f>
        <v>100</v>
      </c>
      <c r="M10" s="56">
        <f>+'Jer - Boyaca'!K11</f>
        <v>100</v>
      </c>
      <c r="N10" s="56">
        <f>+'SuChance - Huila'!K11</f>
        <v>100</v>
      </c>
      <c r="O10" s="56">
        <f>+MatrixRedes!L11</f>
        <v>100</v>
      </c>
      <c r="P10" s="56">
        <f>+'Gana Gana - Tolima'!O11</f>
        <v>100</v>
      </c>
      <c r="Q10" s="56">
        <f>+'Gana - Antioquia'!N11</f>
        <v>100</v>
      </c>
      <c r="R10" s="63">
        <f t="shared" ref="R10:R11" si="3">AVERAGE(L10:Q10)</f>
        <v>100</v>
      </c>
      <c r="S10" s="64">
        <f t="shared" si="0"/>
        <v>100</v>
      </c>
      <c r="T10" s="70">
        <f>SUMIFS(disponibilidad[Tiempo falla 
(en Mintuos)],disponibilidad[Mes],$B10,disponibilidad[[Tipo de afectación ]],"caÍda total",disponibilidad[Responsable Falla],"Matrix Tech")</f>
        <v>335.99999999511056</v>
      </c>
      <c r="U10" s="117">
        <f t="shared" si="1"/>
        <v>8.0459770113771693E-3</v>
      </c>
      <c r="Z10" s="160" t="s">
        <v>522</v>
      </c>
      <c r="AA10" s="170" t="s">
        <v>533</v>
      </c>
      <c r="AB10" s="171">
        <v>45394.518750000003</v>
      </c>
      <c r="AC10" s="174">
        <v>14.99999999650754</v>
      </c>
      <c r="AE10" s="160" t="s">
        <v>522</v>
      </c>
      <c r="AF10" s="170" t="s">
        <v>534</v>
      </c>
      <c r="AG10" s="171">
        <v>45400.484027777777</v>
      </c>
      <c r="AH10" s="174">
        <v>20.000000002328306</v>
      </c>
      <c r="AJ10" s="163" t="s">
        <v>535</v>
      </c>
      <c r="AK10" s="177" t="s">
        <v>532</v>
      </c>
    </row>
    <row r="11" spans="1:37" ht="16.5" customHeight="1">
      <c r="B11" s="140" t="s">
        <v>148</v>
      </c>
      <c r="C11" s="68">
        <f>VLOOKUP(B11,Maestro!$A$7:$D$19,4,FALSE)</f>
        <v>44640</v>
      </c>
      <c r="D11" s="55">
        <f>+'Acertemos - Cauca'!F12</f>
        <v>100</v>
      </c>
      <c r="E11" s="56">
        <f>+'Jer - Boyaca'!F12</f>
        <v>100</v>
      </c>
      <c r="F11" s="56">
        <f>+'SuChance - Huila'!F12</f>
        <v>100</v>
      </c>
      <c r="G11" s="56">
        <f>+MatrixRedes____!H9</f>
        <v>100</v>
      </c>
      <c r="H11" s="56">
        <f>+'Gana Gana - Tolima1'!H9</f>
        <v>100</v>
      </c>
      <c r="I11" s="56">
        <f>+'Santander - LaPerla'!F12</f>
        <v>100</v>
      </c>
      <c r="J11" s="56">
        <f>+'Gana - Antioquia'!I12</f>
        <v>100</v>
      </c>
      <c r="K11" s="63">
        <f t="shared" si="2"/>
        <v>100</v>
      </c>
      <c r="L11" s="55">
        <f>+'Acertemos - Cauca'!K12</f>
        <v>100</v>
      </c>
      <c r="M11" s="56">
        <f>+'Jer - Boyaca'!K12</f>
        <v>100</v>
      </c>
      <c r="N11" s="56">
        <f>+'SuChance - Huila'!K12</f>
        <v>100</v>
      </c>
      <c r="O11" s="56">
        <f>+'SuChance - Huila'!K12</f>
        <v>100</v>
      </c>
      <c r="P11" s="56">
        <f>+'Gana Gana - Tolima'!O12</f>
        <v>100</v>
      </c>
      <c r="Q11" s="56">
        <f>+'Gana - Antioquia'!N12</f>
        <v>100</v>
      </c>
      <c r="R11" s="63">
        <f t="shared" si="3"/>
        <v>100</v>
      </c>
      <c r="S11" s="64">
        <f t="shared" si="0"/>
        <v>100</v>
      </c>
      <c r="T11" s="70">
        <f>SUMIFS(disponibilidad[Tiempo falla 
(en Mintuos)],disponibilidad[Mes],$B11,disponibilidad[[Tipo de afectación ]],"caÍda total",disponibilidad[Responsable Falla],"Matrix Tech")</f>
        <v>0</v>
      </c>
      <c r="U11" s="117">
        <f t="shared" si="1"/>
        <v>0</v>
      </c>
      <c r="Z11" s="159" t="s">
        <v>522</v>
      </c>
      <c r="AA11" s="168" t="s">
        <v>523</v>
      </c>
      <c r="AB11" s="169">
        <v>45396.756944444445</v>
      </c>
      <c r="AC11" s="173">
        <v>7.9999999946448952</v>
      </c>
      <c r="AE11" s="159" t="s">
        <v>522</v>
      </c>
      <c r="AF11" s="168" t="s">
        <v>533</v>
      </c>
      <c r="AG11" s="169">
        <v>45400.712500000001</v>
      </c>
      <c r="AH11" s="173">
        <v>4.0000000025611371</v>
      </c>
      <c r="AJ11" s="163" t="s">
        <v>536</v>
      </c>
      <c r="AK11" s="177" t="s">
        <v>532</v>
      </c>
    </row>
    <row r="12" spans="1:37" ht="16.5" customHeight="1">
      <c r="B12" s="147" t="s">
        <v>170</v>
      </c>
      <c r="C12" s="148">
        <f>VLOOKUP(B12,Maestro!$A$7:$D$19,4,FALSE)</f>
        <v>43200</v>
      </c>
      <c r="D12" s="149">
        <f>+'Acertemos - Cauca'!F13</f>
        <v>100</v>
      </c>
      <c r="E12" s="150">
        <f>+'Jer - Boyaca'!F13</f>
        <v>100</v>
      </c>
      <c r="F12" s="150">
        <f>+'SuChance - Huila'!F13</f>
        <v>100</v>
      </c>
      <c r="G12" s="150">
        <f>+MatrixRedes____!H10</f>
        <v>100</v>
      </c>
      <c r="H12" s="150">
        <f>+'Gana Gana - Tolima1'!H10</f>
        <v>100</v>
      </c>
      <c r="I12" s="150">
        <f>+'Santander - LaPerla'!F13</f>
        <v>100</v>
      </c>
      <c r="J12" s="150">
        <f>+'Gana - Antioquia'!I13</f>
        <v>100</v>
      </c>
      <c r="K12" s="151">
        <f t="shared" ref="K12" si="4">AVERAGE(D12:J12)</f>
        <v>100</v>
      </c>
      <c r="L12" s="149">
        <f>+'Acertemos - Cauca'!K13</f>
        <v>100</v>
      </c>
      <c r="M12" s="150">
        <f>+'Jer - Boyaca'!K13</f>
        <v>100</v>
      </c>
      <c r="N12" s="150">
        <f>+'SuChance - Huila'!K13</f>
        <v>100</v>
      </c>
      <c r="O12" s="150" t="e">
        <f>+MatrixRedes____!O10</f>
        <v>#REF!</v>
      </c>
      <c r="P12" s="150" t="e">
        <f>+'Gana Gana - Tolima1'!O10</f>
        <v>#REF!</v>
      </c>
      <c r="Q12" s="150">
        <f>+'Gana - Antioquia'!N13</f>
        <v>100</v>
      </c>
      <c r="R12" s="151" t="e">
        <f t="shared" ref="R12" si="5">AVERAGE(L12:Q12)</f>
        <v>#REF!</v>
      </c>
      <c r="S12" s="152" t="e">
        <f>AVERAGE(K12,R12)</f>
        <v>#REF!</v>
      </c>
      <c r="T12" s="154">
        <f>SUMIFS(disponibilidad[Tiempo falla 
(en Mintuos)],disponibilidad[Mes],$B12,disponibilidad[[Tipo de afectación ]],"caÍda total",disponibilidad[Responsable Falla],"Matrix Tech")</f>
        <v>0</v>
      </c>
      <c r="U12" s="153">
        <f>+T12/C12</f>
        <v>0</v>
      </c>
      <c r="Z12" s="160" t="s">
        <v>522</v>
      </c>
      <c r="AA12" s="170" t="s">
        <v>537</v>
      </c>
      <c r="AB12" s="171">
        <v>45396.758333333331</v>
      </c>
      <c r="AC12" s="174">
        <v>15.999999999767169</v>
      </c>
      <c r="AE12" s="160" t="s">
        <v>522</v>
      </c>
      <c r="AF12" s="170" t="s">
        <v>538</v>
      </c>
      <c r="AG12" s="171">
        <v>45401.3</v>
      </c>
      <c r="AH12" s="174">
        <v>20.999999995110556</v>
      </c>
      <c r="AJ12" s="163" t="s">
        <v>539</v>
      </c>
      <c r="AK12" s="177" t="s">
        <v>532</v>
      </c>
    </row>
    <row r="13" spans="1:37" ht="23.25">
      <c r="Z13" s="159" t="s">
        <v>522</v>
      </c>
      <c r="AA13" s="168" t="s">
        <v>524</v>
      </c>
      <c r="AB13" s="169">
        <v>45397.828472222223</v>
      </c>
      <c r="AC13" s="173">
        <v>87.999999993480742</v>
      </c>
      <c r="AE13" s="159" t="s">
        <v>522</v>
      </c>
      <c r="AF13" s="168" t="s">
        <v>540</v>
      </c>
      <c r="AG13" s="169">
        <v>45402.342361111114</v>
      </c>
      <c r="AH13" s="173">
        <v>66.999999998370185</v>
      </c>
      <c r="AJ13" s="163" t="s">
        <v>541</v>
      </c>
      <c r="AK13" s="177" t="s">
        <v>532</v>
      </c>
    </row>
    <row r="14" spans="1:37" ht="30">
      <c r="Z14" s="160" t="s">
        <v>522</v>
      </c>
      <c r="AA14" s="170" t="s">
        <v>542</v>
      </c>
      <c r="AB14" s="171">
        <v>45398.277777777781</v>
      </c>
      <c r="AC14" s="174">
        <v>8.9999999979045242</v>
      </c>
      <c r="AE14" s="160" t="s">
        <v>522</v>
      </c>
      <c r="AF14" s="170" t="s">
        <v>533</v>
      </c>
      <c r="AG14" s="171">
        <v>45404.253472222219</v>
      </c>
      <c r="AH14" s="174">
        <v>6.0000000090803951</v>
      </c>
      <c r="AJ14" s="163" t="s">
        <v>543</v>
      </c>
      <c r="AK14" s="177" t="s">
        <v>532</v>
      </c>
    </row>
    <row r="15" spans="1:37" ht="30.75">
      <c r="B15" s="245" t="s">
        <v>544</v>
      </c>
      <c r="Z15" s="159" t="s">
        <v>522</v>
      </c>
      <c r="AA15" s="168" t="s">
        <v>545</v>
      </c>
      <c r="AB15" s="169">
        <v>45399.875</v>
      </c>
      <c r="AC15" s="173">
        <v>20.999999995110556</v>
      </c>
      <c r="AE15" s="159" t="s">
        <v>522</v>
      </c>
      <c r="AF15" s="168" t="s">
        <v>546</v>
      </c>
      <c r="AG15" s="169">
        <v>45404.427777777775</v>
      </c>
      <c r="AH15" s="173">
        <v>15.000000006984919</v>
      </c>
      <c r="AJ15" s="164" t="s">
        <v>547</v>
      </c>
      <c r="AK15" s="178">
        <v>99.93</v>
      </c>
    </row>
    <row r="16" spans="1:37" ht="45.75">
      <c r="B16" s="246" t="s">
        <v>548</v>
      </c>
      <c r="C16" s="246" t="s">
        <v>549</v>
      </c>
      <c r="D16" s="247" t="s">
        <v>550</v>
      </c>
      <c r="E16" s="248" t="s">
        <v>551</v>
      </c>
      <c r="F16" s="248" t="s">
        <v>552</v>
      </c>
      <c r="G16" s="248" t="s">
        <v>553</v>
      </c>
      <c r="H16" s="248" t="s">
        <v>554</v>
      </c>
      <c r="I16" s="249" t="s">
        <v>555</v>
      </c>
      <c r="J16" s="248" t="s">
        <v>556</v>
      </c>
      <c r="K16" s="250" t="s">
        <v>557</v>
      </c>
      <c r="Z16" s="160" t="s">
        <v>522</v>
      </c>
      <c r="AA16" s="170" t="s">
        <v>558</v>
      </c>
      <c r="AB16" s="171">
        <v>45399.511805555558</v>
      </c>
      <c r="AC16" s="174">
        <v>13.000000000465661</v>
      </c>
      <c r="AE16" s="160" t="s">
        <v>522</v>
      </c>
      <c r="AF16" s="170" t="s">
        <v>559</v>
      </c>
      <c r="AG16" s="171">
        <v>45404.796527777777</v>
      </c>
      <c r="AH16" s="174">
        <v>18.000000006286427</v>
      </c>
    </row>
    <row r="17" spans="2:29" ht="15" customHeight="1">
      <c r="B17" s="251" t="s">
        <v>560</v>
      </c>
      <c r="C17" s="253" t="s">
        <v>561</v>
      </c>
      <c r="D17" s="254" t="s">
        <v>562</v>
      </c>
      <c r="E17" s="255" t="s">
        <v>562</v>
      </c>
      <c r="F17" s="255" t="s">
        <v>562</v>
      </c>
      <c r="G17" s="255" t="s">
        <v>562</v>
      </c>
      <c r="H17" s="255" t="s">
        <v>563</v>
      </c>
      <c r="I17" s="255" t="s">
        <v>563</v>
      </c>
      <c r="J17" s="255" t="s">
        <v>564</v>
      </c>
      <c r="K17" s="252" t="s">
        <v>565</v>
      </c>
      <c r="Z17" s="160" t="s">
        <v>522</v>
      </c>
      <c r="AA17" s="170" t="s">
        <v>533</v>
      </c>
      <c r="AB17" s="171">
        <v>45399.611111111109</v>
      </c>
      <c r="AC17" s="174">
        <v>8.0000000051222742</v>
      </c>
    </row>
    <row r="18" spans="2:29">
      <c r="B18" s="251" t="s">
        <v>566</v>
      </c>
      <c r="C18" s="253" t="s">
        <v>567</v>
      </c>
      <c r="D18" s="254" t="s">
        <v>568</v>
      </c>
      <c r="E18" s="255" t="s">
        <v>569</v>
      </c>
      <c r="F18" s="255" t="s">
        <v>570</v>
      </c>
      <c r="G18" s="255" t="s">
        <v>571</v>
      </c>
      <c r="H18" s="255" t="s">
        <v>572</v>
      </c>
      <c r="I18" s="255" t="s">
        <v>573</v>
      </c>
      <c r="J18" s="255" t="s">
        <v>574</v>
      </c>
      <c r="K18" s="252" t="s">
        <v>575</v>
      </c>
    </row>
    <row r="19" spans="2:29">
      <c r="B19" s="251" t="s">
        <v>576</v>
      </c>
      <c r="C19" s="253" t="s">
        <v>567</v>
      </c>
      <c r="D19" s="254" t="s">
        <v>562</v>
      </c>
      <c r="E19" s="255" t="s">
        <v>562</v>
      </c>
      <c r="F19" s="255" t="s">
        <v>562</v>
      </c>
      <c r="G19" s="255" t="s">
        <v>562</v>
      </c>
      <c r="H19" s="255" t="s">
        <v>562</v>
      </c>
      <c r="I19" s="255" t="s">
        <v>562</v>
      </c>
      <c r="J19" s="255" t="s">
        <v>562</v>
      </c>
      <c r="K19" s="252" t="s">
        <v>577</v>
      </c>
    </row>
    <row r="20" spans="2:29">
      <c r="B20" s="251" t="s">
        <v>578</v>
      </c>
      <c r="C20" s="253" t="s">
        <v>579</v>
      </c>
      <c r="D20" s="254" t="s">
        <v>580</v>
      </c>
      <c r="E20" s="255" t="s">
        <v>581</v>
      </c>
      <c r="F20" s="255" t="s">
        <v>582</v>
      </c>
      <c r="G20" s="255" t="s">
        <v>583</v>
      </c>
      <c r="H20" s="255" t="s">
        <v>584</v>
      </c>
      <c r="I20" s="255" t="s">
        <v>583</v>
      </c>
      <c r="J20" s="255" t="s">
        <v>585</v>
      </c>
      <c r="K20" s="252" t="s">
        <v>586</v>
      </c>
    </row>
    <row r="21" spans="2:29">
      <c r="B21" s="251" t="s">
        <v>148</v>
      </c>
      <c r="C21" s="253">
        <v>44640</v>
      </c>
      <c r="D21" s="256">
        <v>99.807347670256604</v>
      </c>
      <c r="E21" s="257">
        <v>100</v>
      </c>
      <c r="F21" s="257">
        <v>100</v>
      </c>
      <c r="G21" s="257">
        <v>100</v>
      </c>
      <c r="H21" s="257">
        <v>99.782706093185794</v>
      </c>
      <c r="I21" s="257">
        <v>99.807347670256632</v>
      </c>
      <c r="J21" s="257">
        <v>100</v>
      </c>
      <c r="K21" s="258">
        <v>99.913914490528427</v>
      </c>
    </row>
    <row r="22" spans="2:29">
      <c r="B22" s="140" t="s">
        <v>170</v>
      </c>
      <c r="C22" s="68">
        <v>43200</v>
      </c>
      <c r="D22" s="55">
        <v>100</v>
      </c>
      <c r="E22" s="56">
        <v>100</v>
      </c>
      <c r="F22" s="56">
        <v>100</v>
      </c>
      <c r="G22" s="56">
        <v>100</v>
      </c>
      <c r="H22" s="56">
        <v>100</v>
      </c>
      <c r="I22" s="56">
        <v>100</v>
      </c>
      <c r="J22" s="56">
        <v>100</v>
      </c>
      <c r="K22" s="258">
        <v>100</v>
      </c>
    </row>
    <row r="26" spans="2:29" ht="37.5">
      <c r="B26" s="296" t="s">
        <v>9</v>
      </c>
      <c r="C26" s="296" t="s">
        <v>157</v>
      </c>
      <c r="D26" s="297" t="s">
        <v>21</v>
      </c>
      <c r="E26" s="298" t="s">
        <v>406</v>
      </c>
      <c r="F26" s="298" t="s">
        <v>407</v>
      </c>
      <c r="G26" s="298" t="s">
        <v>24</v>
      </c>
      <c r="H26" s="298" t="s">
        <v>410</v>
      </c>
      <c r="I26" s="295" t="s">
        <v>27</v>
      </c>
      <c r="J26" s="298" t="s">
        <v>25</v>
      </c>
      <c r="K26" s="299" t="s">
        <v>472</v>
      </c>
    </row>
    <row r="27" spans="2:29">
      <c r="B27" s="140" t="s">
        <v>91</v>
      </c>
      <c r="C27" s="253">
        <v>41760</v>
      </c>
      <c r="D27" s="256">
        <v>100</v>
      </c>
      <c r="E27" s="257">
        <v>99.988386015312145</v>
      </c>
      <c r="F27" s="257">
        <v>99.67016283524471</v>
      </c>
      <c r="G27" s="257">
        <v>100</v>
      </c>
      <c r="H27" s="257">
        <v>99.923371647510692</v>
      </c>
      <c r="I27" s="257">
        <v>100</v>
      </c>
      <c r="J27" s="257">
        <v>99.97385057471169</v>
      </c>
      <c r="K27" s="258">
        <v>99.936538724682762</v>
      </c>
    </row>
    <row r="28" spans="2:29">
      <c r="B28" s="140" t="s">
        <v>148</v>
      </c>
      <c r="C28" s="253">
        <v>44640</v>
      </c>
      <c r="D28" s="256">
        <v>99.807347670256632</v>
      </c>
      <c r="E28" s="257">
        <v>100</v>
      </c>
      <c r="F28" s="257">
        <v>100</v>
      </c>
      <c r="G28" s="257">
        <v>100</v>
      </c>
      <c r="H28" s="257">
        <v>99.782706093185794</v>
      </c>
      <c r="I28" s="257">
        <v>99.807347670256632</v>
      </c>
      <c r="J28" s="257">
        <v>100</v>
      </c>
      <c r="K28" s="258">
        <v>99.913914490528427</v>
      </c>
    </row>
    <row r="29" spans="2:29">
      <c r="B29" s="140" t="s">
        <v>170</v>
      </c>
      <c r="C29" s="253">
        <v>43200</v>
      </c>
      <c r="D29" s="256">
        <v>100</v>
      </c>
      <c r="E29" s="257">
        <v>100</v>
      </c>
      <c r="F29" s="257">
        <v>100</v>
      </c>
      <c r="G29" s="257">
        <v>100</v>
      </c>
      <c r="H29" s="257">
        <v>100</v>
      </c>
      <c r="I29" s="257">
        <v>100</v>
      </c>
      <c r="J29" s="257">
        <v>99.986388888888669</v>
      </c>
      <c r="K29" s="258">
        <v>99.998055555555524</v>
      </c>
    </row>
    <row r="30" spans="2:29">
      <c r="B30" s="131" t="s">
        <v>169</v>
      </c>
      <c r="C30" s="253">
        <v>44640</v>
      </c>
      <c r="D30" s="256">
        <v>100</v>
      </c>
      <c r="E30" s="257">
        <v>100</v>
      </c>
      <c r="F30" s="257">
        <v>100</v>
      </c>
      <c r="G30" s="257">
        <v>100</v>
      </c>
      <c r="H30" s="257">
        <v>100</v>
      </c>
      <c r="I30" s="257">
        <v>100</v>
      </c>
      <c r="J30" s="257">
        <v>99.981966845880152</v>
      </c>
      <c r="K30" s="258">
        <v>99.99742383512573</v>
      </c>
    </row>
    <row r="31" spans="2:29">
      <c r="B31" s="132" t="s">
        <v>172</v>
      </c>
      <c r="C31" s="68">
        <v>43200</v>
      </c>
      <c r="D31" s="55">
        <v>100</v>
      </c>
      <c r="E31" s="56">
        <v>99.865740740739668</v>
      </c>
      <c r="F31" s="56">
        <v>100</v>
      </c>
      <c r="G31" s="56">
        <v>100</v>
      </c>
      <c r="H31" s="56">
        <v>99.983796296316228</v>
      </c>
      <c r="I31" s="56">
        <v>100</v>
      </c>
      <c r="J31" s="56">
        <v>99.953333333315328</v>
      </c>
      <c r="K31" s="258">
        <v>99.971838624338744</v>
      </c>
    </row>
    <row r="32" spans="2:29">
      <c r="B32" s="140" t="s">
        <v>173</v>
      </c>
      <c r="C32" s="68">
        <v>44640</v>
      </c>
      <c r="D32" s="55">
        <v>100</v>
      </c>
      <c r="E32" s="56">
        <v>100</v>
      </c>
      <c r="F32" s="56">
        <v>100</v>
      </c>
      <c r="G32" s="56">
        <v>100</v>
      </c>
      <c r="H32" s="56">
        <v>100</v>
      </c>
      <c r="I32" s="56">
        <v>100</v>
      </c>
      <c r="J32" s="56">
        <v>99.747065412175175</v>
      </c>
      <c r="K32" s="258">
        <v>99.9638664874536</v>
      </c>
    </row>
    <row r="40" spans="2:10" ht="27">
      <c r="B40" s="305" t="s">
        <v>587</v>
      </c>
      <c r="C40" s="306" t="s">
        <v>588</v>
      </c>
      <c r="D40" s="307" t="s">
        <v>589</v>
      </c>
      <c r="E40" s="307" t="s">
        <v>590</v>
      </c>
      <c r="F40" s="307" t="s">
        <v>591</v>
      </c>
      <c r="G40" s="307" t="s">
        <v>592</v>
      </c>
      <c r="H40" s="308" t="s">
        <v>593</v>
      </c>
      <c r="I40" s="307" t="s">
        <v>594</v>
      </c>
      <c r="J40" s="309" t="s">
        <v>595</v>
      </c>
    </row>
    <row r="41" spans="2:10">
      <c r="B41" s="310" t="s">
        <v>596</v>
      </c>
      <c r="C41" s="314" t="s">
        <v>597</v>
      </c>
      <c r="D41" s="315" t="s">
        <v>597</v>
      </c>
      <c r="E41" s="315" t="s">
        <v>597</v>
      </c>
      <c r="F41" s="315" t="s">
        <v>597</v>
      </c>
      <c r="G41" s="315" t="s">
        <v>598</v>
      </c>
      <c r="H41" s="315" t="s">
        <v>598</v>
      </c>
      <c r="I41" s="315" t="s">
        <v>599</v>
      </c>
      <c r="J41" s="316" t="s">
        <v>600</v>
      </c>
    </row>
    <row r="42" spans="2:10">
      <c r="B42" s="310" t="s">
        <v>601</v>
      </c>
      <c r="C42" s="314" t="s">
        <v>602</v>
      </c>
      <c r="D42" s="315" t="s">
        <v>603</v>
      </c>
      <c r="E42" s="315" t="s">
        <v>604</v>
      </c>
      <c r="F42" s="315" t="s">
        <v>605</v>
      </c>
      <c r="G42" s="315" t="s">
        <v>606</v>
      </c>
      <c r="H42" s="315" t="s">
        <v>607</v>
      </c>
      <c r="I42" s="315" t="s">
        <v>608</v>
      </c>
      <c r="J42" s="316" t="s">
        <v>609</v>
      </c>
    </row>
    <row r="43" spans="2:10">
      <c r="B43" s="310" t="s">
        <v>610</v>
      </c>
      <c r="C43" s="311">
        <v>100</v>
      </c>
      <c r="D43" s="312">
        <v>99.897871863807879</v>
      </c>
      <c r="E43" s="312">
        <v>99.873969534026401</v>
      </c>
      <c r="F43" s="312">
        <v>100</v>
      </c>
      <c r="G43" s="312">
        <v>99.955197132634723</v>
      </c>
      <c r="H43" s="312">
        <v>100</v>
      </c>
      <c r="I43" s="312">
        <v>99.771370967741035</v>
      </c>
      <c r="J43" s="313">
        <v>99.92834421403002</v>
      </c>
    </row>
  </sheetData>
  <mergeCells count="12">
    <mergeCell ref="D5:K5"/>
    <mergeCell ref="L5:R5"/>
    <mergeCell ref="A1:B3"/>
    <mergeCell ref="C1:L1"/>
    <mergeCell ref="M1:P1"/>
    <mergeCell ref="Q1:R1"/>
    <mergeCell ref="C2:L2"/>
    <mergeCell ref="M2:P2"/>
    <mergeCell ref="Q2:R2"/>
    <mergeCell ref="C3:L3"/>
    <mergeCell ref="M3:P3"/>
    <mergeCell ref="Q3:R3"/>
  </mergeCells>
  <conditionalFormatting sqref="K7:K8 R7:S8 R12:S12 K12">
    <cfRule type="cellIs" dxfId="7" priority="11" operator="lessThan">
      <formula>99.7</formula>
    </cfRule>
    <cfRule type="cellIs" dxfId="6" priority="12" operator="greaterThanOrEqual">
      <formula>99.7</formula>
    </cfRule>
  </conditionalFormatting>
  <conditionalFormatting sqref="K9:K11 R9:S11">
    <cfRule type="cellIs" dxfId="5" priority="9" operator="lessThan">
      <formula>99.7</formula>
    </cfRule>
    <cfRule type="cellIs" dxfId="4" priority="10" operator="greaterThanOrEqual">
      <formula>99.7</formula>
    </cfRule>
  </conditionalFormatting>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71E8-F712-4AFB-99FC-52449F42E747}">
  <dimension ref="B18:S29"/>
  <sheetViews>
    <sheetView topLeftCell="A22" workbookViewId="0">
      <selection activeCell="B18" sqref="B18"/>
    </sheetView>
  </sheetViews>
  <sheetFormatPr defaultColWidth="9.140625" defaultRowHeight="15"/>
  <sheetData>
    <row r="18" spans="2:19" ht="18.75">
      <c r="B18" s="422" t="s">
        <v>9</v>
      </c>
      <c r="C18" s="422" t="s">
        <v>157</v>
      </c>
      <c r="D18" s="425" t="s">
        <v>455</v>
      </c>
      <c r="E18" s="426"/>
      <c r="F18" s="186"/>
      <c r="G18" s="342" t="s">
        <v>159</v>
      </c>
      <c r="H18" s="369" t="s">
        <v>160</v>
      </c>
      <c r="I18" s="370"/>
      <c r="J18" s="370"/>
      <c r="K18" s="371"/>
      <c r="L18" s="342" t="s">
        <v>161</v>
      </c>
      <c r="M18" s="350" t="s">
        <v>162</v>
      </c>
      <c r="N18" s="363"/>
      <c r="O18" s="363"/>
      <c r="P18" s="364"/>
      <c r="Q18" s="353" t="s">
        <v>161</v>
      </c>
      <c r="R18" s="365" t="s">
        <v>163</v>
      </c>
      <c r="S18" s="366"/>
    </row>
    <row r="19" spans="2:19" ht="60.75">
      <c r="B19" s="423"/>
      <c r="C19" s="424"/>
      <c r="D19" s="15" t="s">
        <v>16</v>
      </c>
      <c r="E19" s="15" t="s">
        <v>17</v>
      </c>
      <c r="F19" s="187" t="s">
        <v>19</v>
      </c>
      <c r="G19" s="343"/>
      <c r="H19" s="15" t="s">
        <v>28</v>
      </c>
      <c r="I19" s="15" t="s">
        <v>29</v>
      </c>
      <c r="J19" s="15" t="s">
        <v>30</v>
      </c>
      <c r="K19" s="15" t="s">
        <v>31</v>
      </c>
      <c r="L19" s="343"/>
      <c r="M19" s="11" t="s">
        <v>28</v>
      </c>
      <c r="N19" s="11" t="s">
        <v>29</v>
      </c>
      <c r="O19" s="11" t="s">
        <v>30</v>
      </c>
      <c r="P19" s="11" t="s">
        <v>31</v>
      </c>
      <c r="Q19" s="354"/>
      <c r="R19" s="358" t="s">
        <v>165</v>
      </c>
      <c r="S19" s="358" t="s">
        <v>166</v>
      </c>
    </row>
    <row r="20" spans="2:19" ht="15.75">
      <c r="B20" s="424"/>
      <c r="C20" s="193" t="s">
        <v>167</v>
      </c>
      <c r="D20" s="58">
        <v>0.9</v>
      </c>
      <c r="E20" s="58">
        <v>0.03</v>
      </c>
      <c r="F20" s="58">
        <v>7.0000000000000007E-2</v>
      </c>
      <c r="G20" s="349"/>
      <c r="H20" s="58">
        <v>0.56999999999999995</v>
      </c>
      <c r="I20" s="58">
        <v>0.03</v>
      </c>
      <c r="J20" s="58">
        <v>0.1</v>
      </c>
      <c r="K20" s="58">
        <v>0.3</v>
      </c>
      <c r="L20" s="61">
        <v>1</v>
      </c>
      <c r="M20" s="11"/>
      <c r="N20" s="11"/>
      <c r="O20" s="11"/>
      <c r="P20" s="11"/>
      <c r="Q20" s="355"/>
      <c r="R20" s="359"/>
      <c r="S20" s="359"/>
    </row>
    <row r="21" spans="2:19">
      <c r="B21" s="130" t="s">
        <v>37</v>
      </c>
      <c r="C21" s="118">
        <v>44640</v>
      </c>
      <c r="D21" s="119">
        <v>99.46</v>
      </c>
      <c r="E21" s="119">
        <v>100</v>
      </c>
      <c r="F21" s="119">
        <v>100</v>
      </c>
      <c r="G21" s="120">
        <f t="shared" ref="G21:G28" si="0">SUMPRODUCT($D$20:$F$20,D21:F21)/$L$20</f>
        <v>99.513999999999996</v>
      </c>
      <c r="H21" s="119">
        <v>99.46</v>
      </c>
      <c r="I21" s="119">
        <v>100</v>
      </c>
      <c r="J21" s="119">
        <v>99.46</v>
      </c>
      <c r="K21" s="119">
        <v>99.46</v>
      </c>
      <c r="L21" s="144">
        <f t="shared" ref="L21:L28" si="1">SUMPRODUCT($H$20:$K$20,H21:K21)/$L$20</f>
        <v>99.476199999999992</v>
      </c>
      <c r="M21" s="119">
        <v>100</v>
      </c>
      <c r="N21" s="119">
        <v>100</v>
      </c>
      <c r="O21" s="119">
        <v>100</v>
      </c>
      <c r="P21" s="119">
        <v>98.98</v>
      </c>
      <c r="Q21" s="120">
        <f>AVERAGE(M21:P21)</f>
        <v>99.745000000000005</v>
      </c>
      <c r="R21" s="121">
        <v>0</v>
      </c>
      <c r="S21" s="122">
        <v>0</v>
      </c>
    </row>
    <row r="22" spans="2:19">
      <c r="B22" s="7" t="s">
        <v>91</v>
      </c>
      <c r="C22" s="165">
        <v>41760</v>
      </c>
      <c r="D22" s="9">
        <v>99.47</v>
      </c>
      <c r="E22" s="9">
        <v>100</v>
      </c>
      <c r="F22" s="119">
        <v>100</v>
      </c>
      <c r="G22" s="120">
        <f t="shared" si="0"/>
        <v>99.522999999999996</v>
      </c>
      <c r="H22" s="9">
        <v>99.86</v>
      </c>
      <c r="I22" s="9">
        <v>99.62</v>
      </c>
      <c r="J22" s="9">
        <v>100</v>
      </c>
      <c r="K22" s="9">
        <v>100</v>
      </c>
      <c r="L22" s="144">
        <f t="shared" si="1"/>
        <v>99.908799999999985</v>
      </c>
      <c r="M22" s="9">
        <v>100</v>
      </c>
      <c r="N22" s="9">
        <v>99.94</v>
      </c>
      <c r="O22" s="9">
        <v>99.88</v>
      </c>
      <c r="P22" s="9">
        <v>98.52</v>
      </c>
      <c r="Q22" s="120">
        <f t="shared" ref="Q22:Q28" si="2">AVERAGE(M22:P22)</f>
        <v>99.584999999999994</v>
      </c>
      <c r="R22" s="12">
        <v>0</v>
      </c>
      <c r="S22" s="166">
        <v>0</v>
      </c>
    </row>
    <row r="23" spans="2:19">
      <c r="B23" s="179" t="s">
        <v>148</v>
      </c>
      <c r="C23" s="142">
        <v>44640</v>
      </c>
      <c r="D23" s="143">
        <v>99.9</v>
      </c>
      <c r="E23" s="143">
        <v>100</v>
      </c>
      <c r="F23" s="119">
        <v>100</v>
      </c>
      <c r="G23" s="120">
        <f t="shared" si="0"/>
        <v>99.910000000000011</v>
      </c>
      <c r="H23" s="143">
        <v>99.81</v>
      </c>
      <c r="I23" s="143">
        <v>100</v>
      </c>
      <c r="J23" s="143">
        <v>100</v>
      </c>
      <c r="K23" s="143">
        <v>99.95</v>
      </c>
      <c r="L23" s="144">
        <f t="shared" si="1"/>
        <v>99.876699999999985</v>
      </c>
      <c r="M23" s="143">
        <v>100</v>
      </c>
      <c r="N23" s="143">
        <v>100</v>
      </c>
      <c r="O23" s="143">
        <v>95.5</v>
      </c>
      <c r="P23" s="143">
        <v>97.57</v>
      </c>
      <c r="Q23" s="120">
        <f t="shared" si="2"/>
        <v>98.267499999999998</v>
      </c>
      <c r="R23" s="12">
        <v>0</v>
      </c>
      <c r="S23" s="166">
        <v>0</v>
      </c>
    </row>
    <row r="24" spans="2:19">
      <c r="B24" s="10" t="s">
        <v>170</v>
      </c>
      <c r="C24" s="165">
        <v>43200</v>
      </c>
      <c r="D24" s="9">
        <v>100</v>
      </c>
      <c r="E24" s="9">
        <v>100</v>
      </c>
      <c r="F24" s="119">
        <v>100</v>
      </c>
      <c r="G24" s="120">
        <f t="shared" si="0"/>
        <v>100</v>
      </c>
      <c r="H24" s="9">
        <v>100</v>
      </c>
      <c r="I24" s="9">
        <v>100</v>
      </c>
      <c r="J24" s="9">
        <v>100</v>
      </c>
      <c r="K24" s="9">
        <v>100</v>
      </c>
      <c r="L24" s="144">
        <f t="shared" si="1"/>
        <v>100</v>
      </c>
      <c r="M24" s="9">
        <v>99.92</v>
      </c>
      <c r="N24" s="143">
        <v>100</v>
      </c>
      <c r="O24" s="9">
        <v>99.84</v>
      </c>
      <c r="P24" s="9">
        <v>99.82</v>
      </c>
      <c r="Q24" s="120">
        <f t="shared" si="2"/>
        <v>99.894999999999996</v>
      </c>
      <c r="R24" s="12">
        <v>0</v>
      </c>
      <c r="S24" s="14">
        <v>0</v>
      </c>
    </row>
    <row r="25" spans="2:19">
      <c r="B25" s="10" t="s">
        <v>169</v>
      </c>
      <c r="C25" s="165">
        <v>44640</v>
      </c>
      <c r="D25" s="9">
        <v>100</v>
      </c>
      <c r="E25" s="9">
        <v>100</v>
      </c>
      <c r="F25" s="119">
        <v>100</v>
      </c>
      <c r="G25" s="120">
        <f t="shared" si="0"/>
        <v>100</v>
      </c>
      <c r="H25" s="9">
        <v>99.86</v>
      </c>
      <c r="I25" s="9">
        <v>100</v>
      </c>
      <c r="J25" s="9">
        <v>83.8</v>
      </c>
      <c r="K25" s="9">
        <v>99.86</v>
      </c>
      <c r="L25" s="144">
        <f t="shared" si="1"/>
        <v>98.258199999999988</v>
      </c>
      <c r="M25" s="9">
        <v>99.9</v>
      </c>
      <c r="N25" s="143">
        <v>100</v>
      </c>
      <c r="O25" s="9">
        <v>98.82</v>
      </c>
      <c r="P25" s="9">
        <v>84.25</v>
      </c>
      <c r="Q25" s="120">
        <f t="shared" si="2"/>
        <v>95.742500000000007</v>
      </c>
      <c r="R25" s="12">
        <v>0</v>
      </c>
      <c r="S25" s="166">
        <v>0</v>
      </c>
    </row>
    <row r="26" spans="2:19">
      <c r="B26" s="10" t="s">
        <v>172</v>
      </c>
      <c r="C26" s="8">
        <v>43200</v>
      </c>
      <c r="D26" s="9">
        <v>99.97</v>
      </c>
      <c r="E26" s="9">
        <v>100</v>
      </c>
      <c r="F26" s="119">
        <v>100</v>
      </c>
      <c r="G26" s="120">
        <f t="shared" si="0"/>
        <v>99.972999999999999</v>
      </c>
      <c r="H26" s="9">
        <v>100</v>
      </c>
      <c r="I26" s="9">
        <v>100</v>
      </c>
      <c r="J26" s="9">
        <v>100</v>
      </c>
      <c r="K26" s="9">
        <v>99.97</v>
      </c>
      <c r="L26" s="144">
        <f t="shared" si="1"/>
        <v>99.991</v>
      </c>
      <c r="M26" s="9">
        <v>100</v>
      </c>
      <c r="N26" s="9">
        <v>100</v>
      </c>
      <c r="O26" s="9">
        <v>100</v>
      </c>
      <c r="P26" s="9">
        <v>99.83</v>
      </c>
      <c r="Q26" s="120">
        <f t="shared" si="2"/>
        <v>99.957499999999996</v>
      </c>
      <c r="R26" s="12">
        <v>0</v>
      </c>
      <c r="S26" s="14">
        <v>0</v>
      </c>
    </row>
    <row r="27" spans="2:19">
      <c r="B27" s="10" t="s">
        <v>173</v>
      </c>
      <c r="C27" s="8">
        <v>44640</v>
      </c>
      <c r="D27" s="9">
        <v>100</v>
      </c>
      <c r="E27" s="9">
        <v>100</v>
      </c>
      <c r="F27" s="119">
        <v>100</v>
      </c>
      <c r="G27" s="120">
        <f t="shared" si="0"/>
        <v>100</v>
      </c>
      <c r="H27" s="9">
        <v>100</v>
      </c>
      <c r="I27" s="9">
        <v>100</v>
      </c>
      <c r="J27" s="9">
        <v>100</v>
      </c>
      <c r="K27" s="9">
        <v>100</v>
      </c>
      <c r="L27" s="144">
        <f t="shared" si="1"/>
        <v>100</v>
      </c>
      <c r="M27" s="9">
        <v>100</v>
      </c>
      <c r="N27" s="9">
        <v>100</v>
      </c>
      <c r="O27" s="9">
        <v>100</v>
      </c>
      <c r="P27" s="9">
        <v>98.72</v>
      </c>
      <c r="Q27" s="120">
        <f t="shared" si="2"/>
        <v>99.68</v>
      </c>
      <c r="R27" s="12">
        <v>0</v>
      </c>
      <c r="S27" s="14">
        <v>0</v>
      </c>
    </row>
    <row r="28" spans="2:19">
      <c r="B28" s="10" t="s">
        <v>174</v>
      </c>
      <c r="C28" s="8">
        <v>44640</v>
      </c>
      <c r="D28" s="9">
        <v>100</v>
      </c>
      <c r="E28" s="9">
        <v>100</v>
      </c>
      <c r="F28" s="119">
        <v>100</v>
      </c>
      <c r="G28" s="120">
        <f t="shared" si="0"/>
        <v>100</v>
      </c>
      <c r="H28" s="9">
        <v>100</v>
      </c>
      <c r="I28" s="9">
        <v>100</v>
      </c>
      <c r="J28" s="9">
        <v>100</v>
      </c>
      <c r="K28" s="9">
        <v>100</v>
      </c>
      <c r="L28" s="144">
        <f t="shared" si="1"/>
        <v>100</v>
      </c>
      <c r="M28" s="9">
        <v>100</v>
      </c>
      <c r="N28" s="9">
        <v>100</v>
      </c>
      <c r="O28" s="9">
        <v>100</v>
      </c>
      <c r="P28" s="9">
        <v>98.6</v>
      </c>
      <c r="Q28" s="120">
        <f t="shared" si="2"/>
        <v>99.65</v>
      </c>
      <c r="R28" s="12">
        <v>0</v>
      </c>
      <c r="S28" s="14">
        <v>0</v>
      </c>
    </row>
    <row r="29" spans="2:19">
      <c r="B29" s="141" t="s">
        <v>175</v>
      </c>
      <c r="C29" s="142">
        <v>43200</v>
      </c>
      <c r="D29" s="143">
        <v>99.81481481481751</v>
      </c>
      <c r="E29" s="143">
        <v>100</v>
      </c>
      <c r="F29" s="119">
        <v>99.710648148150838</v>
      </c>
      <c r="G29" s="120">
        <f>SUMPRODUCT($D$20:$F$20,D29:F29)/$L$20</f>
        <v>99.813078703706324</v>
      </c>
      <c r="H29" s="143">
        <v>99.606481481484181</v>
      </c>
      <c r="I29" s="143">
        <v>99.6875</v>
      </c>
      <c r="J29" s="143">
        <v>99.895833333333329</v>
      </c>
      <c r="K29" s="143">
        <v>99.606481481484181</v>
      </c>
      <c r="L29" s="144">
        <f>SUMPRODUCT($H$20:$K$20,H29:K29)/$L$20</f>
        <v>99.637847222224565</v>
      </c>
      <c r="M29" s="143">
        <v>100</v>
      </c>
      <c r="N29" s="143">
        <v>100</v>
      </c>
      <c r="O29" s="143">
        <v>99.400462962997466</v>
      </c>
      <c r="P29" s="143">
        <v>99.07638888888566</v>
      </c>
      <c r="Q29" s="144">
        <v>99.619212962970792</v>
      </c>
      <c r="R29" s="145">
        <v>169.99999999883585</v>
      </c>
      <c r="S29" s="146">
        <v>3.9351851851582376E-3</v>
      </c>
    </row>
  </sheetData>
  <mergeCells count="11">
    <mergeCell ref="L18:L19"/>
    <mergeCell ref="B18:B20"/>
    <mergeCell ref="C18:C19"/>
    <mergeCell ref="D18:E18"/>
    <mergeCell ref="G18:G20"/>
    <mergeCell ref="H18:K18"/>
    <mergeCell ref="M18:P18"/>
    <mergeCell ref="Q18:Q20"/>
    <mergeCell ref="R18:S18"/>
    <mergeCell ref="R19:R20"/>
    <mergeCell ref="S19:S20"/>
  </mergeCells>
  <conditionalFormatting sqref="G21:G29">
    <cfRule type="cellIs" dxfId="3" priority="1" operator="lessThan">
      <formula>99.7</formula>
    </cfRule>
    <cfRule type="cellIs" dxfId="2" priority="2" operator="greaterThanOrEqual">
      <formula>99.7</formula>
    </cfRule>
  </conditionalFormatting>
  <conditionalFormatting sqref="L21:L29">
    <cfRule type="cellIs" dxfId="1" priority="3" operator="lessThan">
      <formula>99.7</formula>
    </cfRule>
    <cfRule type="cellIs" dxfId="0" priority="4" operator="greaterThanOrEqual">
      <formula>99.7</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9FF0AEDD15EEB418E9171F8F7B094C0" ma:contentTypeVersion="15" ma:contentTypeDescription="Crear nuevo documento." ma:contentTypeScope="" ma:versionID="298bd47eb93e13287ad0973e7a0f8c39">
  <xsd:schema xmlns:xsd="http://www.w3.org/2001/XMLSchema" xmlns:xs="http://www.w3.org/2001/XMLSchema" xmlns:p="http://schemas.microsoft.com/office/2006/metadata/properties" xmlns:ns2="03abd68c-0d85-4f5f-a95e-87218b62fa0c" xmlns:ns3="da30fc92-2ef4-4aa3-a311-990f9e54ac1e" targetNamespace="http://schemas.microsoft.com/office/2006/metadata/properties" ma:root="true" ma:fieldsID="2b0833b7a31c6485e5a62e5ce32de00f" ns2:_="" ns3:_="">
    <xsd:import namespace="03abd68c-0d85-4f5f-a95e-87218b62fa0c"/>
    <xsd:import namespace="da30fc92-2ef4-4aa3-a311-990f9e54ac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abd68c-0d85-4f5f-a95e-87218b62fa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437f47b3-c3fa-444a-a876-8341a052b132"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a30fc92-2ef4-4aa3-a311-990f9e54ac1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c1a13022-ee3b-4f1e-92d5-17a710ea7959}" ma:internalName="TaxCatchAll" ma:showField="CatchAllData" ma:web="da30fc92-2ef4-4aa3-a311-990f9e54ac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da30fc92-2ef4-4aa3-a311-990f9e54ac1e">
      <UserInfo>
        <DisplayName>SharingLinks.73a9440e-539b-4796-a910-99900d8a1968.Flexible.24de8a8e-4af6-4801-8c04-afe8167c385d</DisplayName>
        <AccountId>53</AccountId>
        <AccountType/>
      </UserInfo>
      <UserInfo>
        <DisplayName>Karen Correa Bedoya</DisplayName>
        <AccountId>15</AccountId>
        <AccountType/>
      </UserInfo>
    </SharedWithUsers>
    <lcf76f155ced4ddcb4097134ff3c332f xmlns="03abd68c-0d85-4f5f-a95e-87218b62fa0c">
      <Terms xmlns="http://schemas.microsoft.com/office/infopath/2007/PartnerControls"/>
    </lcf76f155ced4ddcb4097134ff3c332f>
    <TaxCatchAll xmlns="da30fc92-2ef4-4aa3-a311-990f9e54ac1e" xsi:nil="true"/>
  </documentManagement>
</p:properties>
</file>

<file path=customXml/itemProps1.xml><?xml version="1.0" encoding="utf-8"?>
<ds:datastoreItem xmlns:ds="http://schemas.openxmlformats.org/officeDocument/2006/customXml" ds:itemID="{689D0BA7-E9C1-44CA-B144-B3D1BE897AEE}"/>
</file>

<file path=customXml/itemProps2.xml><?xml version="1.0" encoding="utf-8"?>
<ds:datastoreItem xmlns:ds="http://schemas.openxmlformats.org/officeDocument/2006/customXml" ds:itemID="{79BAC098-4DAE-4CE8-9452-88FEACD3E679}"/>
</file>

<file path=customXml/itemProps3.xml><?xml version="1.0" encoding="utf-8"?>
<ds:datastoreItem xmlns:ds="http://schemas.openxmlformats.org/officeDocument/2006/customXml" ds:itemID="{54AA2112-307F-4A83-BE5A-9A2B68C82C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Esteban Montoya Jimenez</dc:creator>
  <cp:keywords/>
  <dc:description/>
  <cp:lastModifiedBy>Steven Pinto</cp:lastModifiedBy>
  <cp:revision/>
  <dcterms:created xsi:type="dcterms:W3CDTF">2017-03-31T22:07:59Z</dcterms:created>
  <dcterms:modified xsi:type="dcterms:W3CDTF">2026-03-11T00:36:01Z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0x01010059FF0AEDD15EEB418E9171F8F7B094C0</vt:lpwstr>
  </property>
  <property fmtid="{D5CDD505-2E9C-101B-9397-08002B2CF9AE}" pid="3" name="MediaServiceImageTags">
    <vt:lpwstr/>
  </property>
</Properties>
</file>